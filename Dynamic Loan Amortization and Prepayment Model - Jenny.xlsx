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enn/Documents/"/>
    </mc:Choice>
  </mc:AlternateContent>
  <xr:revisionPtr revIDLastSave="0" documentId="8_{1020AF30-2C25-1349-A56B-B54DCEA3F15A}" xr6:coauthVersionLast="47" xr6:coauthVersionMax="47" xr10:uidLastSave="{00000000-0000-0000-0000-000000000000}"/>
  <workbookProtection workbookAlgorithmName="SHA-512" workbookHashValue="qMOWZE95hS529dVl+/8de2r4MQ/bZN+Lq6tjKSmHP91i2h8jXGga8ZV3b9AJsSHk2mf2LspgSc2IbrOO+zLe7A==" workbookSaltValue="mkgDTOPT1pNciN2k4mJ8qw==" workbookSpinCount="100000" lockStructure="1"/>
  <bookViews>
    <workbookView xWindow="360" yWindow="600" windowWidth="28040" windowHeight="16660" xr2:uid="{E431B79D-0076-BF44-9754-8A0CAC8949B3}"/>
  </bookViews>
  <sheets>
    <sheet name="DashboardAndAssumptions" sheetId="2" r:id="rId1"/>
    <sheet name="AmortizationSchedule" sheetId="6" r:id="rId2"/>
    <sheet name="AmortizationScheduleRaw" sheetId="1" state="hidden" r:id="rId3"/>
    <sheet name="AmortizationScheduleNoExtra" sheetId="7" r:id="rId4"/>
    <sheet name="AmortizationScheduleNoExtraRaw" sheetId="3" state="hidden" r:id="rId5"/>
  </sheets>
  <definedNames>
    <definedName name="_xlchart.v1.0" hidden="1">AmortizationSchedule!$B$1</definedName>
    <definedName name="_xlchart.v1.1" hidden="1">AmortizationSchedule!$B$2:$B$105</definedName>
    <definedName name="_xlchart.v1.10" hidden="1">AmortizationSchedule!$B$1</definedName>
    <definedName name="_xlchart.v1.11" hidden="1">AmortizationSchedule!$B$2:$B$105</definedName>
    <definedName name="_xlchart.v1.12" hidden="1">AmortizationSchedule!$C$1</definedName>
    <definedName name="_xlchart.v1.13" hidden="1">AmortizationSchedule!$C$2:$C$105</definedName>
    <definedName name="_xlchart.v1.14" hidden="1">AmortizationSchedule!$D$1</definedName>
    <definedName name="_xlchart.v1.15" hidden="1">AmortizationSchedule!$D$2:$D$105</definedName>
    <definedName name="_xlchart.v1.16" hidden="1">AmortizationSchedule!$E$1</definedName>
    <definedName name="_xlchart.v1.17" hidden="1">AmortizationSchedule!$E$2:$E$105</definedName>
    <definedName name="_xlchart.v1.18" hidden="1">AmortizationSchedule!$G$1</definedName>
    <definedName name="_xlchart.v1.19" hidden="1">AmortizationSchedule!$G$2:$G$105</definedName>
    <definedName name="_xlchart.v1.2" hidden="1">AmortizationSchedule!$C$1</definedName>
    <definedName name="_xlchart.v1.3" hidden="1">AmortizationSchedule!$C$2:$C$105</definedName>
    <definedName name="_xlchart.v1.4" hidden="1">AmortizationSchedule!$D$1</definedName>
    <definedName name="_xlchart.v1.5" hidden="1">AmortizationSchedule!$D$2:$D$105</definedName>
    <definedName name="_xlchart.v1.6" hidden="1">AmortizationSchedule!$E$1</definedName>
    <definedName name="_xlchart.v1.7" hidden="1">AmortizationSchedule!$E$2:$E$105</definedName>
    <definedName name="_xlchart.v1.8" hidden="1">AmortizationSchedule!$G$1</definedName>
    <definedName name="_xlchart.v1.9" hidden="1">AmortizationSchedule!$G$2:$G$105</definedName>
    <definedName name="ChartValuesExtraPayment">AmortizationScheduleRaw!$A$2:INDEX(AmortizationScheduleRaw!$A:$A,AmortizationScheduleRaw!$K$2)</definedName>
    <definedName name="ChartValuesNoExtra">AmortizationScheduleNoExtraRaw!$A$2:INDEX(AmortizationScheduleNoExtraRaw!$A:$A,AmortizationScheduleNoExtraRaw!$K$2)</definedName>
    <definedName name="ExtraPayment">DashboardAndAssumptions!$C$8</definedName>
    <definedName name="InterestRate">DashboardAndAssumptions!$C$5</definedName>
    <definedName name="InterestSaved">DashboardAndAssumptions!$R$16</definedName>
    <definedName name="LoanAmount">DashboardAndAssumptions!$C$4</definedName>
    <definedName name="LoanTerm">DashboardAndAssumptions!$C$6</definedName>
    <definedName name="MonthlyPayment">DashboardAndAssumptions!$R$8</definedName>
    <definedName name="NumberOfMonths">DashboardAndAssumptions!$Q$12</definedName>
    <definedName name="NumberOfMonthsSaved">DashboardAndAssumptions!$Q$12</definedName>
    <definedName name="NumberOfMonthsSimplified">DashboardAndAssumptions!$Q$13</definedName>
    <definedName name="NumberOfPeriods">DashboardAndAssumptions!$R$12</definedName>
    <definedName name="PaymentFrequency">DashboardAndAssumptions!$C$7</definedName>
    <definedName name="PaymentsPerYear">DashboardAndAssumptions!$R$4</definedName>
    <definedName name="PaymentTitle">DashboardAndAssumptions!$Q$8</definedName>
    <definedName name="PayoffDate">DashboardAndAssumptions!$R$13</definedName>
    <definedName name="PeriodNumber">DashboardAndAssumptions!$R$12</definedName>
    <definedName name="StartDate">DashboardAndAssumptions!$C$9</definedName>
    <definedName name="TotalAmountPaid">DashboardAndAssumptions!$R$14</definedName>
    <definedName name="TotalExtraPayments">DashboardAndAssumptions!$R$15</definedName>
    <definedName name="TotalInterestPaid">DashboardAndAssumptions!$R$10</definedName>
    <definedName name="TotalLoan">DashboardAndAssumptions!$R$11</definedName>
    <definedName name="TotalPrincipal">DashboardAndAssumptions!$R$9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3" l="1" a="1"/>
  <c r="A2" i="3" s="1"/>
  <c r="A2" i="1" a="1"/>
  <c r="A2" i="1" s="1"/>
  <c r="A1" i="7"/>
  <c r="A1" i="6"/>
  <c r="A1" i="3"/>
  <c r="Q8" i="2"/>
  <c r="B2" i="3"/>
  <c r="R4" i="2"/>
  <c r="A1" i="1"/>
  <c r="R8" i="2" l="1"/>
  <c r="E2" i="3"/>
  <c r="F2" i="3" s="1"/>
  <c r="B2" i="1"/>
  <c r="D2" i="1" s="1"/>
  <c r="G2" i="3" l="1"/>
  <c r="H2" i="3" s="1"/>
  <c r="E2" i="1"/>
  <c r="F2" i="1" s="1"/>
  <c r="B3" i="3" l="1"/>
  <c r="E3" i="3" s="1"/>
  <c r="C2" i="1"/>
  <c r="C2" i="3"/>
  <c r="G2" i="1"/>
  <c r="H2" i="1" s="1"/>
  <c r="B3" i="1" l="1"/>
  <c r="F3" i="3"/>
  <c r="C3" i="3" s="1"/>
  <c r="G3" i="3" l="1"/>
  <c r="H3" i="3" s="1"/>
  <c r="E3" i="1"/>
  <c r="F3" i="1" s="1"/>
  <c r="B4" i="3" l="1"/>
  <c r="E4" i="3" s="1"/>
  <c r="F4" i="3" l="1"/>
  <c r="G4" i="3" s="1"/>
  <c r="H4" i="3" s="1"/>
  <c r="C4" i="3" l="1"/>
  <c r="B5" i="3"/>
  <c r="E5" i="3" s="1"/>
  <c r="F5" i="3" s="1"/>
  <c r="G5" i="3" s="1"/>
  <c r="H5" i="3" s="1"/>
  <c r="B6" i="3" l="1"/>
  <c r="E6" i="3" s="1"/>
  <c r="F6" i="3" s="1"/>
  <c r="G6" i="3" s="1"/>
  <c r="H6" i="3" s="1"/>
  <c r="B7" i="3" s="1"/>
  <c r="C5" i="3"/>
  <c r="C6" i="3" l="1"/>
  <c r="E7" i="3"/>
  <c r="F7" i="3" s="1"/>
  <c r="G7" i="3" s="1"/>
  <c r="H7" i="3" s="1"/>
  <c r="B8" i="3" s="1"/>
  <c r="C7" i="3" l="1"/>
  <c r="E8" i="3"/>
  <c r="F8" i="3"/>
  <c r="G8" i="3" s="1"/>
  <c r="H8" i="3" s="1"/>
  <c r="B9" i="3" s="1"/>
  <c r="C8" i="3" l="1"/>
  <c r="E9" i="3"/>
  <c r="F9" i="3"/>
  <c r="G9" i="3" s="1"/>
  <c r="H9" i="3" s="1"/>
  <c r="B10" i="3" s="1"/>
  <c r="C9" i="3" l="1"/>
  <c r="E10" i="3"/>
  <c r="F10" i="3" s="1"/>
  <c r="G10" i="3" s="1"/>
  <c r="H10" i="3" s="1"/>
  <c r="B11" i="3" s="1"/>
  <c r="C10" i="3" l="1"/>
  <c r="E11" i="3"/>
  <c r="F11" i="3" s="1"/>
  <c r="G11" i="3" s="1"/>
  <c r="H11" i="3" s="1"/>
  <c r="B12" i="3" s="1"/>
  <c r="C11" i="3" l="1"/>
  <c r="E12" i="3"/>
  <c r="F12" i="3" s="1"/>
  <c r="G12" i="3" s="1"/>
  <c r="H12" i="3" s="1"/>
  <c r="B13" i="3" s="1"/>
  <c r="E13" i="3" l="1"/>
  <c r="F13" i="3" s="1"/>
  <c r="G13" i="3" s="1"/>
  <c r="H13" i="3" s="1"/>
  <c r="B14" i="3" s="1"/>
  <c r="C12" i="3"/>
  <c r="C13" i="3" l="1"/>
  <c r="E14" i="3"/>
  <c r="F14" i="3" s="1"/>
  <c r="G14" i="3" s="1"/>
  <c r="H14" i="3" s="1"/>
  <c r="B15" i="3" s="1"/>
  <c r="C14" i="3" l="1"/>
  <c r="E15" i="3"/>
  <c r="F15" i="3" s="1"/>
  <c r="G15" i="3" s="1"/>
  <c r="H15" i="3" s="1"/>
  <c r="B16" i="3" s="1"/>
  <c r="C15" i="3" l="1"/>
  <c r="E16" i="3"/>
  <c r="F16" i="3"/>
  <c r="G16" i="3" s="1"/>
  <c r="H16" i="3" s="1"/>
  <c r="B17" i="3" s="1"/>
  <c r="E17" i="3" l="1"/>
  <c r="F17" i="3" s="1"/>
  <c r="G17" i="3" s="1"/>
  <c r="H17" i="3" s="1"/>
  <c r="B18" i="3" s="1"/>
  <c r="C16" i="3"/>
  <c r="C17" i="3" l="1"/>
  <c r="E18" i="3"/>
  <c r="F18" i="3"/>
  <c r="G18" i="3" s="1"/>
  <c r="H18" i="3" s="1"/>
  <c r="B19" i="3" s="1"/>
  <c r="E19" i="3" l="1"/>
  <c r="F19" i="3" s="1"/>
  <c r="G19" i="3" s="1"/>
  <c r="H19" i="3" s="1"/>
  <c r="B20" i="3" s="1"/>
  <c r="C18" i="3"/>
  <c r="C19" i="3" l="1"/>
  <c r="E20" i="3"/>
  <c r="F20" i="3" s="1"/>
  <c r="G20" i="3" s="1"/>
  <c r="H20" i="3" s="1"/>
  <c r="B21" i="3" s="1"/>
  <c r="E21" i="3" l="1"/>
  <c r="F21" i="3" s="1"/>
  <c r="G21" i="3" s="1"/>
  <c r="H21" i="3" s="1"/>
  <c r="B22" i="3" s="1"/>
  <c r="C20" i="3"/>
  <c r="C21" i="3" l="1"/>
  <c r="E22" i="3"/>
  <c r="F22" i="3" s="1"/>
  <c r="G22" i="3" s="1"/>
  <c r="H22" i="3" s="1"/>
  <c r="B23" i="3" s="1"/>
  <c r="C22" i="3" l="1"/>
  <c r="E23" i="3"/>
  <c r="F23" i="3"/>
  <c r="G23" i="3" s="1"/>
  <c r="H23" i="3" s="1"/>
  <c r="B24" i="3" s="1"/>
  <c r="C23" i="3" l="1"/>
  <c r="E24" i="3"/>
  <c r="F24" i="3"/>
  <c r="G24" i="3" s="1"/>
  <c r="H24" i="3" s="1"/>
  <c r="B25" i="3" s="1"/>
  <c r="E25" i="3" l="1"/>
  <c r="F25" i="3" s="1"/>
  <c r="G25" i="3" s="1"/>
  <c r="H25" i="3" s="1"/>
  <c r="B26" i="3" s="1"/>
  <c r="C24" i="3"/>
  <c r="C25" i="3" l="1"/>
  <c r="E26" i="3"/>
  <c r="F26" i="3" s="1"/>
  <c r="G26" i="3" s="1"/>
  <c r="H26" i="3" s="1"/>
  <c r="B27" i="3" s="1"/>
  <c r="C26" i="3" l="1"/>
  <c r="E27" i="3"/>
  <c r="F27" i="3" s="1"/>
  <c r="G27" i="3" s="1"/>
  <c r="H27" i="3" s="1"/>
  <c r="B28" i="3" s="1"/>
  <c r="C27" i="3" l="1"/>
  <c r="E28" i="3"/>
  <c r="F28" i="3"/>
  <c r="G28" i="3" s="1"/>
  <c r="H28" i="3" s="1"/>
  <c r="B29" i="3" s="1"/>
  <c r="E29" i="3" l="1"/>
  <c r="F29" i="3" s="1"/>
  <c r="G29" i="3" s="1"/>
  <c r="H29" i="3" s="1"/>
  <c r="B30" i="3" s="1"/>
  <c r="C28" i="3"/>
  <c r="C29" i="3" l="1"/>
  <c r="E30" i="3"/>
  <c r="F30" i="3" s="1"/>
  <c r="G30" i="3" s="1"/>
  <c r="H30" i="3" s="1"/>
  <c r="B31" i="3" s="1"/>
  <c r="C30" i="3" l="1"/>
  <c r="E31" i="3"/>
  <c r="F31" i="3" l="1"/>
  <c r="G31" i="3" s="1"/>
  <c r="H31" i="3" s="1"/>
  <c r="B32" i="3" s="1"/>
  <c r="E32" i="3" l="1"/>
  <c r="F32" i="3" s="1"/>
  <c r="G32" i="3" s="1"/>
  <c r="H32" i="3" s="1"/>
  <c r="B33" i="3" s="1"/>
  <c r="C31" i="3"/>
  <c r="E33" i="3" l="1"/>
  <c r="F33" i="3" s="1"/>
  <c r="G33" i="3" s="1"/>
  <c r="H33" i="3" s="1"/>
  <c r="B34" i="3" s="1"/>
  <c r="C32" i="3"/>
  <c r="C33" i="3" l="1"/>
  <c r="E34" i="3"/>
  <c r="F34" i="3" s="1"/>
  <c r="G34" i="3" s="1"/>
  <c r="H34" i="3" s="1"/>
  <c r="B35" i="3" s="1"/>
  <c r="C34" i="3" l="1"/>
  <c r="E35" i="3"/>
  <c r="F35" i="3" l="1"/>
  <c r="G35" i="3" s="1"/>
  <c r="H35" i="3" s="1"/>
  <c r="B36" i="3" s="1"/>
  <c r="E36" i="3" l="1"/>
  <c r="F36" i="3" s="1"/>
  <c r="G36" i="3" s="1"/>
  <c r="H36" i="3" s="1"/>
  <c r="B37" i="3" s="1"/>
  <c r="C35" i="3"/>
  <c r="E37" i="3" l="1"/>
  <c r="F37" i="3" s="1"/>
  <c r="G37" i="3" s="1"/>
  <c r="H37" i="3" s="1"/>
  <c r="B38" i="3" s="1"/>
  <c r="C36" i="3"/>
  <c r="C37" i="3" l="1"/>
  <c r="E38" i="3"/>
  <c r="F38" i="3" s="1"/>
  <c r="G38" i="3" s="1"/>
  <c r="H38" i="3" s="1"/>
  <c r="B39" i="3" s="1"/>
  <c r="C38" i="3" l="1"/>
  <c r="E39" i="3"/>
  <c r="F39" i="3" s="1"/>
  <c r="G39" i="3" s="1"/>
  <c r="H39" i="3" s="1"/>
  <c r="B40" i="3" s="1"/>
  <c r="C39" i="3" l="1"/>
  <c r="E40" i="3"/>
  <c r="F40" i="3" s="1"/>
  <c r="G40" i="3" s="1"/>
  <c r="H40" i="3" s="1"/>
  <c r="B41" i="3" s="1"/>
  <c r="E41" i="3" l="1"/>
  <c r="F41" i="3" s="1"/>
  <c r="G41" i="3" s="1"/>
  <c r="H41" i="3" s="1"/>
  <c r="B42" i="3" s="1"/>
  <c r="C40" i="3"/>
  <c r="C41" i="3" l="1"/>
  <c r="E42" i="3"/>
  <c r="F42" i="3" s="1"/>
  <c r="G42" i="3" s="1"/>
  <c r="H42" i="3" s="1"/>
  <c r="B43" i="3" s="1"/>
  <c r="C42" i="3" l="1"/>
  <c r="E43" i="3"/>
  <c r="F43" i="3" s="1"/>
  <c r="G43" i="3" s="1"/>
  <c r="H43" i="3" s="1"/>
  <c r="B44" i="3" s="1"/>
  <c r="C43" i="3" l="1"/>
  <c r="E44" i="3"/>
  <c r="F44" i="3" l="1"/>
  <c r="G44" i="3" s="1"/>
  <c r="H44" i="3" s="1"/>
  <c r="B45" i="3" s="1"/>
  <c r="E45" i="3" l="1"/>
  <c r="F45" i="3" s="1"/>
  <c r="G45" i="3" s="1"/>
  <c r="H45" i="3" s="1"/>
  <c r="B46" i="3" s="1"/>
  <c r="C44" i="3"/>
  <c r="C45" i="3" l="1"/>
  <c r="E46" i="3"/>
  <c r="F46" i="3" s="1"/>
  <c r="G46" i="3" s="1"/>
  <c r="H46" i="3" s="1"/>
  <c r="B47" i="3" s="1"/>
  <c r="C46" i="3" l="1"/>
  <c r="E47" i="3"/>
  <c r="F47" i="3" s="1"/>
  <c r="G47" i="3" s="1"/>
  <c r="H47" i="3" s="1"/>
  <c r="B48" i="3" s="1"/>
  <c r="E48" i="3" l="1"/>
  <c r="C47" i="3"/>
  <c r="F48" i="3" l="1"/>
  <c r="G48" i="3" s="1"/>
  <c r="H48" i="3" s="1"/>
  <c r="B49" i="3" s="1"/>
  <c r="E49" i="3" l="1"/>
  <c r="F49" i="3" s="1"/>
  <c r="G49" i="3" s="1"/>
  <c r="H49" i="3" s="1"/>
  <c r="B50" i="3" s="1"/>
  <c r="C48" i="3"/>
  <c r="C49" i="3" l="1"/>
  <c r="E50" i="3"/>
  <c r="F50" i="3" s="1"/>
  <c r="G50" i="3" s="1"/>
  <c r="H50" i="3" s="1"/>
  <c r="B51" i="3" s="1"/>
  <c r="C50" i="3" l="1"/>
  <c r="E51" i="3"/>
  <c r="F51" i="3" s="1"/>
  <c r="G51" i="3" s="1"/>
  <c r="H51" i="3" s="1"/>
  <c r="B52" i="3" s="1"/>
  <c r="C51" i="3" l="1"/>
  <c r="E52" i="3"/>
  <c r="F52" i="3" l="1"/>
  <c r="G52" i="3" s="1"/>
  <c r="H52" i="3" s="1"/>
  <c r="B53" i="3" s="1"/>
  <c r="E53" i="3" l="1"/>
  <c r="F53" i="3" s="1"/>
  <c r="G53" i="3" s="1"/>
  <c r="H53" i="3" s="1"/>
  <c r="B54" i="3" s="1"/>
  <c r="C52" i="3"/>
  <c r="C53" i="3" l="1"/>
  <c r="E54" i="3"/>
  <c r="F54" i="3" s="1"/>
  <c r="G54" i="3" s="1"/>
  <c r="H54" i="3" s="1"/>
  <c r="B55" i="3" s="1"/>
  <c r="C54" i="3" l="1"/>
  <c r="E55" i="3"/>
  <c r="F55" i="3"/>
  <c r="G55" i="3" s="1"/>
  <c r="H55" i="3" s="1"/>
  <c r="B56" i="3" s="1"/>
  <c r="C55" i="3" l="1"/>
  <c r="E56" i="3"/>
  <c r="F56" i="3" l="1"/>
  <c r="G56" i="3" s="1"/>
  <c r="H56" i="3" s="1"/>
  <c r="B57" i="3" s="1"/>
  <c r="E57" i="3" l="1"/>
  <c r="F57" i="3" s="1"/>
  <c r="G57" i="3" s="1"/>
  <c r="H57" i="3" s="1"/>
  <c r="B58" i="3" s="1"/>
  <c r="C56" i="3"/>
  <c r="C57" i="3" l="1"/>
  <c r="E58" i="3"/>
  <c r="F58" i="3" s="1"/>
  <c r="G58" i="3" s="1"/>
  <c r="H58" i="3" s="1"/>
  <c r="B59" i="3" s="1"/>
  <c r="C58" i="3" l="1"/>
  <c r="E59" i="3"/>
  <c r="F59" i="3" s="1"/>
  <c r="G59" i="3" s="1"/>
  <c r="H59" i="3" s="1"/>
  <c r="B60" i="3" s="1"/>
  <c r="C59" i="3" l="1"/>
  <c r="E60" i="3"/>
  <c r="F60" i="3"/>
  <c r="G60" i="3" s="1"/>
  <c r="H60" i="3" s="1"/>
  <c r="B61" i="3" s="1"/>
  <c r="E61" i="3" l="1"/>
  <c r="F61" i="3" s="1"/>
  <c r="G61" i="3" s="1"/>
  <c r="H61" i="3" s="1"/>
  <c r="B62" i="3" s="1"/>
  <c r="C60" i="3"/>
  <c r="C61" i="3" l="1"/>
  <c r="E62" i="3"/>
  <c r="F62" i="3" s="1"/>
  <c r="G62" i="3" s="1"/>
  <c r="H62" i="3" s="1"/>
  <c r="B63" i="3" s="1"/>
  <c r="C62" i="3" l="1"/>
  <c r="E63" i="3"/>
  <c r="F63" i="3" s="1"/>
  <c r="G63" i="3" s="1"/>
  <c r="H63" i="3" s="1"/>
  <c r="B64" i="3" s="1"/>
  <c r="E64" i="3" l="1"/>
  <c r="F64" i="3" s="1"/>
  <c r="G64" i="3" s="1"/>
  <c r="H64" i="3" s="1"/>
  <c r="B65" i="3" s="1"/>
  <c r="C63" i="3"/>
  <c r="E65" i="3" l="1"/>
  <c r="F65" i="3" s="1"/>
  <c r="G65" i="3" s="1"/>
  <c r="H65" i="3" s="1"/>
  <c r="B66" i="3" s="1"/>
  <c r="C64" i="3"/>
  <c r="E66" i="3" l="1"/>
  <c r="C65" i="3"/>
  <c r="F66" i="3" l="1"/>
  <c r="G66" i="3" s="1"/>
  <c r="H66" i="3" s="1"/>
  <c r="B67" i="3" s="1"/>
  <c r="C66" i="3" l="1"/>
  <c r="E67" i="3"/>
  <c r="F67" i="3" s="1"/>
  <c r="G67" i="3" s="1"/>
  <c r="H67" i="3" s="1"/>
  <c r="B68" i="3" s="1"/>
  <c r="C67" i="3" l="1"/>
  <c r="E68" i="3"/>
  <c r="F68" i="3" s="1"/>
  <c r="G68" i="3" s="1"/>
  <c r="H68" i="3" s="1"/>
  <c r="B69" i="3" s="1"/>
  <c r="E69" i="3" s="1"/>
  <c r="F69" i="3" l="1"/>
  <c r="G69" i="3" s="1"/>
  <c r="H69" i="3" s="1"/>
  <c r="B70" i="3" s="1"/>
  <c r="E70" i="3" s="1"/>
  <c r="C68" i="3"/>
  <c r="C69" i="3" l="1"/>
  <c r="F70" i="3"/>
  <c r="G70" i="3" s="1"/>
  <c r="H70" i="3" s="1"/>
  <c r="B71" i="3" s="1"/>
  <c r="E71" i="3" l="1"/>
  <c r="F71" i="3" s="1"/>
  <c r="C70" i="3"/>
  <c r="G71" i="3" l="1"/>
  <c r="H71" i="3" s="1"/>
  <c r="B72" i="3" s="1"/>
  <c r="C71" i="3"/>
  <c r="E72" i="3" l="1"/>
  <c r="F72" i="3" s="1"/>
  <c r="G72" i="3" s="1"/>
  <c r="H72" i="3" s="1"/>
  <c r="B73" i="3" s="1"/>
  <c r="C72" i="3" l="1"/>
  <c r="E73" i="3"/>
  <c r="F73" i="3" s="1"/>
  <c r="G73" i="3" s="1"/>
  <c r="H73" i="3" s="1"/>
  <c r="B74" i="3" s="1"/>
  <c r="C73" i="3" l="1"/>
  <c r="E74" i="3"/>
  <c r="F74" i="3"/>
  <c r="G74" i="3" s="1"/>
  <c r="H74" i="3" s="1"/>
  <c r="B75" i="3" s="1"/>
  <c r="E75" i="3" l="1"/>
  <c r="F75" i="3" s="1"/>
  <c r="G75" i="3" s="1"/>
  <c r="H75" i="3" s="1"/>
  <c r="B76" i="3" s="1"/>
  <c r="C74" i="3"/>
  <c r="C75" i="3" l="1"/>
  <c r="E76" i="3"/>
  <c r="F76" i="3" s="1"/>
  <c r="G76" i="3" s="1"/>
  <c r="H76" i="3" s="1"/>
  <c r="B77" i="3" s="1"/>
  <c r="C76" i="3" l="1"/>
  <c r="E77" i="3"/>
  <c r="F77" i="3" l="1"/>
  <c r="G77" i="3" s="1"/>
  <c r="H77" i="3" s="1"/>
  <c r="B78" i="3" s="1"/>
  <c r="E78" i="3" s="1"/>
  <c r="C77" i="3" l="1"/>
  <c r="F78" i="3"/>
  <c r="G78" i="3" s="1"/>
  <c r="H78" i="3" s="1"/>
  <c r="B79" i="3" s="1"/>
  <c r="E79" i="3" s="1"/>
  <c r="F79" i="3" s="1"/>
  <c r="G79" i="3" s="1"/>
  <c r="H79" i="3" s="1"/>
  <c r="B80" i="3" s="1"/>
  <c r="C78" i="3" l="1"/>
  <c r="E80" i="3"/>
  <c r="F80" i="3" s="1"/>
  <c r="G80" i="3" s="1"/>
  <c r="H80" i="3" s="1"/>
  <c r="B81" i="3" s="1"/>
  <c r="C79" i="3"/>
  <c r="C80" i="3" l="1"/>
  <c r="E81" i="3"/>
  <c r="F81" i="3" s="1"/>
  <c r="G81" i="3" s="1"/>
  <c r="H81" i="3" s="1"/>
  <c r="B82" i="3" s="1"/>
  <c r="C81" i="3" l="1"/>
  <c r="E82" i="3"/>
  <c r="F82" i="3" s="1"/>
  <c r="G82" i="3" s="1"/>
  <c r="H82" i="3" s="1"/>
  <c r="B83" i="3" s="1"/>
  <c r="E83" i="3" l="1"/>
  <c r="C82" i="3"/>
  <c r="F83" i="3" l="1"/>
  <c r="G83" i="3" s="1"/>
  <c r="H83" i="3" s="1"/>
  <c r="B84" i="3" s="1"/>
  <c r="E84" i="3" l="1"/>
  <c r="F84" i="3"/>
  <c r="G84" i="3" s="1"/>
  <c r="H84" i="3" s="1"/>
  <c r="B85" i="3" s="1"/>
  <c r="C83" i="3"/>
  <c r="C84" i="3" l="1"/>
  <c r="E85" i="3"/>
  <c r="F85" i="3" s="1"/>
  <c r="G85" i="3" s="1"/>
  <c r="H85" i="3" s="1"/>
  <c r="B86" i="3" s="1"/>
  <c r="C85" i="3" l="1"/>
  <c r="E86" i="3"/>
  <c r="F86" i="3" s="1"/>
  <c r="G86" i="3" s="1"/>
  <c r="H86" i="3" s="1"/>
  <c r="B87" i="3" s="1"/>
  <c r="C86" i="3" l="1"/>
  <c r="E87" i="3"/>
  <c r="F87" i="3" s="1"/>
  <c r="G87" i="3" s="1"/>
  <c r="H87" i="3" s="1"/>
  <c r="B88" i="3" s="1"/>
  <c r="E88" i="3" l="1"/>
  <c r="F88" i="3" s="1"/>
  <c r="G88" i="3" s="1"/>
  <c r="H88" i="3" s="1"/>
  <c r="B89" i="3" s="1"/>
  <c r="C87" i="3"/>
  <c r="C88" i="3" l="1"/>
  <c r="E89" i="3"/>
  <c r="F89" i="3" s="1"/>
  <c r="G89" i="3" s="1"/>
  <c r="H89" i="3" s="1"/>
  <c r="B90" i="3" s="1"/>
  <c r="E90" i="3" l="1"/>
  <c r="F90" i="3" s="1"/>
  <c r="G90" i="3" s="1"/>
  <c r="H90" i="3" s="1"/>
  <c r="B91" i="3" s="1"/>
  <c r="C89" i="3"/>
  <c r="E91" i="3" l="1"/>
  <c r="F91" i="3" s="1"/>
  <c r="G91" i="3" s="1"/>
  <c r="H91" i="3" s="1"/>
  <c r="B92" i="3" s="1"/>
  <c r="C90" i="3"/>
  <c r="E92" i="3" l="1"/>
  <c r="F92" i="3" s="1"/>
  <c r="G92" i="3" s="1"/>
  <c r="H92" i="3" s="1"/>
  <c r="B93" i="3" s="1"/>
  <c r="C91" i="3"/>
  <c r="C92" i="3" l="1"/>
  <c r="E93" i="3"/>
  <c r="F93" i="3" s="1"/>
  <c r="G93" i="3" s="1"/>
  <c r="H93" i="3" s="1"/>
  <c r="B94" i="3" s="1"/>
  <c r="C93" i="3" l="1"/>
  <c r="E94" i="3"/>
  <c r="F94" i="3"/>
  <c r="G94" i="3" s="1"/>
  <c r="H94" i="3" s="1"/>
  <c r="B95" i="3" s="1"/>
  <c r="C94" i="3" l="1"/>
  <c r="E95" i="3"/>
  <c r="F95" i="3" s="1"/>
  <c r="G95" i="3" l="1"/>
  <c r="H95" i="3" s="1"/>
  <c r="B96" i="3" s="1"/>
  <c r="C95" i="3"/>
  <c r="E96" i="3" l="1"/>
  <c r="F96" i="3" s="1"/>
  <c r="G96" i="3" s="1"/>
  <c r="H96" i="3" s="1"/>
  <c r="B97" i="3" s="1"/>
  <c r="C96" i="3" l="1"/>
  <c r="E97" i="3"/>
  <c r="F97" i="3"/>
  <c r="G97" i="3" s="1"/>
  <c r="H97" i="3" s="1"/>
  <c r="B98" i="3" s="1"/>
  <c r="C97" i="3" l="1"/>
  <c r="E98" i="3"/>
  <c r="F98" i="3" s="1"/>
  <c r="G98" i="3" l="1"/>
  <c r="H98" i="3" s="1"/>
  <c r="B99" i="3" s="1"/>
  <c r="E99" i="3" s="1"/>
  <c r="C98" i="3"/>
  <c r="F99" i="3" l="1"/>
  <c r="G99" i="3" s="1"/>
  <c r="H99" i="3" s="1"/>
  <c r="B100" i="3" s="1"/>
  <c r="E100" i="3" s="1"/>
  <c r="F100" i="3" s="1"/>
  <c r="G100" i="3" s="1"/>
  <c r="H100" i="3" s="1"/>
  <c r="B101" i="3" s="1"/>
  <c r="C99" i="3" l="1"/>
  <c r="C100" i="3"/>
  <c r="E101" i="3"/>
  <c r="F101" i="3" s="1"/>
  <c r="G101" i="3" s="1"/>
  <c r="H101" i="3" s="1"/>
  <c r="B102" i="3" s="1"/>
  <c r="E102" i="3" l="1"/>
  <c r="F102" i="3" s="1"/>
  <c r="G102" i="3" s="1"/>
  <c r="H102" i="3" s="1"/>
  <c r="B103" i="3" s="1"/>
  <c r="C101" i="3"/>
  <c r="E103" i="3" l="1"/>
  <c r="F103" i="3" s="1"/>
  <c r="G103" i="3" s="1"/>
  <c r="H103" i="3" s="1"/>
  <c r="B104" i="3" s="1"/>
  <c r="C102" i="3"/>
  <c r="E104" i="3" l="1"/>
  <c r="F104" i="3" s="1"/>
  <c r="G104" i="3" s="1"/>
  <c r="H104" i="3" s="1"/>
  <c r="B105" i="3" s="1"/>
  <c r="C103" i="3"/>
  <c r="C104" i="3" l="1"/>
  <c r="E105" i="3"/>
  <c r="F105" i="3" s="1"/>
  <c r="G105" i="3" s="1"/>
  <c r="H105" i="3" s="1"/>
  <c r="B106" i="3" s="1"/>
  <c r="E106" i="3" l="1"/>
  <c r="C105" i="3"/>
  <c r="F106" i="3" l="1"/>
  <c r="G106" i="3" s="1"/>
  <c r="H106" i="3" s="1"/>
  <c r="B107" i="3" s="1"/>
  <c r="E107" i="3" s="1"/>
  <c r="F107" i="3" l="1"/>
  <c r="G107" i="3" s="1"/>
  <c r="H107" i="3" s="1"/>
  <c r="B108" i="3" s="1"/>
  <c r="E108" i="3" s="1"/>
  <c r="C106" i="3"/>
  <c r="F108" i="3" l="1"/>
  <c r="G108" i="3" s="1"/>
  <c r="H108" i="3" s="1"/>
  <c r="B109" i="3" s="1"/>
  <c r="E109" i="3" s="1"/>
  <c r="F109" i="3" s="1"/>
  <c r="G109" i="3" s="1"/>
  <c r="H109" i="3" s="1"/>
  <c r="B110" i="3" s="1"/>
  <c r="C107" i="3"/>
  <c r="C108" i="3" l="1"/>
  <c r="E110" i="3"/>
  <c r="F110" i="3" s="1"/>
  <c r="G110" i="3" s="1"/>
  <c r="H110" i="3" s="1"/>
  <c r="B111" i="3" s="1"/>
  <c r="C109" i="3"/>
  <c r="E111" i="3" l="1"/>
  <c r="F111" i="3" s="1"/>
  <c r="G111" i="3" s="1"/>
  <c r="H111" i="3" s="1"/>
  <c r="B112" i="3" s="1"/>
  <c r="C110" i="3"/>
  <c r="C111" i="3" l="1"/>
  <c r="E112" i="3"/>
  <c r="F112" i="3" s="1"/>
  <c r="G112" i="3" s="1"/>
  <c r="H112" i="3" s="1"/>
  <c r="B113" i="3" s="1"/>
  <c r="C112" i="3" l="1"/>
  <c r="E113" i="3"/>
  <c r="F113" i="3"/>
  <c r="G113" i="3" s="1"/>
  <c r="H113" i="3" s="1"/>
  <c r="B114" i="3" s="1"/>
  <c r="C113" i="3" l="1"/>
  <c r="E114" i="3"/>
  <c r="F114" i="3" s="1"/>
  <c r="G114" i="3" l="1"/>
  <c r="H114" i="3" s="1"/>
  <c r="B115" i="3" s="1"/>
  <c r="C114" i="3"/>
  <c r="E115" i="3" l="1"/>
  <c r="F115" i="3" s="1"/>
  <c r="G115" i="3" s="1"/>
  <c r="H115" i="3" s="1"/>
  <c r="B116" i="3" s="1"/>
  <c r="E116" i="3" l="1"/>
  <c r="F116" i="3" s="1"/>
  <c r="G116" i="3" s="1"/>
  <c r="H116" i="3" s="1"/>
  <c r="B117" i="3" s="1"/>
  <c r="C115" i="3"/>
  <c r="C116" i="3" l="1"/>
  <c r="E117" i="3"/>
  <c r="F117" i="3" l="1"/>
  <c r="G117" i="3" s="1"/>
  <c r="H117" i="3" s="1"/>
  <c r="B118" i="3" s="1"/>
  <c r="E118" i="3" l="1"/>
  <c r="F118" i="3"/>
  <c r="G118" i="3" s="1"/>
  <c r="H118" i="3" s="1"/>
  <c r="B119" i="3" s="1"/>
  <c r="C117" i="3"/>
  <c r="C118" i="3" l="1"/>
  <c r="E119" i="3"/>
  <c r="F119" i="3" s="1"/>
  <c r="G119" i="3" l="1"/>
  <c r="H119" i="3" s="1"/>
  <c r="B120" i="3" s="1"/>
  <c r="C119" i="3"/>
  <c r="E120" i="3" l="1"/>
  <c r="F120" i="3" l="1"/>
  <c r="G120" i="3" s="1"/>
  <c r="H120" i="3" s="1"/>
  <c r="B121" i="3" s="1"/>
  <c r="E121" i="3" l="1"/>
  <c r="F121" i="3" s="1"/>
  <c r="G121" i="3" s="1"/>
  <c r="H121" i="3" s="1"/>
  <c r="B122" i="3" s="1"/>
  <c r="C120" i="3"/>
  <c r="C121" i="3" l="1"/>
  <c r="E122" i="3"/>
  <c r="F122" i="3"/>
  <c r="G122" i="3" s="1"/>
  <c r="H122" i="3" s="1"/>
  <c r="C122" i="3" l="1"/>
  <c r="B123" i="3"/>
  <c r="E123" i="3" l="1"/>
  <c r="F123" i="3" s="1"/>
  <c r="G123" i="3" s="1"/>
  <c r="H123" i="3" s="1"/>
  <c r="C123" i="3" l="1"/>
  <c r="B124" i="3"/>
  <c r="E124" i="3" l="1"/>
  <c r="F124" i="3" s="1"/>
  <c r="G124" i="3" l="1"/>
  <c r="H124" i="3" s="1"/>
  <c r="B125" i="3" s="1"/>
  <c r="E125" i="3" s="1"/>
  <c r="C124" i="3"/>
  <c r="F125" i="3" l="1"/>
  <c r="G125" i="3" s="1"/>
  <c r="H125" i="3" s="1"/>
  <c r="B126" i="3" s="1"/>
  <c r="C125" i="3" l="1"/>
  <c r="E126" i="3"/>
  <c r="F126" i="3"/>
  <c r="G126" i="3" s="1"/>
  <c r="H126" i="3" s="1"/>
  <c r="C126" i="3" l="1"/>
  <c r="B127" i="3"/>
  <c r="E127" i="3" l="1"/>
  <c r="F127" i="3"/>
  <c r="G127" i="3" s="1"/>
  <c r="H127" i="3" s="1"/>
  <c r="B128" i="3" s="1"/>
  <c r="C127" i="3" l="1"/>
  <c r="E128" i="3"/>
  <c r="F128" i="3" s="1"/>
  <c r="G128" i="3" s="1"/>
  <c r="H128" i="3" s="1"/>
  <c r="C128" i="3" l="1"/>
  <c r="B129" i="3"/>
  <c r="E129" i="3" l="1"/>
  <c r="F129" i="3" s="1"/>
  <c r="G129" i="3" s="1"/>
  <c r="H129" i="3" s="1"/>
  <c r="C129" i="3" l="1"/>
  <c r="B130" i="3"/>
  <c r="E130" i="3" l="1"/>
  <c r="F130" i="3"/>
  <c r="G130" i="3" s="1"/>
  <c r="H130" i="3" s="1"/>
  <c r="B131" i="3" s="1"/>
  <c r="C130" i="3" l="1"/>
  <c r="E131" i="3"/>
  <c r="F131" i="3" l="1"/>
  <c r="G131" i="3" s="1"/>
  <c r="H131" i="3" s="1"/>
  <c r="B132" i="3" s="1"/>
  <c r="C131" i="3" l="1"/>
  <c r="E132" i="3"/>
  <c r="F132" i="3" s="1"/>
  <c r="G132" i="3" s="1"/>
  <c r="H132" i="3" s="1"/>
  <c r="C132" i="3" l="1"/>
  <c r="B133" i="3"/>
  <c r="E133" i="3" l="1"/>
  <c r="F133" i="3" s="1"/>
  <c r="G133" i="3" s="1"/>
  <c r="H133" i="3" s="1"/>
  <c r="B134" i="3" s="1"/>
  <c r="C133" i="3" l="1"/>
  <c r="E134" i="3"/>
  <c r="F134" i="3"/>
  <c r="G134" i="3" s="1"/>
  <c r="H134" i="3" s="1"/>
  <c r="B135" i="3" s="1"/>
  <c r="C134" i="3" l="1"/>
  <c r="E135" i="3"/>
  <c r="F135" i="3" s="1"/>
  <c r="G135" i="3" s="1"/>
  <c r="H135" i="3" s="1"/>
  <c r="C135" i="3" l="1"/>
  <c r="B136" i="3"/>
  <c r="E136" i="3" l="1"/>
  <c r="F136" i="3" s="1"/>
  <c r="G136" i="3" s="1"/>
  <c r="H136" i="3" s="1"/>
  <c r="C136" i="3" l="1"/>
  <c r="B137" i="3"/>
  <c r="E137" i="3" l="1"/>
  <c r="F137" i="3" s="1"/>
  <c r="G137" i="3" s="1"/>
  <c r="H137" i="3" s="1"/>
  <c r="C137" i="3" l="1"/>
  <c r="B138" i="3"/>
  <c r="E138" i="3" l="1"/>
  <c r="F138" i="3" s="1"/>
  <c r="G138" i="3" s="1"/>
  <c r="H138" i="3" s="1"/>
  <c r="B139" i="3" s="1"/>
  <c r="C138" i="3" l="1"/>
  <c r="E139" i="3"/>
  <c r="F139" i="3" l="1"/>
  <c r="G139" i="3" s="1"/>
  <c r="H139" i="3" s="1"/>
  <c r="B140" i="3" s="1"/>
  <c r="C139" i="3" l="1"/>
  <c r="E140" i="3"/>
  <c r="F140" i="3" s="1"/>
  <c r="G140" i="3" s="1"/>
  <c r="H140" i="3" s="1"/>
  <c r="B141" i="3" s="1"/>
  <c r="C140" i="3" l="1"/>
  <c r="E141" i="3"/>
  <c r="F141" i="3"/>
  <c r="G141" i="3" s="1"/>
  <c r="H141" i="3" s="1"/>
  <c r="B142" i="3" s="1"/>
  <c r="C141" i="3" l="1"/>
  <c r="E142" i="3"/>
  <c r="F142" i="3" l="1"/>
  <c r="G142" i="3" s="1"/>
  <c r="H142" i="3" s="1"/>
  <c r="B143" i="3" s="1"/>
  <c r="C142" i="3" l="1"/>
  <c r="E143" i="3"/>
  <c r="F143" i="3" l="1"/>
  <c r="G143" i="3" s="1"/>
  <c r="H143" i="3" s="1"/>
  <c r="B144" i="3" s="1"/>
  <c r="C143" i="3" l="1"/>
  <c r="E144" i="3"/>
  <c r="F144" i="3" s="1"/>
  <c r="G144" i="3" s="1"/>
  <c r="H144" i="3" s="1"/>
  <c r="B145" i="3" s="1"/>
  <c r="C144" i="3" l="1"/>
  <c r="E145" i="3"/>
  <c r="F145" i="3" s="1"/>
  <c r="G145" i="3" l="1"/>
  <c r="H145" i="3" s="1"/>
  <c r="B146" i="3" s="1"/>
  <c r="C145" i="3"/>
  <c r="E146" i="3" l="1"/>
  <c r="F146" i="3" s="1"/>
  <c r="G146" i="3" s="1"/>
  <c r="H146" i="3" s="1"/>
  <c r="B147" i="3" s="1"/>
  <c r="C146" i="3" l="1"/>
  <c r="E147" i="3"/>
  <c r="F147" i="3" l="1"/>
  <c r="G147" i="3" s="1"/>
  <c r="H147" i="3" s="1"/>
  <c r="B148" i="3" s="1"/>
  <c r="E148" i="3" l="1"/>
  <c r="C147" i="3"/>
  <c r="F148" i="3" l="1"/>
  <c r="G148" i="3" s="1"/>
  <c r="H148" i="3" s="1"/>
  <c r="B149" i="3" s="1"/>
  <c r="E149" i="3" s="1"/>
  <c r="F149" i="3" l="1"/>
  <c r="G149" i="3" s="1"/>
  <c r="H149" i="3" s="1"/>
  <c r="B150" i="3" s="1"/>
  <c r="C148" i="3"/>
  <c r="C149" i="3" l="1"/>
  <c r="E150" i="3"/>
  <c r="F150" i="3" s="1"/>
  <c r="G150" i="3" s="1"/>
  <c r="H150" i="3" s="1"/>
  <c r="C150" i="3" l="1"/>
  <c r="B151" i="3"/>
  <c r="E151" i="3" l="1"/>
  <c r="F151" i="3" l="1"/>
  <c r="G151" i="3" s="1"/>
  <c r="H151" i="3" s="1"/>
  <c r="B152" i="3" s="1"/>
  <c r="C151" i="3" l="1"/>
  <c r="E152" i="3"/>
  <c r="F152" i="3"/>
  <c r="G152" i="3" s="1"/>
  <c r="H152" i="3" s="1"/>
  <c r="C152" i="3" l="1"/>
  <c r="B153" i="3"/>
  <c r="E153" i="3" l="1"/>
  <c r="F153" i="3" s="1"/>
  <c r="G153" i="3" s="1"/>
  <c r="H153" i="3" s="1"/>
  <c r="B154" i="3" s="1"/>
  <c r="C153" i="3" l="1"/>
  <c r="E154" i="3"/>
  <c r="F154" i="3"/>
  <c r="G154" i="3" s="1"/>
  <c r="H154" i="3" s="1"/>
  <c r="C154" i="3" l="1"/>
  <c r="B155" i="3"/>
  <c r="E155" i="3" l="1"/>
  <c r="F155" i="3" s="1"/>
  <c r="G155" i="3" s="1"/>
  <c r="H155" i="3" s="1"/>
  <c r="C155" i="3" l="1"/>
  <c r="B156" i="3"/>
  <c r="E156" i="3" l="1"/>
  <c r="F156" i="3" l="1"/>
  <c r="G156" i="3" s="1"/>
  <c r="H156" i="3" s="1"/>
  <c r="B157" i="3" s="1"/>
  <c r="C156" i="3" l="1"/>
  <c r="E157" i="3"/>
  <c r="F157" i="3"/>
  <c r="G157" i="3" s="1"/>
  <c r="H157" i="3" s="1"/>
  <c r="C157" i="3" l="1"/>
  <c r="B158" i="3"/>
  <c r="E158" i="3" l="1"/>
  <c r="F158" i="3" s="1"/>
  <c r="G158" i="3" s="1"/>
  <c r="H158" i="3" s="1"/>
  <c r="C158" i="3" l="1"/>
  <c r="B159" i="3"/>
  <c r="E159" i="3" s="1"/>
  <c r="F159" i="3" l="1"/>
  <c r="G159" i="3" l="1"/>
  <c r="H159" i="3" s="1"/>
  <c r="B160" i="3" s="1"/>
  <c r="C159" i="3"/>
  <c r="E160" i="3" l="1"/>
  <c r="F160" i="3" s="1"/>
  <c r="G160" i="3" s="1"/>
  <c r="H160" i="3" s="1"/>
  <c r="B161" i="3" s="1"/>
  <c r="E161" i="3" l="1"/>
  <c r="F161" i="3"/>
  <c r="G161" i="3" s="1"/>
  <c r="H161" i="3" s="1"/>
  <c r="B162" i="3" s="1"/>
  <c r="C160" i="3"/>
  <c r="C161" i="3" l="1"/>
  <c r="E162" i="3"/>
  <c r="F162" i="3" s="1"/>
  <c r="G162" i="3" s="1"/>
  <c r="H162" i="3" s="1"/>
  <c r="B163" i="3" s="1"/>
  <c r="E163" i="3" l="1"/>
  <c r="F163" i="3" s="1"/>
  <c r="G163" i="3" s="1"/>
  <c r="H163" i="3" s="1"/>
  <c r="B164" i="3" s="1"/>
  <c r="C162" i="3"/>
  <c r="E164" i="3" l="1"/>
  <c r="F164" i="3" s="1"/>
  <c r="G164" i="3" s="1"/>
  <c r="H164" i="3" s="1"/>
  <c r="B165" i="3" s="1"/>
  <c r="C163" i="3"/>
  <c r="E165" i="3" l="1"/>
  <c r="F165" i="3" s="1"/>
  <c r="G165" i="3" s="1"/>
  <c r="H165" i="3" s="1"/>
  <c r="B166" i="3" s="1"/>
  <c r="C164" i="3"/>
  <c r="E166" i="3" l="1"/>
  <c r="F166" i="3" s="1"/>
  <c r="G166" i="3" s="1"/>
  <c r="H166" i="3" s="1"/>
  <c r="B167" i="3" s="1"/>
  <c r="C165" i="3"/>
  <c r="E167" i="3" l="1"/>
  <c r="C166" i="3"/>
  <c r="F167" i="3" l="1"/>
  <c r="G167" i="3" s="1"/>
  <c r="H167" i="3" s="1"/>
  <c r="B168" i="3" s="1"/>
  <c r="E168" i="3" s="1"/>
  <c r="F168" i="3" l="1"/>
  <c r="G168" i="3" s="1"/>
  <c r="H168" i="3" s="1"/>
  <c r="B169" i="3" s="1"/>
  <c r="E169" i="3" s="1"/>
  <c r="F169" i="3" s="1"/>
  <c r="G169" i="3" s="1"/>
  <c r="H169" i="3" s="1"/>
  <c r="B170" i="3" s="1"/>
  <c r="C167" i="3"/>
  <c r="C168" i="3" l="1"/>
  <c r="C169" i="3"/>
  <c r="E170" i="3"/>
  <c r="F170" i="3"/>
  <c r="G170" i="3" s="1"/>
  <c r="H170" i="3" s="1"/>
  <c r="C170" i="3" l="1"/>
  <c r="B171" i="3"/>
  <c r="E171" i="3" l="1"/>
  <c r="F171" i="3"/>
  <c r="G171" i="3" s="1"/>
  <c r="H171" i="3" s="1"/>
  <c r="B172" i="3" s="1"/>
  <c r="C171" i="3" l="1"/>
  <c r="E172" i="3"/>
  <c r="F172" i="3" s="1"/>
  <c r="G172" i="3" s="1"/>
  <c r="H172" i="3" s="1"/>
  <c r="B173" i="3" s="1"/>
  <c r="E173" i="3" l="1"/>
  <c r="C172" i="3"/>
  <c r="F173" i="3" l="1"/>
  <c r="G173" i="3" s="1"/>
  <c r="H173" i="3" s="1"/>
  <c r="B174" i="3" s="1"/>
  <c r="E174" i="3" l="1"/>
  <c r="F174" i="3" s="1"/>
  <c r="G174" i="3" s="1"/>
  <c r="H174" i="3" s="1"/>
  <c r="B175" i="3" s="1"/>
  <c r="C173" i="3"/>
  <c r="E175" i="3" l="1"/>
  <c r="C174" i="3"/>
  <c r="F175" i="3" l="1"/>
  <c r="G175" i="3" s="1"/>
  <c r="H175" i="3" s="1"/>
  <c r="B176" i="3" s="1"/>
  <c r="E176" i="3" l="1"/>
  <c r="F176" i="3" s="1"/>
  <c r="G176" i="3" s="1"/>
  <c r="H176" i="3" s="1"/>
  <c r="B177" i="3" s="1"/>
  <c r="C175" i="3"/>
  <c r="C176" i="3" l="1"/>
  <c r="E177" i="3"/>
  <c r="F177" i="3" l="1"/>
  <c r="G177" i="3" s="1"/>
  <c r="H177" i="3" s="1"/>
  <c r="B178" i="3" s="1"/>
  <c r="E178" i="3" s="1"/>
  <c r="F178" i="3" l="1"/>
  <c r="G178" i="3" s="1"/>
  <c r="H178" i="3" s="1"/>
  <c r="B179" i="3" s="1"/>
  <c r="E179" i="3" s="1"/>
  <c r="F179" i="3" s="1"/>
  <c r="C177" i="3"/>
  <c r="C178" i="3" l="1"/>
  <c r="G179" i="3"/>
  <c r="H179" i="3" s="1"/>
  <c r="B180" i="3" s="1"/>
  <c r="C179" i="3"/>
  <c r="E180" i="3" l="1"/>
  <c r="F180" i="3" s="1"/>
  <c r="G180" i="3" s="1"/>
  <c r="H180" i="3" s="1"/>
  <c r="B181" i="3" s="1"/>
  <c r="C180" i="3" l="1"/>
  <c r="E181" i="3"/>
  <c r="F181" i="3" s="1"/>
  <c r="G181" i="3" s="1"/>
  <c r="H181" i="3" s="1"/>
  <c r="B182" i="3" s="1"/>
  <c r="E182" i="3" l="1"/>
  <c r="C181" i="3"/>
  <c r="F182" i="3" l="1"/>
  <c r="G182" i="3" s="1"/>
  <c r="H182" i="3" s="1"/>
  <c r="B183" i="3" s="1"/>
  <c r="E183" i="3" l="1"/>
  <c r="F183" i="3" s="1"/>
  <c r="G183" i="3" s="1"/>
  <c r="H183" i="3" s="1"/>
  <c r="B184" i="3" s="1"/>
  <c r="C182" i="3"/>
  <c r="E184" i="3" l="1"/>
  <c r="F184" i="3" s="1"/>
  <c r="G184" i="3" s="1"/>
  <c r="H184" i="3" s="1"/>
  <c r="B185" i="3" s="1"/>
  <c r="C183" i="3"/>
  <c r="C184" i="3" l="1"/>
  <c r="E185" i="3"/>
  <c r="F185" i="3" s="1"/>
  <c r="G185" i="3" l="1"/>
  <c r="H185" i="3" s="1"/>
  <c r="B186" i="3" s="1"/>
  <c r="C185" i="3"/>
  <c r="E186" i="3" l="1"/>
  <c r="F186" i="3"/>
  <c r="G186" i="3" s="1"/>
  <c r="H186" i="3" s="1"/>
  <c r="B187" i="3" s="1"/>
  <c r="C186" i="3" l="1"/>
  <c r="E187" i="3"/>
  <c r="F187" i="3" s="1"/>
  <c r="G187" i="3" l="1"/>
  <c r="H187" i="3" s="1"/>
  <c r="B188" i="3" s="1"/>
  <c r="C187" i="3"/>
  <c r="E188" i="3" l="1"/>
  <c r="F188" i="3"/>
  <c r="G188" i="3" s="1"/>
  <c r="H188" i="3" s="1"/>
  <c r="B189" i="3" s="1"/>
  <c r="C188" i="3" l="1"/>
  <c r="E189" i="3"/>
  <c r="F189" i="3" l="1"/>
  <c r="G189" i="3" s="1"/>
  <c r="H189" i="3" s="1"/>
  <c r="B190" i="3" s="1"/>
  <c r="E190" i="3" l="1"/>
  <c r="F190" i="3" s="1"/>
  <c r="G190" i="3" s="1"/>
  <c r="H190" i="3" s="1"/>
  <c r="B191" i="3" s="1"/>
  <c r="C189" i="3"/>
  <c r="C190" i="3" l="1"/>
  <c r="E191" i="3"/>
  <c r="F191" i="3" l="1"/>
  <c r="G191" i="3" s="1"/>
  <c r="H191" i="3" s="1"/>
  <c r="B192" i="3" s="1"/>
  <c r="E192" i="3" l="1"/>
  <c r="F192" i="3"/>
  <c r="G192" i="3" s="1"/>
  <c r="H192" i="3" s="1"/>
  <c r="B193" i="3" s="1"/>
  <c r="C191" i="3"/>
  <c r="C192" i="3" l="1"/>
  <c r="E193" i="3"/>
  <c r="F193" i="3"/>
  <c r="G193" i="3" s="1"/>
  <c r="H193" i="3" s="1"/>
  <c r="B194" i="3" s="1"/>
  <c r="E194" i="3" l="1"/>
  <c r="C193" i="3"/>
  <c r="F194" i="3" l="1"/>
  <c r="G194" i="3" s="1"/>
  <c r="H194" i="3" s="1"/>
  <c r="B195" i="3" s="1"/>
  <c r="E195" i="3" l="1"/>
  <c r="F195" i="3" s="1"/>
  <c r="G195" i="3" s="1"/>
  <c r="H195" i="3" s="1"/>
  <c r="B196" i="3" s="1"/>
  <c r="C194" i="3"/>
  <c r="C195" i="3" l="1"/>
  <c r="E196" i="3"/>
  <c r="F196" i="3"/>
  <c r="G196" i="3" s="1"/>
  <c r="H196" i="3" s="1"/>
  <c r="B197" i="3" s="1"/>
  <c r="C196" i="3" l="1"/>
  <c r="E197" i="3"/>
  <c r="F197" i="3"/>
  <c r="G197" i="3" s="1"/>
  <c r="H197" i="3" s="1"/>
  <c r="B198" i="3" s="1"/>
  <c r="C197" i="3" l="1"/>
  <c r="E198" i="3"/>
  <c r="F198" i="3"/>
  <c r="G198" i="3" s="1"/>
  <c r="H198" i="3" s="1"/>
  <c r="B199" i="3" s="1"/>
  <c r="C198" i="3" l="1"/>
  <c r="E199" i="3"/>
  <c r="F199" i="3" l="1"/>
  <c r="G199" i="3" s="1"/>
  <c r="H199" i="3" s="1"/>
  <c r="B200" i="3" s="1"/>
  <c r="E200" i="3" s="1"/>
  <c r="C199" i="3" l="1"/>
  <c r="F200" i="3"/>
  <c r="G200" i="3" s="1"/>
  <c r="H200" i="3" s="1"/>
  <c r="B201" i="3" s="1"/>
  <c r="E201" i="3" l="1"/>
  <c r="F201" i="3" s="1"/>
  <c r="G201" i="3" s="1"/>
  <c r="H201" i="3" s="1"/>
  <c r="B202" i="3" s="1"/>
  <c r="C200" i="3"/>
  <c r="C201" i="3" l="1"/>
  <c r="E202" i="3"/>
  <c r="F202" i="3"/>
  <c r="G202" i="3" s="1"/>
  <c r="H202" i="3" s="1"/>
  <c r="B203" i="3" s="1"/>
  <c r="E203" i="3" l="1"/>
  <c r="C202" i="3"/>
  <c r="F203" i="3" l="1"/>
  <c r="G203" i="3" s="1"/>
  <c r="H203" i="3" s="1"/>
  <c r="B204" i="3" s="1"/>
  <c r="E204" i="3" l="1"/>
  <c r="F204" i="3"/>
  <c r="G204" i="3" s="1"/>
  <c r="H204" i="3" s="1"/>
  <c r="B205" i="3" s="1"/>
  <c r="C203" i="3"/>
  <c r="C204" i="3" l="1"/>
  <c r="E205" i="3"/>
  <c r="F205" i="3"/>
  <c r="G205" i="3" s="1"/>
  <c r="H205" i="3" s="1"/>
  <c r="B206" i="3" s="1"/>
  <c r="C205" i="3" l="1"/>
  <c r="E206" i="3"/>
  <c r="F206" i="3" s="1"/>
  <c r="G206" i="3" s="1"/>
  <c r="H206" i="3" s="1"/>
  <c r="B207" i="3" s="1"/>
  <c r="E207" i="3" l="1"/>
  <c r="C206" i="3"/>
  <c r="F207" i="3" l="1"/>
  <c r="G207" i="3" s="1"/>
  <c r="H207" i="3" s="1"/>
  <c r="B208" i="3" s="1"/>
  <c r="E208" i="3" l="1"/>
  <c r="F208" i="3"/>
  <c r="G208" i="3" s="1"/>
  <c r="H208" i="3" s="1"/>
  <c r="B209" i="3" s="1"/>
  <c r="C207" i="3"/>
  <c r="C208" i="3" l="1"/>
  <c r="E209" i="3"/>
  <c r="F209" i="3"/>
  <c r="G209" i="3" s="1"/>
  <c r="H209" i="3" s="1"/>
  <c r="B210" i="3" s="1"/>
  <c r="C209" i="3" l="1"/>
  <c r="E210" i="3"/>
  <c r="F210" i="3"/>
  <c r="G210" i="3" s="1"/>
  <c r="H210" i="3" s="1"/>
  <c r="B211" i="3" s="1"/>
  <c r="C210" i="3" l="1"/>
  <c r="E211" i="3"/>
  <c r="F211" i="3" s="1"/>
  <c r="G211" i="3" s="1"/>
  <c r="H211" i="3" s="1"/>
  <c r="B212" i="3" s="1"/>
  <c r="E212" i="3" l="1"/>
  <c r="F212" i="3" s="1"/>
  <c r="G212" i="3" s="1"/>
  <c r="H212" i="3" s="1"/>
  <c r="B213" i="3" s="1"/>
  <c r="C211" i="3"/>
  <c r="C212" i="3" l="1"/>
  <c r="E213" i="3"/>
  <c r="F213" i="3" s="1"/>
  <c r="G213" i="3" s="1"/>
  <c r="H213" i="3" s="1"/>
  <c r="B214" i="3" s="1"/>
  <c r="E214" i="3" l="1"/>
  <c r="F214" i="3" s="1"/>
  <c r="G214" i="3" s="1"/>
  <c r="H214" i="3" s="1"/>
  <c r="B215" i="3" s="1"/>
  <c r="C213" i="3"/>
  <c r="C214" i="3" l="1"/>
  <c r="E215" i="3"/>
  <c r="F215" i="3" l="1"/>
  <c r="G215" i="3" s="1"/>
  <c r="H215" i="3" s="1"/>
  <c r="B216" i="3" s="1"/>
  <c r="E216" i="3" l="1"/>
  <c r="F216" i="3"/>
  <c r="G216" i="3" s="1"/>
  <c r="H216" i="3" s="1"/>
  <c r="B217" i="3" s="1"/>
  <c r="C215" i="3"/>
  <c r="C216" i="3" l="1"/>
  <c r="E217" i="3"/>
  <c r="F217" i="3" s="1"/>
  <c r="G217" i="3" s="1"/>
  <c r="H217" i="3" s="1"/>
  <c r="B218" i="3" s="1"/>
  <c r="E218" i="3" l="1"/>
  <c r="F218" i="3"/>
  <c r="G218" i="3" s="1"/>
  <c r="H218" i="3" s="1"/>
  <c r="B219" i="3" s="1"/>
  <c r="C217" i="3"/>
  <c r="C218" i="3" l="1"/>
  <c r="E219" i="3"/>
  <c r="F219" i="3" s="1"/>
  <c r="G219" i="3" s="1"/>
  <c r="H219" i="3" s="1"/>
  <c r="B220" i="3" s="1"/>
  <c r="C219" i="3" l="1"/>
  <c r="E220" i="3"/>
  <c r="F220" i="3"/>
  <c r="G220" i="3" s="1"/>
  <c r="H220" i="3" s="1"/>
  <c r="B221" i="3" s="1"/>
  <c r="C220" i="3" l="1"/>
  <c r="E221" i="3"/>
  <c r="F221" i="3" s="1"/>
  <c r="G221" i="3" s="1"/>
  <c r="H221" i="3" s="1"/>
  <c r="C221" i="3" l="1"/>
  <c r="B222" i="3"/>
  <c r="E222" i="3" s="1"/>
  <c r="F222" i="3" l="1"/>
  <c r="G222" i="3" s="1"/>
  <c r="H222" i="3" s="1"/>
  <c r="B223" i="3" s="1"/>
  <c r="C222" i="3" l="1"/>
  <c r="E223" i="3"/>
  <c r="F223" i="3" s="1"/>
  <c r="G223" i="3" s="1"/>
  <c r="H223" i="3" s="1"/>
  <c r="C223" i="3" l="1"/>
  <c r="B224" i="3"/>
  <c r="E224" i="3" l="1"/>
  <c r="F224" i="3"/>
  <c r="G224" i="3" s="1"/>
  <c r="H224" i="3" s="1"/>
  <c r="C224" i="3" l="1"/>
  <c r="B225" i="3"/>
  <c r="E225" i="3" l="1"/>
  <c r="F225" i="3" s="1"/>
  <c r="G225" i="3" l="1"/>
  <c r="H225" i="3" s="1"/>
  <c r="B226" i="3" s="1"/>
  <c r="C225" i="3"/>
  <c r="E226" i="3" l="1"/>
  <c r="F226" i="3" s="1"/>
  <c r="G226" i="3" s="1"/>
  <c r="H226" i="3" s="1"/>
  <c r="B227" i="3" s="1"/>
  <c r="C226" i="3" l="1"/>
  <c r="E227" i="3"/>
  <c r="F227" i="3"/>
  <c r="G227" i="3" s="1"/>
  <c r="H227" i="3" s="1"/>
  <c r="B228" i="3" s="1"/>
  <c r="C227" i="3" l="1"/>
  <c r="E228" i="3"/>
  <c r="F228" i="3" s="1"/>
  <c r="G228" i="3" s="1"/>
  <c r="H228" i="3" s="1"/>
  <c r="C228" i="3" l="1"/>
  <c r="B229" i="3"/>
  <c r="E229" i="3" l="1"/>
  <c r="F229" i="3" s="1"/>
  <c r="G229" i="3" s="1"/>
  <c r="H229" i="3" s="1"/>
  <c r="C229" i="3" l="1"/>
  <c r="B230" i="3"/>
  <c r="E230" i="3" s="1"/>
  <c r="F230" i="3" s="1"/>
  <c r="G230" i="3" s="1"/>
  <c r="H230" i="3" s="1"/>
  <c r="C230" i="3" l="1"/>
  <c r="B231" i="3"/>
  <c r="E231" i="3" l="1"/>
  <c r="F231" i="3" s="1"/>
  <c r="G231" i="3" s="1"/>
  <c r="H231" i="3" s="1"/>
  <c r="C231" i="3" l="1"/>
  <c r="B232" i="3"/>
  <c r="E232" i="3" l="1"/>
  <c r="F232" i="3"/>
  <c r="G232" i="3" s="1"/>
  <c r="H232" i="3" s="1"/>
  <c r="C232" i="3" l="1"/>
  <c r="B233" i="3"/>
  <c r="E233" i="3" l="1"/>
  <c r="F233" i="3" l="1"/>
  <c r="G233" i="3" s="1"/>
  <c r="H233" i="3" s="1"/>
  <c r="B234" i="3" s="1"/>
  <c r="E234" i="3" l="1"/>
  <c r="F234" i="3" s="1"/>
  <c r="C233" i="3"/>
  <c r="G234" i="3" l="1"/>
  <c r="H234" i="3" s="1"/>
  <c r="B235" i="3" s="1"/>
  <c r="E235" i="3" s="1"/>
  <c r="F235" i="3" s="1"/>
  <c r="G235" i="3" s="1"/>
  <c r="H235" i="3" s="1"/>
  <c r="C234" i="3"/>
  <c r="C235" i="3" l="1"/>
  <c r="B236" i="3"/>
  <c r="E236" i="3" l="1"/>
  <c r="F236" i="3"/>
  <c r="G236" i="3" s="1"/>
  <c r="H236" i="3" s="1"/>
  <c r="C236" i="3" l="1"/>
  <c r="B237" i="3"/>
  <c r="E237" i="3" l="1"/>
  <c r="F237" i="3" s="1"/>
  <c r="G237" i="3" s="1"/>
  <c r="H237" i="3" s="1"/>
  <c r="C237" i="3" l="1"/>
  <c r="B238" i="3"/>
  <c r="E238" i="3" l="1"/>
  <c r="F238" i="3" s="1"/>
  <c r="G238" i="3" s="1"/>
  <c r="H238" i="3" s="1"/>
  <c r="B239" i="3" s="1"/>
  <c r="C238" i="3" l="1"/>
  <c r="E239" i="3"/>
  <c r="F239" i="3"/>
  <c r="G239" i="3" s="1"/>
  <c r="H239" i="3" s="1"/>
  <c r="B240" i="3" s="1"/>
  <c r="C239" i="3" l="1"/>
  <c r="E240" i="3"/>
  <c r="F240" i="3"/>
  <c r="G240" i="3" s="1"/>
  <c r="H240" i="3" s="1"/>
  <c r="B241" i="3" s="1"/>
  <c r="C240" i="3" l="1"/>
  <c r="E241" i="3"/>
  <c r="F241" i="3" s="1"/>
  <c r="G241" i="3" l="1"/>
  <c r="H241" i="3" s="1"/>
  <c r="B242" i="3" s="1"/>
  <c r="C241" i="3"/>
  <c r="E242" i="3" l="1"/>
  <c r="F242" i="3" l="1"/>
  <c r="G242" i="3" s="1"/>
  <c r="H242" i="3" s="1"/>
  <c r="B243" i="3" s="1"/>
  <c r="E243" i="3" s="1"/>
  <c r="F243" i="3" s="1"/>
  <c r="G243" i="3" s="1"/>
  <c r="H243" i="3" s="1"/>
  <c r="C243" i="3" l="1"/>
  <c r="C242" i="3"/>
  <c r="B244" i="3"/>
  <c r="E244" i="3" l="1"/>
  <c r="F244" i="3" l="1"/>
  <c r="G244" i="3" s="1"/>
  <c r="H244" i="3" s="1"/>
  <c r="B245" i="3" s="1"/>
  <c r="E245" i="3" l="1"/>
  <c r="F245" i="3" s="1"/>
  <c r="G245" i="3" s="1"/>
  <c r="H245" i="3" s="1"/>
  <c r="B246" i="3" s="1"/>
  <c r="C244" i="3"/>
  <c r="E246" i="3" l="1"/>
  <c r="F246" i="3"/>
  <c r="G246" i="3" s="1"/>
  <c r="H246" i="3" s="1"/>
  <c r="B247" i="3" s="1"/>
  <c r="C245" i="3"/>
  <c r="C246" i="3" l="1"/>
  <c r="E247" i="3"/>
  <c r="F247" i="3" s="1"/>
  <c r="G247" i="3" s="1"/>
  <c r="H247" i="3" s="1"/>
  <c r="C247" i="3" l="1"/>
  <c r="B248" i="3"/>
  <c r="E248" i="3" l="1"/>
  <c r="F248" i="3" l="1"/>
  <c r="G248" i="3" s="1"/>
  <c r="H248" i="3" s="1"/>
  <c r="B249" i="3" s="1"/>
  <c r="E249" i="3" s="1"/>
  <c r="F249" i="3" s="1"/>
  <c r="G249" i="3" s="1"/>
  <c r="H249" i="3" s="1"/>
  <c r="C249" i="3" l="1"/>
  <c r="C248" i="3"/>
  <c r="B250" i="3"/>
  <c r="E250" i="3" s="1"/>
  <c r="F250" i="3" s="1"/>
  <c r="G250" i="3" s="1"/>
  <c r="H250" i="3" s="1"/>
  <c r="C250" i="3" l="1"/>
  <c r="B251" i="3"/>
  <c r="E251" i="3" l="1"/>
  <c r="F251" i="3"/>
  <c r="G251" i="3" s="1"/>
  <c r="H251" i="3" s="1"/>
  <c r="B252" i="3" s="1"/>
  <c r="C251" i="3" l="1"/>
  <c r="E252" i="3"/>
  <c r="F252" i="3" s="1"/>
  <c r="G252" i="3" s="1"/>
  <c r="H252" i="3" s="1"/>
  <c r="B253" i="3" s="1"/>
  <c r="C252" i="3" l="1"/>
  <c r="E253" i="3"/>
  <c r="F253" i="3" s="1"/>
  <c r="G253" i="3" s="1"/>
  <c r="H253" i="3" s="1"/>
  <c r="B254" i="3" s="1"/>
  <c r="C253" i="3" l="1"/>
  <c r="E254" i="3"/>
  <c r="F254" i="3"/>
  <c r="G254" i="3" s="1"/>
  <c r="H254" i="3" s="1"/>
  <c r="C254" i="3" l="1"/>
  <c r="B255" i="3"/>
  <c r="E255" i="3" l="1"/>
  <c r="F255" i="3" l="1"/>
  <c r="G255" i="3" s="1"/>
  <c r="H255" i="3" s="1"/>
  <c r="B256" i="3" s="1"/>
  <c r="E256" i="3" s="1"/>
  <c r="C255" i="3" l="1"/>
  <c r="F256" i="3"/>
  <c r="G256" i="3" s="1"/>
  <c r="H256" i="3" s="1"/>
  <c r="B257" i="3" s="1"/>
  <c r="C256" i="3" l="1"/>
  <c r="E257" i="3"/>
  <c r="F257" i="3" s="1"/>
  <c r="G257" i="3" s="1"/>
  <c r="H257" i="3" s="1"/>
  <c r="B258" i="3" s="1"/>
  <c r="C257" i="3" l="1"/>
  <c r="E258" i="3"/>
  <c r="F258" i="3" s="1"/>
  <c r="G258" i="3" s="1"/>
  <c r="H258" i="3" s="1"/>
  <c r="C258" i="3" l="1"/>
  <c r="B259" i="3"/>
  <c r="E259" i="3" l="1"/>
  <c r="F259" i="3" s="1"/>
  <c r="G259" i="3" l="1"/>
  <c r="H259" i="3" s="1"/>
  <c r="B260" i="3" s="1"/>
  <c r="E260" i="3" s="1"/>
  <c r="C259" i="3"/>
  <c r="F260" i="3" l="1"/>
  <c r="G260" i="3" s="1"/>
  <c r="H260" i="3" s="1"/>
  <c r="B261" i="3" s="1"/>
  <c r="E261" i="3" s="1"/>
  <c r="C260" i="3" l="1"/>
  <c r="F261" i="3"/>
  <c r="G261" i="3" s="1"/>
  <c r="H261" i="3" s="1"/>
  <c r="C261" i="3" l="1"/>
  <c r="B262" i="3"/>
  <c r="E262" i="3" l="1"/>
  <c r="F262" i="3" s="1"/>
  <c r="G262" i="3" s="1"/>
  <c r="H262" i="3" s="1"/>
  <c r="C262" i="3" l="1"/>
  <c r="B263" i="3"/>
  <c r="E263" i="3" l="1"/>
  <c r="F263" i="3"/>
  <c r="G263" i="3" s="1"/>
  <c r="H263" i="3" s="1"/>
  <c r="B264" i="3" s="1"/>
  <c r="C263" i="3" l="1"/>
  <c r="E264" i="3"/>
  <c r="F264" i="3" l="1"/>
  <c r="G264" i="3" s="1"/>
  <c r="H264" i="3" s="1"/>
  <c r="B265" i="3" s="1"/>
  <c r="C264" i="3" l="1"/>
  <c r="E265" i="3"/>
  <c r="F265" i="3" s="1"/>
  <c r="G265" i="3" s="1"/>
  <c r="H265" i="3" s="1"/>
  <c r="B266" i="3" s="1"/>
  <c r="C265" i="3" l="1"/>
  <c r="E266" i="3"/>
  <c r="F266" i="3"/>
  <c r="G266" i="3" s="1"/>
  <c r="H266" i="3" s="1"/>
  <c r="C266" i="3" l="1"/>
  <c r="B267" i="3"/>
  <c r="E267" i="3" l="1"/>
  <c r="F267" i="3" s="1"/>
  <c r="G267" i="3" s="1"/>
  <c r="H267" i="3" s="1"/>
  <c r="B268" i="3" s="1"/>
  <c r="E268" i="3" l="1"/>
  <c r="C267" i="3"/>
  <c r="F268" i="3" l="1"/>
  <c r="G268" i="3" s="1"/>
  <c r="H268" i="3" s="1"/>
  <c r="B269" i="3" s="1"/>
  <c r="E269" i="3" l="1"/>
  <c r="F269" i="3" s="1"/>
  <c r="G269" i="3" s="1"/>
  <c r="H269" i="3" s="1"/>
  <c r="B270" i="3" s="1"/>
  <c r="C268" i="3"/>
  <c r="E270" i="3" l="1"/>
  <c r="F270" i="3" s="1"/>
  <c r="G270" i="3" s="1"/>
  <c r="H270" i="3" s="1"/>
  <c r="B271" i="3" s="1"/>
  <c r="C269" i="3"/>
  <c r="C270" i="3" l="1"/>
  <c r="E271" i="3"/>
  <c r="F271" i="3" l="1"/>
  <c r="G271" i="3" s="1"/>
  <c r="H271" i="3" s="1"/>
  <c r="B272" i="3" s="1"/>
  <c r="C271" i="3" l="1"/>
  <c r="E272" i="3"/>
  <c r="F272" i="3"/>
  <c r="G272" i="3" s="1"/>
  <c r="H272" i="3" s="1"/>
  <c r="B273" i="3" s="1"/>
  <c r="C272" i="3" l="1"/>
  <c r="E273" i="3"/>
  <c r="F273" i="3" s="1"/>
  <c r="G273" i="3" s="1"/>
  <c r="H273" i="3" s="1"/>
  <c r="C273" i="3" l="1"/>
  <c r="B274" i="3"/>
  <c r="E274" i="3" l="1"/>
  <c r="F274" i="3" l="1"/>
  <c r="G274" i="3" s="1"/>
  <c r="H274" i="3" s="1"/>
  <c r="B275" i="3" s="1"/>
  <c r="E275" i="3" l="1"/>
  <c r="F275" i="3" s="1"/>
  <c r="G275" i="3" s="1"/>
  <c r="H275" i="3" s="1"/>
  <c r="B276" i="3" s="1"/>
  <c r="C274" i="3"/>
  <c r="E276" i="3" l="1"/>
  <c r="C276" i="3" s="1"/>
  <c r="F276" i="3"/>
  <c r="G276" i="3" s="1"/>
  <c r="H276" i="3" s="1"/>
  <c r="B277" i="3" s="1"/>
  <c r="C275" i="3"/>
  <c r="E277" i="3" l="1"/>
  <c r="F277" i="3" s="1"/>
  <c r="G277" i="3" l="1"/>
  <c r="H277" i="3" s="1"/>
  <c r="B278" i="3" s="1"/>
  <c r="C277" i="3"/>
  <c r="E278" i="3" l="1"/>
  <c r="F278" i="3" s="1"/>
  <c r="G278" i="3" s="1"/>
  <c r="H278" i="3" s="1"/>
  <c r="B279" i="3" s="1"/>
  <c r="E279" i="3" l="1"/>
  <c r="F279" i="3"/>
  <c r="G279" i="3" s="1"/>
  <c r="H279" i="3" s="1"/>
  <c r="B280" i="3" s="1"/>
  <c r="C278" i="3"/>
  <c r="C279" i="3" l="1"/>
  <c r="E280" i="3"/>
  <c r="F280" i="3"/>
  <c r="G280" i="3" s="1"/>
  <c r="H280" i="3" s="1"/>
  <c r="C280" i="3" l="1"/>
  <c r="B281" i="3"/>
  <c r="E281" i="3" l="1"/>
  <c r="F281" i="3" s="1"/>
  <c r="G281" i="3" l="1"/>
  <c r="H281" i="3" s="1"/>
  <c r="B282" i="3" s="1"/>
  <c r="E282" i="3" s="1"/>
  <c r="C281" i="3"/>
  <c r="F282" i="3" l="1"/>
  <c r="G282" i="3" s="1"/>
  <c r="H282" i="3" s="1"/>
  <c r="B283" i="3" s="1"/>
  <c r="C282" i="3" l="1"/>
  <c r="E283" i="3"/>
  <c r="F283" i="3"/>
  <c r="G283" i="3" s="1"/>
  <c r="H283" i="3" s="1"/>
  <c r="C283" i="3" l="1"/>
  <c r="B284" i="3"/>
  <c r="E284" i="3" l="1"/>
  <c r="F284" i="3" l="1"/>
  <c r="G284" i="3" s="1"/>
  <c r="H284" i="3" s="1"/>
  <c r="B285" i="3" s="1"/>
  <c r="E285" i="3" s="1"/>
  <c r="F285" i="3" s="1"/>
  <c r="G285" i="3" s="1"/>
  <c r="H285" i="3" s="1"/>
  <c r="C285" i="3" l="1"/>
  <c r="C284" i="3"/>
  <c r="B286" i="3"/>
  <c r="E286" i="3" l="1"/>
  <c r="F286" i="3"/>
  <c r="G286" i="3" s="1"/>
  <c r="H286" i="3" s="1"/>
  <c r="C286" i="3" l="1"/>
  <c r="B287" i="3"/>
  <c r="E287" i="3" l="1"/>
  <c r="F287" i="3" s="1"/>
  <c r="G287" i="3" s="1"/>
  <c r="H287" i="3" s="1"/>
  <c r="C287" i="3" l="1"/>
  <c r="B288" i="3"/>
  <c r="E288" i="3" l="1"/>
  <c r="F288" i="3"/>
  <c r="G288" i="3" s="1"/>
  <c r="H288" i="3" s="1"/>
  <c r="C288" i="3" l="1"/>
  <c r="B289" i="3"/>
  <c r="E289" i="3" l="1"/>
  <c r="F289" i="3"/>
  <c r="G289" i="3" s="1"/>
  <c r="H289" i="3" s="1"/>
  <c r="C289" i="3" l="1"/>
  <c r="B290" i="3"/>
  <c r="E290" i="3" l="1"/>
  <c r="F290" i="3"/>
  <c r="G290" i="3" s="1"/>
  <c r="H290" i="3" s="1"/>
  <c r="C290" i="3" l="1"/>
  <c r="B291" i="3"/>
  <c r="E291" i="3" s="1"/>
  <c r="F291" i="3" l="1"/>
  <c r="G291" i="3" s="1"/>
  <c r="H291" i="3" s="1"/>
  <c r="B292" i="3" s="1"/>
  <c r="C291" i="3"/>
  <c r="E292" i="3" l="1"/>
  <c r="F292" i="3" s="1"/>
  <c r="G292" i="3" s="1"/>
  <c r="H292" i="3" s="1"/>
  <c r="B293" i="3" s="1"/>
  <c r="E293" i="3" l="1"/>
  <c r="F293" i="3" s="1"/>
  <c r="C292" i="3"/>
  <c r="G293" i="3" l="1"/>
  <c r="H293" i="3" s="1"/>
  <c r="B294" i="3" s="1"/>
  <c r="C293" i="3"/>
  <c r="E294" i="3" l="1"/>
  <c r="F294" i="3" l="1"/>
  <c r="G294" i="3" s="1"/>
  <c r="H294" i="3" s="1"/>
  <c r="B295" i="3" s="1"/>
  <c r="E295" i="3" l="1"/>
  <c r="C294" i="3"/>
  <c r="F295" i="3" l="1"/>
  <c r="G295" i="3" s="1"/>
  <c r="H295" i="3" s="1"/>
  <c r="B296" i="3" s="1"/>
  <c r="E296" i="3" l="1"/>
  <c r="F296" i="3"/>
  <c r="G296" i="3" s="1"/>
  <c r="H296" i="3" s="1"/>
  <c r="B297" i="3" s="1"/>
  <c r="C295" i="3"/>
  <c r="C296" i="3" l="1"/>
  <c r="E297" i="3"/>
  <c r="F297" i="3" s="1"/>
  <c r="G297" i="3" s="1"/>
  <c r="H297" i="3" s="1"/>
  <c r="B298" i="3" s="1"/>
  <c r="E298" i="3" l="1"/>
  <c r="F298" i="3" s="1"/>
  <c r="C297" i="3"/>
  <c r="G298" i="3" l="1"/>
  <c r="H298" i="3" s="1"/>
  <c r="B299" i="3" s="1"/>
  <c r="C298" i="3"/>
  <c r="E299" i="3" l="1"/>
  <c r="F299" i="3"/>
  <c r="G299" i="3" s="1"/>
  <c r="H299" i="3"/>
  <c r="B300" i="3" s="1"/>
  <c r="C299" i="3" l="1"/>
  <c r="E300" i="3"/>
  <c r="F300" i="3"/>
  <c r="G300" i="3" s="1"/>
  <c r="H300" i="3" s="1"/>
  <c r="B301" i="3" s="1"/>
  <c r="C300" i="3" l="1"/>
  <c r="E301" i="3"/>
  <c r="F301" i="3" s="1"/>
  <c r="G301" i="3" s="1"/>
  <c r="H301" i="3" s="1"/>
  <c r="B302" i="3" s="1"/>
  <c r="E302" i="3" l="1"/>
  <c r="F302" i="3"/>
  <c r="G302" i="3" s="1"/>
  <c r="H302" i="3" s="1"/>
  <c r="B303" i="3" s="1"/>
  <c r="C301" i="3"/>
  <c r="C302" i="3" l="1"/>
  <c r="E303" i="3"/>
  <c r="F303" i="3" s="1"/>
  <c r="G303" i="3" s="1"/>
  <c r="H303" i="3" s="1"/>
  <c r="B304" i="3" s="1"/>
  <c r="C303" i="3" l="1"/>
  <c r="E304" i="3"/>
  <c r="F304" i="3"/>
  <c r="G304" i="3" s="1"/>
  <c r="H304" i="3" s="1"/>
  <c r="C304" i="3" l="1"/>
  <c r="B305" i="3"/>
  <c r="E305" i="3" l="1"/>
  <c r="F305" i="3" l="1"/>
  <c r="G305" i="3" s="1"/>
  <c r="H305" i="3" s="1"/>
  <c r="B306" i="3" s="1"/>
  <c r="E306" i="3" s="1"/>
  <c r="F306" i="3" s="1"/>
  <c r="C305" i="3" l="1"/>
  <c r="G306" i="3"/>
  <c r="H306" i="3" s="1"/>
  <c r="B307" i="3" s="1"/>
  <c r="E307" i="3" s="1"/>
  <c r="C306" i="3"/>
  <c r="F307" i="3" l="1"/>
  <c r="G307" i="3" s="1"/>
  <c r="H307" i="3" s="1"/>
  <c r="B308" i="3" s="1"/>
  <c r="C307" i="3"/>
  <c r="E308" i="3" l="1"/>
  <c r="F308" i="3"/>
  <c r="G308" i="3" s="1"/>
  <c r="H308" i="3" s="1"/>
  <c r="C308" i="3" l="1"/>
  <c r="B309" i="3"/>
  <c r="E309" i="3" l="1"/>
  <c r="F309" i="3" s="1"/>
  <c r="G309" i="3" s="1"/>
  <c r="H309" i="3" s="1"/>
  <c r="C309" i="3" l="1"/>
  <c r="B310" i="3"/>
  <c r="E310" i="3" l="1"/>
  <c r="F310" i="3" s="1"/>
  <c r="G310" i="3" s="1"/>
  <c r="H310" i="3" s="1"/>
  <c r="B311" i="3" s="1"/>
  <c r="C310" i="3" l="1"/>
  <c r="E311" i="3"/>
  <c r="F311" i="3"/>
  <c r="G311" i="3" s="1"/>
  <c r="H311" i="3" s="1"/>
  <c r="C311" i="3" l="1"/>
  <c r="B312" i="3"/>
  <c r="E312" i="3" l="1"/>
  <c r="F312" i="3" l="1"/>
  <c r="G312" i="3" s="1"/>
  <c r="H312" i="3" s="1"/>
  <c r="B313" i="3" s="1"/>
  <c r="C312" i="3" l="1"/>
  <c r="E313" i="3"/>
  <c r="F313" i="3" s="1"/>
  <c r="G313" i="3" l="1"/>
  <c r="H313" i="3" s="1"/>
  <c r="B314" i="3" s="1"/>
  <c r="E314" i="3" s="1"/>
  <c r="C313" i="3"/>
  <c r="F314" i="3" l="1"/>
  <c r="G314" i="3" s="1"/>
  <c r="H314" i="3" s="1"/>
  <c r="B315" i="3" s="1"/>
  <c r="C314" i="3" l="1"/>
  <c r="E315" i="3"/>
  <c r="F315" i="3"/>
  <c r="G315" i="3" s="1"/>
  <c r="H315" i="3" s="1"/>
  <c r="C315" i="3" l="1"/>
  <c r="B316" i="3"/>
  <c r="E316" i="3" l="1"/>
  <c r="F316" i="3" l="1"/>
  <c r="G316" i="3" s="1"/>
  <c r="H316" i="3" s="1"/>
  <c r="B317" i="3" s="1"/>
  <c r="E317" i="3" s="1"/>
  <c r="F317" i="3" s="1"/>
  <c r="G317" i="3" s="1"/>
  <c r="H317" i="3" s="1"/>
  <c r="C317" i="3" l="1"/>
  <c r="C316" i="3"/>
  <c r="B318" i="3"/>
  <c r="E318" i="3" s="1"/>
  <c r="F318" i="3" l="1"/>
  <c r="G318" i="3" s="1"/>
  <c r="H318" i="3" s="1"/>
  <c r="B319" i="3" s="1"/>
  <c r="C318" i="3" l="1"/>
  <c r="E319" i="3"/>
  <c r="F319" i="3" s="1"/>
  <c r="G319" i="3" s="1"/>
  <c r="H319" i="3" s="1"/>
  <c r="B320" i="3" s="1"/>
  <c r="C319" i="3" l="1"/>
  <c r="E320" i="3"/>
  <c r="F320" i="3"/>
  <c r="G320" i="3" s="1"/>
  <c r="H320" i="3" s="1"/>
  <c r="C320" i="3" l="1"/>
  <c r="B321" i="3"/>
  <c r="E321" i="3" l="1"/>
  <c r="F321" i="3" l="1"/>
  <c r="G321" i="3" s="1"/>
  <c r="H321" i="3" s="1"/>
  <c r="B322" i="3" s="1"/>
  <c r="E322" i="3" l="1"/>
  <c r="F322" i="3"/>
  <c r="G322" i="3" s="1"/>
  <c r="H322" i="3" s="1"/>
  <c r="B323" i="3" s="1"/>
  <c r="C321" i="3"/>
  <c r="C322" i="3" l="1"/>
  <c r="E323" i="3"/>
  <c r="F323" i="3"/>
  <c r="G323" i="3" s="1"/>
  <c r="H323" i="3" s="1"/>
  <c r="B324" i="3" s="1"/>
  <c r="E324" i="3" l="1"/>
  <c r="F324" i="3"/>
  <c r="G324" i="3" s="1"/>
  <c r="H324" i="3" s="1"/>
  <c r="B325" i="3" s="1"/>
  <c r="C323" i="3"/>
  <c r="C324" i="3" l="1"/>
  <c r="E325" i="3"/>
  <c r="F325" i="3" s="1"/>
  <c r="G325" i="3" s="1"/>
  <c r="H325" i="3" s="1"/>
  <c r="C325" i="3" l="1"/>
  <c r="B326" i="3"/>
  <c r="E326" i="3" l="1"/>
  <c r="F326" i="3" s="1"/>
  <c r="G326" i="3" s="1"/>
  <c r="H326" i="3" s="1"/>
  <c r="B327" i="3" s="1"/>
  <c r="C326" i="3" l="1"/>
  <c r="E327" i="3"/>
  <c r="F327" i="3"/>
  <c r="G327" i="3" s="1"/>
  <c r="H327" i="3" s="1"/>
  <c r="C327" i="3" l="1"/>
  <c r="B328" i="3"/>
  <c r="E328" i="3" l="1"/>
  <c r="F328" i="3" l="1"/>
  <c r="G328" i="3" s="1"/>
  <c r="H328" i="3" s="1"/>
  <c r="B329" i="3" s="1"/>
  <c r="C328" i="3" l="1"/>
  <c r="E329" i="3"/>
  <c r="F329" i="3" s="1"/>
  <c r="G329" i="3" s="1"/>
  <c r="H329" i="3" s="1"/>
  <c r="B330" i="3" s="1"/>
  <c r="C329" i="3" l="1"/>
  <c r="E330" i="3"/>
  <c r="F330" i="3" l="1"/>
  <c r="G330" i="3" s="1"/>
  <c r="H330" i="3" s="1"/>
  <c r="B331" i="3" s="1"/>
  <c r="E331" i="3" l="1"/>
  <c r="F331" i="3" s="1"/>
  <c r="G331" i="3" s="1"/>
  <c r="H331" i="3" s="1"/>
  <c r="B332" i="3" s="1"/>
  <c r="C330" i="3"/>
  <c r="C331" i="3" l="1"/>
  <c r="E332" i="3"/>
  <c r="F332" i="3"/>
  <c r="G332" i="3" s="1"/>
  <c r="H332" i="3" s="1"/>
  <c r="C332" i="3" l="1"/>
  <c r="B333" i="3"/>
  <c r="E333" i="3" l="1"/>
  <c r="F333" i="3" s="1"/>
  <c r="G333" i="3" s="1"/>
  <c r="H333" i="3" s="1"/>
  <c r="B334" i="3" s="1"/>
  <c r="C333" i="3" l="1"/>
  <c r="E334" i="3"/>
  <c r="F334" i="3"/>
  <c r="G334" i="3" s="1"/>
  <c r="H334" i="3" s="1"/>
  <c r="C334" i="3" l="1"/>
  <c r="B335" i="3"/>
  <c r="E335" i="3" l="1"/>
  <c r="F335" i="3" s="1"/>
  <c r="G335" i="3" s="1"/>
  <c r="H335" i="3" s="1"/>
  <c r="C335" i="3" l="1"/>
  <c r="B336" i="3"/>
  <c r="E336" i="3" s="1"/>
  <c r="F336" i="3" l="1"/>
  <c r="G336" i="3" s="1"/>
  <c r="H336" i="3" s="1"/>
  <c r="B337" i="3" s="1"/>
  <c r="C336" i="3" l="1"/>
  <c r="E337" i="3"/>
  <c r="F337" i="3" s="1"/>
  <c r="G337" i="3" s="1"/>
  <c r="H337" i="3" s="1"/>
  <c r="B338" i="3" s="1"/>
  <c r="C337" i="3" l="1"/>
  <c r="E338" i="3"/>
  <c r="F338" i="3"/>
  <c r="G338" i="3" s="1"/>
  <c r="H338" i="3" s="1"/>
  <c r="B339" i="3" s="1"/>
  <c r="C338" i="3" l="1"/>
  <c r="E339" i="3"/>
  <c r="F339" i="3"/>
  <c r="G339" i="3" s="1"/>
  <c r="H339" i="3" s="1"/>
  <c r="C339" i="3" l="1"/>
  <c r="B340" i="3"/>
  <c r="E340" i="3" l="1"/>
  <c r="F340" i="3" s="1"/>
  <c r="G340" i="3" s="1"/>
  <c r="H340" i="3" s="1"/>
  <c r="C340" i="3" l="1"/>
  <c r="B341" i="3"/>
  <c r="E341" i="3" l="1"/>
  <c r="F341" i="3"/>
  <c r="G341" i="3" s="1"/>
  <c r="H341" i="3" s="1"/>
  <c r="C341" i="3" l="1"/>
  <c r="B342" i="3"/>
  <c r="E342" i="3" l="1"/>
  <c r="F342" i="3"/>
  <c r="G342" i="3" s="1"/>
  <c r="H342" i="3" s="1"/>
  <c r="B343" i="3" s="1"/>
  <c r="C342" i="3" l="1"/>
  <c r="E343" i="3"/>
  <c r="F343" i="3" s="1"/>
  <c r="G343" i="3" s="1"/>
  <c r="H343" i="3" s="1"/>
  <c r="C343" i="3" l="1"/>
  <c r="B344" i="3"/>
  <c r="E344" i="3" l="1"/>
  <c r="F344" i="3"/>
  <c r="G344" i="3" s="1"/>
  <c r="H344" i="3" s="1"/>
  <c r="B345" i="3" s="1"/>
  <c r="C344" i="3" l="1"/>
  <c r="E345" i="3"/>
  <c r="F345" i="3" s="1"/>
  <c r="G345" i="3" l="1"/>
  <c r="H345" i="3" s="1"/>
  <c r="B346" i="3" s="1"/>
  <c r="C345" i="3"/>
  <c r="E346" i="3" l="1"/>
  <c r="F346" i="3" l="1"/>
  <c r="G346" i="3" s="1"/>
  <c r="H346" i="3" s="1"/>
  <c r="B347" i="3" s="1"/>
  <c r="E347" i="3" l="1"/>
  <c r="F347" i="3" s="1"/>
  <c r="G347" i="3" s="1"/>
  <c r="H347" i="3" s="1"/>
  <c r="B348" i="3" s="1"/>
  <c r="C346" i="3"/>
  <c r="E348" i="3" l="1"/>
  <c r="C347" i="3"/>
  <c r="F348" i="3" l="1"/>
  <c r="G348" i="3" s="1"/>
  <c r="H348" i="3" s="1"/>
  <c r="B349" i="3" s="1"/>
  <c r="E349" i="3" l="1"/>
  <c r="F349" i="3"/>
  <c r="G349" i="3" s="1"/>
  <c r="H349" i="3" s="1"/>
  <c r="B350" i="3" s="1"/>
  <c r="C348" i="3"/>
  <c r="C349" i="3" l="1"/>
  <c r="E350" i="3"/>
  <c r="F350" i="3" s="1"/>
  <c r="G350" i="3" s="1"/>
  <c r="H350" i="3" s="1"/>
  <c r="B351" i="3" s="1"/>
  <c r="E351" i="3" l="1"/>
  <c r="C350" i="3"/>
  <c r="F351" i="3" l="1"/>
  <c r="G351" i="3" s="1"/>
  <c r="H351" i="3" s="1"/>
  <c r="B352" i="3" s="1"/>
  <c r="E352" i="3" l="1"/>
  <c r="F352" i="3"/>
  <c r="G352" i="3" s="1"/>
  <c r="H352" i="3" s="1"/>
  <c r="B353" i="3" s="1"/>
  <c r="C351" i="3"/>
  <c r="C352" i="3" l="1"/>
  <c r="E353" i="3"/>
  <c r="F353" i="3"/>
  <c r="G353" i="3" s="1"/>
  <c r="H353" i="3" s="1"/>
  <c r="B354" i="3" s="1"/>
  <c r="E354" i="3" l="1"/>
  <c r="F354" i="3" s="1"/>
  <c r="G354" i="3" s="1"/>
  <c r="H354" i="3" s="1"/>
  <c r="B355" i="3" s="1"/>
  <c r="C353" i="3"/>
  <c r="C354" i="3" l="1"/>
  <c r="E355" i="3"/>
  <c r="F355" i="3"/>
  <c r="G355" i="3" s="1"/>
  <c r="H355" i="3" s="1"/>
  <c r="B356" i="3" s="1"/>
  <c r="C355" i="3" l="1"/>
  <c r="E356" i="3"/>
  <c r="F356" i="3" s="1"/>
  <c r="G356" i="3" s="1"/>
  <c r="H356" i="3" s="1"/>
  <c r="C356" i="3" l="1"/>
  <c r="B357" i="3"/>
  <c r="E357" i="3" l="1"/>
  <c r="F357" i="3" l="1"/>
  <c r="G357" i="3" s="1"/>
  <c r="H357" i="3" s="1"/>
  <c r="B358" i="3" s="1"/>
  <c r="E358" i="3" l="1"/>
  <c r="C357" i="3"/>
  <c r="F358" i="3" l="1"/>
  <c r="G358" i="3" s="1"/>
  <c r="H358" i="3" s="1"/>
  <c r="B359" i="3" s="1"/>
  <c r="E359" i="3" l="1"/>
  <c r="F359" i="3" s="1"/>
  <c r="G359" i="3" s="1"/>
  <c r="H359" i="3" s="1"/>
  <c r="B360" i="3" s="1"/>
  <c r="C358" i="3"/>
  <c r="E360" i="3" l="1"/>
  <c r="C359" i="3"/>
  <c r="F360" i="3" l="1"/>
  <c r="G360" i="3" s="1"/>
  <c r="H360" i="3" s="1"/>
  <c r="B361" i="3" s="1"/>
  <c r="E361" i="3" l="1"/>
  <c r="F361" i="3" s="1"/>
  <c r="G361" i="3" s="1"/>
  <c r="H361" i="3" s="1"/>
  <c r="B362" i="3" s="1"/>
  <c r="C360" i="3"/>
  <c r="E362" i="3" l="1"/>
  <c r="F362" i="3"/>
  <c r="G362" i="3" s="1"/>
  <c r="H362" i="3" s="1"/>
  <c r="B363" i="3" s="1"/>
  <c r="C361" i="3"/>
  <c r="E363" i="3" l="1"/>
  <c r="F363" i="3" s="1"/>
  <c r="G363" i="3" s="1"/>
  <c r="H363" i="3" s="1"/>
  <c r="B364" i="3" s="1"/>
  <c r="C362" i="3"/>
  <c r="E364" i="3" l="1"/>
  <c r="C363" i="3"/>
  <c r="F364" i="3" l="1"/>
  <c r="G364" i="3" s="1"/>
  <c r="H364" i="3" s="1"/>
  <c r="B365" i="3" s="1"/>
  <c r="E365" i="3" l="1"/>
  <c r="F365" i="3" s="1"/>
  <c r="G365" i="3" s="1"/>
  <c r="H365" i="3" s="1"/>
  <c r="B366" i="3" s="1"/>
  <c r="C364" i="3"/>
  <c r="E366" i="3" l="1"/>
  <c r="F366" i="3"/>
  <c r="G366" i="3" s="1"/>
  <c r="H366" i="3" s="1"/>
  <c r="B367" i="3" s="1"/>
  <c r="C365" i="3"/>
  <c r="C366" i="3" l="1"/>
  <c r="E367" i="3"/>
  <c r="F367" i="3"/>
  <c r="G367" i="3" s="1"/>
  <c r="H367" i="3" s="1"/>
  <c r="B368" i="3" s="1"/>
  <c r="C367" i="3" l="1"/>
  <c r="E368" i="3"/>
  <c r="F368" i="3"/>
  <c r="G368" i="3" s="1"/>
  <c r="H368" i="3"/>
  <c r="B369" i="3" l="1"/>
  <c r="E369" i="3" s="1"/>
  <c r="C368" i="3"/>
  <c r="F369" i="3" l="1"/>
  <c r="G369" i="3" s="1"/>
  <c r="H369" i="3" s="1"/>
  <c r="B370" i="3" s="1"/>
  <c r="E370" i="3" l="1"/>
  <c r="F370" i="3" s="1"/>
  <c r="G370" i="3" s="1"/>
  <c r="H370" i="3" s="1"/>
  <c r="B371" i="3" s="1"/>
  <c r="C369" i="3"/>
  <c r="E371" i="3" l="1"/>
  <c r="F371" i="3" s="1"/>
  <c r="G371" i="3" s="1"/>
  <c r="H371" i="3" s="1"/>
  <c r="B372" i="3" s="1"/>
  <c r="C370" i="3"/>
  <c r="C371" i="3" l="1"/>
  <c r="E372" i="3"/>
  <c r="F372" i="3" l="1"/>
  <c r="G372" i="3" s="1"/>
  <c r="H372" i="3" s="1"/>
  <c r="B373" i="3" s="1"/>
  <c r="C372" i="3" l="1"/>
  <c r="E373" i="3"/>
  <c r="F373" i="3" l="1"/>
  <c r="G373" i="3" s="1"/>
  <c r="H373" i="3" s="1"/>
  <c r="B374" i="3" s="1"/>
  <c r="C373" i="3" l="1"/>
  <c r="E374" i="3"/>
  <c r="F374" i="3" s="1"/>
  <c r="G374" i="3" s="1"/>
  <c r="H374" i="3" s="1"/>
  <c r="B375" i="3" s="1"/>
  <c r="C374" i="3" l="1"/>
  <c r="E375" i="3"/>
  <c r="F375" i="3" s="1"/>
  <c r="G375" i="3" l="1"/>
  <c r="H375" i="3" s="1"/>
  <c r="B376" i="3" s="1"/>
  <c r="C375" i="3"/>
  <c r="E376" i="3" l="1"/>
  <c r="F376" i="3"/>
  <c r="G376" i="3" s="1"/>
  <c r="H376" i="3" s="1"/>
  <c r="B377" i="3" s="1"/>
  <c r="C376" i="3" l="1"/>
  <c r="E377" i="3"/>
  <c r="F377" i="3"/>
  <c r="G377" i="3" s="1"/>
  <c r="H377" i="3" s="1"/>
  <c r="B378" i="3" s="1"/>
  <c r="C377" i="3" l="1"/>
  <c r="E378" i="3"/>
  <c r="F378" i="3" l="1"/>
  <c r="G378" i="3" s="1"/>
  <c r="H378" i="3" s="1"/>
  <c r="B379" i="3" s="1"/>
  <c r="E379" i="3" s="1"/>
  <c r="F379" i="3" s="1"/>
  <c r="G379" i="3" s="1"/>
  <c r="H379" i="3" s="1"/>
  <c r="B380" i="3" s="1"/>
  <c r="C378" i="3" l="1"/>
  <c r="C379" i="3"/>
  <c r="E380" i="3"/>
  <c r="F380" i="3"/>
  <c r="G380" i="3" s="1"/>
  <c r="H380" i="3" s="1"/>
  <c r="C380" i="3" l="1"/>
  <c r="B381" i="3"/>
  <c r="E381" i="3" l="1"/>
  <c r="F381" i="3" l="1"/>
  <c r="G381" i="3" s="1"/>
  <c r="H381" i="3" s="1"/>
  <c r="B382" i="3" s="1"/>
  <c r="C381" i="3" l="1"/>
  <c r="E382" i="3"/>
  <c r="F382" i="3" s="1"/>
  <c r="G382" i="3" s="1"/>
  <c r="H382" i="3" s="1"/>
  <c r="C382" i="3" l="1"/>
  <c r="B383" i="3"/>
  <c r="E383" i="3" l="1"/>
  <c r="F383" i="3" l="1"/>
  <c r="G383" i="3" s="1"/>
  <c r="H383" i="3" s="1"/>
  <c r="B384" i="3" s="1"/>
  <c r="E384" i="3" l="1"/>
  <c r="F384" i="3" s="1"/>
  <c r="G384" i="3" s="1"/>
  <c r="H384" i="3" s="1"/>
  <c r="B385" i="3" s="1"/>
  <c r="C383" i="3"/>
  <c r="C384" i="3" l="1"/>
  <c r="E385" i="3"/>
  <c r="F385" i="3" s="1"/>
  <c r="G385" i="3" s="1"/>
  <c r="H385" i="3" s="1"/>
  <c r="B386" i="3" s="1"/>
  <c r="C385" i="3" l="1"/>
  <c r="E386" i="3"/>
  <c r="F386" i="3" l="1"/>
  <c r="G386" i="3" s="1"/>
  <c r="H386" i="3" s="1"/>
  <c r="B387" i="3" s="1"/>
  <c r="E387" i="3" l="1"/>
  <c r="F387" i="3"/>
  <c r="G387" i="3" s="1"/>
  <c r="H387" i="3" s="1"/>
  <c r="B388" i="3" s="1"/>
  <c r="C386" i="3"/>
  <c r="C387" i="3" l="1"/>
  <c r="E388" i="3"/>
  <c r="F388" i="3" l="1"/>
  <c r="G388" i="3" s="1"/>
  <c r="H388" i="3" s="1"/>
  <c r="B389" i="3" s="1"/>
  <c r="E389" i="3" l="1"/>
  <c r="F389" i="3" s="1"/>
  <c r="G389" i="3" s="1"/>
  <c r="H389" i="3" s="1"/>
  <c r="B390" i="3" s="1"/>
  <c r="C388" i="3"/>
  <c r="E390" i="3" l="1"/>
  <c r="C389" i="3"/>
  <c r="F390" i="3" l="1"/>
  <c r="G390" i="3" s="1"/>
  <c r="H390" i="3" s="1"/>
  <c r="B391" i="3" s="1"/>
  <c r="E391" i="3" l="1"/>
  <c r="F391" i="3"/>
  <c r="G391" i="3" s="1"/>
  <c r="H391" i="3" s="1"/>
  <c r="B392" i="3" s="1"/>
  <c r="C390" i="3"/>
  <c r="C391" i="3" l="1"/>
  <c r="E392" i="3"/>
  <c r="F392" i="3"/>
  <c r="G392" i="3" s="1"/>
  <c r="H392" i="3" s="1"/>
  <c r="B393" i="3" s="1"/>
  <c r="E393" i="3" l="1"/>
  <c r="C392" i="3"/>
  <c r="F393" i="3" l="1"/>
  <c r="G393" i="3" s="1"/>
  <c r="H393" i="3" s="1"/>
  <c r="B394" i="3" s="1"/>
  <c r="E394" i="3" l="1"/>
  <c r="F394" i="3" s="1"/>
  <c r="G394" i="3" s="1"/>
  <c r="H394" i="3" s="1"/>
  <c r="B395" i="3" s="1"/>
  <c r="C393" i="3"/>
  <c r="C394" i="3" l="1"/>
  <c r="E395" i="3"/>
  <c r="F395" i="3" s="1"/>
  <c r="G395" i="3" s="1"/>
  <c r="H395" i="3" s="1"/>
  <c r="B396" i="3" s="1"/>
  <c r="C395" i="3" l="1"/>
  <c r="E396" i="3"/>
  <c r="F396" i="3" l="1"/>
  <c r="G396" i="3" s="1"/>
  <c r="H396" i="3" s="1"/>
  <c r="B397" i="3" s="1"/>
  <c r="C396" i="3" l="1"/>
  <c r="E397" i="3"/>
  <c r="F397" i="3"/>
  <c r="G397" i="3" s="1"/>
  <c r="H397" i="3" s="1"/>
  <c r="B398" i="3" s="1"/>
  <c r="C397" i="3" l="1"/>
  <c r="E398" i="3"/>
  <c r="F398" i="3" s="1"/>
  <c r="G398" i="3" s="1"/>
  <c r="H398" i="3" s="1"/>
  <c r="B399" i="3" s="1"/>
  <c r="C398" i="3" l="1"/>
  <c r="E399" i="3"/>
  <c r="F399" i="3" s="1"/>
  <c r="G399" i="3" s="1"/>
  <c r="H399" i="3" s="1"/>
  <c r="C399" i="3" l="1"/>
  <c r="B400" i="3"/>
  <c r="E400" i="3" l="1"/>
  <c r="F400" i="3" l="1"/>
  <c r="G400" i="3" s="1"/>
  <c r="H400" i="3" s="1"/>
  <c r="B401" i="3" s="1"/>
  <c r="C400" i="3" l="1"/>
  <c r="E401" i="3"/>
  <c r="F401" i="3"/>
  <c r="G401" i="3" s="1"/>
  <c r="H401" i="3"/>
  <c r="B402" i="3" s="1"/>
  <c r="C401" i="3" l="1"/>
  <c r="E402" i="3"/>
  <c r="F402" i="3" s="1"/>
  <c r="G402" i="3" s="1"/>
  <c r="H402" i="3" s="1"/>
  <c r="C402" i="3" l="1"/>
  <c r="B403" i="3"/>
  <c r="E403" i="3" l="1"/>
  <c r="F403" i="3" l="1"/>
  <c r="G403" i="3" s="1"/>
  <c r="H403" i="3" s="1"/>
  <c r="B404" i="3" s="1"/>
  <c r="E404" i="3" s="1"/>
  <c r="C403" i="3" l="1"/>
  <c r="F404" i="3"/>
  <c r="G404" i="3" s="1"/>
  <c r="H404" i="3" s="1"/>
  <c r="B405" i="3" s="1"/>
  <c r="C404" i="3" l="1"/>
  <c r="E405" i="3"/>
  <c r="F405" i="3"/>
  <c r="G405" i="3" s="1"/>
  <c r="H405" i="3" s="1"/>
  <c r="B406" i="3" s="1"/>
  <c r="C405" i="3" l="1"/>
  <c r="E406" i="3"/>
  <c r="F406" i="3" s="1"/>
  <c r="G406" i="3" s="1"/>
  <c r="H406" i="3" s="1"/>
  <c r="C406" i="3" l="1"/>
  <c r="B407" i="3"/>
  <c r="E407" i="3" s="1"/>
  <c r="F407" i="3" s="1"/>
  <c r="G407" i="3" s="1"/>
  <c r="H407" i="3" s="1"/>
  <c r="C407" i="3" l="1"/>
  <c r="B408" i="3"/>
  <c r="E408" i="3" l="1"/>
  <c r="F408" i="3"/>
  <c r="G408" i="3" s="1"/>
  <c r="H408" i="3"/>
  <c r="C408" i="3" l="1"/>
  <c r="B409" i="3"/>
  <c r="E409" i="3" l="1"/>
  <c r="F409" i="3"/>
  <c r="G409" i="3" s="1"/>
  <c r="H409" i="3" s="1"/>
  <c r="B410" i="3" s="1"/>
  <c r="C409" i="3" l="1"/>
  <c r="E410" i="3"/>
  <c r="F410" i="3" s="1"/>
  <c r="G410" i="3" s="1"/>
  <c r="H410" i="3" s="1"/>
  <c r="B411" i="3" s="1"/>
  <c r="C410" i="3" l="1"/>
  <c r="E411" i="3"/>
  <c r="F411" i="3" s="1"/>
  <c r="G411" i="3" s="1"/>
  <c r="H411" i="3" s="1"/>
  <c r="C411" i="3" l="1"/>
  <c r="B412" i="3"/>
  <c r="E412" i="3" l="1"/>
  <c r="F412" i="3"/>
  <c r="G412" i="3" s="1"/>
  <c r="H412" i="3" s="1"/>
  <c r="C412" i="3" l="1"/>
  <c r="B413" i="3"/>
  <c r="E413" i="3" l="1"/>
  <c r="F413" i="3"/>
  <c r="G413" i="3" s="1"/>
  <c r="H413" i="3" s="1"/>
  <c r="C413" i="3" l="1"/>
  <c r="B414" i="3"/>
  <c r="E414" i="3" l="1"/>
  <c r="F414" i="3" l="1"/>
  <c r="G414" i="3" s="1"/>
  <c r="H414" i="3" s="1"/>
  <c r="B415" i="3" s="1"/>
  <c r="E415" i="3" s="1"/>
  <c r="F415" i="3" l="1"/>
  <c r="G415" i="3" s="1"/>
  <c r="H415" i="3" s="1"/>
  <c r="B416" i="3" s="1"/>
  <c r="E416" i="3" s="1"/>
  <c r="F416" i="3" s="1"/>
  <c r="G416" i="3" s="1"/>
  <c r="H416" i="3" s="1"/>
  <c r="C414" i="3"/>
  <c r="C415" i="3"/>
  <c r="C416" i="3" l="1"/>
  <c r="B417" i="3"/>
  <c r="E417" i="3" l="1"/>
  <c r="F417" i="3"/>
  <c r="G417" i="3" s="1"/>
  <c r="H417" i="3" s="1"/>
  <c r="C417" i="3" l="1"/>
  <c r="B418" i="3"/>
  <c r="E418" i="3" l="1"/>
  <c r="F418" i="3" s="1"/>
  <c r="G418" i="3" s="1"/>
  <c r="H418" i="3" s="1"/>
  <c r="B419" i="3" s="1"/>
  <c r="C418" i="3" l="1"/>
  <c r="E419" i="3"/>
  <c r="F419" i="3"/>
  <c r="G419" i="3" s="1"/>
  <c r="H419" i="3" s="1"/>
  <c r="C419" i="3" l="1"/>
  <c r="B420" i="3"/>
  <c r="E420" i="3" s="1"/>
  <c r="F420" i="3" l="1"/>
  <c r="G420" i="3" s="1"/>
  <c r="H420" i="3" s="1"/>
  <c r="B421" i="3" s="1"/>
  <c r="C420" i="3" l="1"/>
  <c r="E421" i="3"/>
  <c r="F421" i="3" l="1"/>
  <c r="G421" i="3" s="1"/>
  <c r="H421" i="3" s="1"/>
  <c r="B422" i="3" s="1"/>
  <c r="C421" i="3" l="1"/>
  <c r="E422" i="3"/>
  <c r="F422" i="3" s="1"/>
  <c r="G422" i="3" s="1"/>
  <c r="H422" i="3" s="1"/>
  <c r="C422" i="3" l="1"/>
  <c r="B423" i="3"/>
  <c r="E423" i="3" l="1"/>
  <c r="F423" i="3"/>
  <c r="G423" i="3" s="1"/>
  <c r="H423" i="3" s="1"/>
  <c r="C423" i="3" l="1"/>
  <c r="B424" i="3"/>
  <c r="E424" i="3" l="1"/>
  <c r="F424" i="3"/>
  <c r="G424" i="3" s="1"/>
  <c r="H424" i="3" s="1"/>
  <c r="C424" i="3" l="1"/>
  <c r="B425" i="3"/>
  <c r="E425" i="3" l="1"/>
  <c r="F425" i="3"/>
  <c r="G425" i="3" s="1"/>
  <c r="H425" i="3" s="1"/>
  <c r="B426" i="3" s="1"/>
  <c r="C425" i="3" l="1"/>
  <c r="E426" i="3"/>
  <c r="F426" i="3" s="1"/>
  <c r="G426" i="3" s="1"/>
  <c r="H426" i="3" s="1"/>
  <c r="B427" i="3" s="1"/>
  <c r="C426" i="3" l="1"/>
  <c r="E427" i="3"/>
  <c r="F427" i="3"/>
  <c r="G427" i="3" s="1"/>
  <c r="H427" i="3" s="1"/>
  <c r="C427" i="3" l="1"/>
  <c r="B428" i="3"/>
  <c r="E428" i="3" l="1"/>
  <c r="F428" i="3"/>
  <c r="G428" i="3" s="1"/>
  <c r="H428" i="3" s="1"/>
  <c r="C428" i="3" l="1"/>
  <c r="B429" i="3"/>
  <c r="E429" i="3" s="1"/>
  <c r="F429" i="3" s="1"/>
  <c r="G429" i="3" s="1"/>
  <c r="H429" i="3" s="1"/>
  <c r="B430" i="3" s="1"/>
  <c r="C429" i="3" l="1"/>
  <c r="E430" i="3"/>
  <c r="F430" i="3" s="1"/>
  <c r="G430" i="3" s="1"/>
  <c r="H430" i="3" s="1"/>
  <c r="C430" i="3" l="1"/>
  <c r="B431" i="3"/>
  <c r="E431" i="3" l="1"/>
  <c r="F431" i="3" s="1"/>
  <c r="G431" i="3" s="1"/>
  <c r="H431" i="3" s="1"/>
  <c r="C431" i="3" l="1"/>
  <c r="B432" i="3"/>
  <c r="E432" i="3" l="1"/>
  <c r="F432" i="3"/>
  <c r="G432" i="3" s="1"/>
  <c r="H432" i="3" s="1"/>
  <c r="B433" i="3" s="1"/>
  <c r="C432" i="3" l="1"/>
  <c r="E433" i="3"/>
  <c r="F433" i="3"/>
  <c r="G433" i="3" s="1"/>
  <c r="H433" i="3" s="1"/>
  <c r="C433" i="3" l="1"/>
  <c r="B434" i="3"/>
  <c r="E434" i="3" l="1"/>
  <c r="F434" i="3" s="1"/>
  <c r="G434" i="3" s="1"/>
  <c r="H434" i="3" s="1"/>
  <c r="C434" i="3" l="1"/>
  <c r="B435" i="3"/>
  <c r="E435" i="3" l="1"/>
  <c r="F435" i="3" s="1"/>
  <c r="G435" i="3" l="1"/>
  <c r="H435" i="3" s="1"/>
  <c r="B436" i="3" s="1"/>
  <c r="E436" i="3" s="1"/>
  <c r="F436" i="3" s="1"/>
  <c r="G436" i="3" s="1"/>
  <c r="H436" i="3" s="1"/>
  <c r="B437" i="3" s="1"/>
  <c r="C435" i="3"/>
  <c r="C436" i="3" l="1"/>
  <c r="E437" i="3"/>
  <c r="F437" i="3"/>
  <c r="G437" i="3" s="1"/>
  <c r="H437" i="3" s="1"/>
  <c r="B438" i="3" s="1"/>
  <c r="C437" i="3" l="1"/>
  <c r="E438" i="3"/>
  <c r="F438" i="3" s="1"/>
  <c r="G438" i="3" s="1"/>
  <c r="H438" i="3" s="1"/>
  <c r="C438" i="3" l="1"/>
  <c r="B439" i="3"/>
  <c r="E439" i="3" l="1"/>
  <c r="F439" i="3"/>
  <c r="G439" i="3" s="1"/>
  <c r="H439" i="3" s="1"/>
  <c r="C439" i="3" l="1"/>
  <c r="B440" i="3"/>
  <c r="E440" i="3" l="1"/>
  <c r="F440" i="3" l="1"/>
  <c r="G440" i="3" s="1"/>
  <c r="H440" i="3" s="1"/>
  <c r="B441" i="3" s="1"/>
  <c r="C440" i="3" l="1"/>
  <c r="E441" i="3"/>
  <c r="F441" i="3" l="1"/>
  <c r="G441" i="3" s="1"/>
  <c r="H441" i="3" s="1"/>
  <c r="B442" i="3" s="1"/>
  <c r="E442" i="3" s="1"/>
  <c r="F442" i="3" l="1"/>
  <c r="G442" i="3" s="1"/>
  <c r="H442" i="3" s="1"/>
  <c r="B443" i="3" s="1"/>
  <c r="C441" i="3"/>
  <c r="C442" i="3" l="1"/>
  <c r="E443" i="3"/>
  <c r="F443" i="3"/>
  <c r="G443" i="3" s="1"/>
  <c r="H443" i="3" s="1"/>
  <c r="C443" i="3" l="1"/>
  <c r="B444" i="3"/>
  <c r="E444" i="3" l="1"/>
  <c r="F444" i="3"/>
  <c r="G444" i="3" s="1"/>
  <c r="H444" i="3" s="1"/>
  <c r="C444" i="3" l="1"/>
  <c r="B445" i="3"/>
  <c r="E445" i="3" l="1"/>
  <c r="F445" i="3" l="1"/>
  <c r="G445" i="3" s="1"/>
  <c r="H445" i="3" s="1"/>
  <c r="B446" i="3" s="1"/>
  <c r="C445" i="3" l="1"/>
  <c r="E446" i="3"/>
  <c r="F446" i="3" s="1"/>
  <c r="G446" i="3" l="1"/>
  <c r="H446" i="3" s="1"/>
  <c r="B447" i="3" s="1"/>
  <c r="E447" i="3" s="1"/>
  <c r="C446" i="3"/>
  <c r="F447" i="3" l="1"/>
  <c r="G447" i="3" s="1"/>
  <c r="H447" i="3" s="1"/>
  <c r="B448" i="3" s="1"/>
  <c r="C447" i="3"/>
  <c r="E448" i="3" l="1"/>
  <c r="F448" i="3"/>
  <c r="G448" i="3" s="1"/>
  <c r="H448" i="3" s="1"/>
  <c r="C448" i="3" l="1"/>
  <c r="B449" i="3"/>
  <c r="E449" i="3" l="1"/>
  <c r="F449" i="3" s="1"/>
  <c r="G449" i="3" s="1"/>
  <c r="H449" i="3" s="1"/>
  <c r="C449" i="3" l="1"/>
  <c r="B450" i="3"/>
  <c r="E450" i="3" l="1"/>
  <c r="F450" i="3" l="1"/>
  <c r="G450" i="3" s="1"/>
  <c r="H450" i="3" s="1"/>
  <c r="B451" i="3" s="1"/>
  <c r="E451" i="3" l="1"/>
  <c r="F451" i="3" s="1"/>
  <c r="G451" i="3" s="1"/>
  <c r="H451" i="3" s="1"/>
  <c r="B452" i="3" s="1"/>
  <c r="C450" i="3"/>
  <c r="E452" i="3" l="1"/>
  <c r="F452" i="3"/>
  <c r="G452" i="3" s="1"/>
  <c r="H452" i="3" s="1"/>
  <c r="C451" i="3"/>
  <c r="C452" i="3" l="1"/>
  <c r="B453" i="3"/>
  <c r="E453" i="3" l="1"/>
  <c r="F453" i="3"/>
  <c r="G453" i="3" s="1"/>
  <c r="H453" i="3" s="1"/>
  <c r="C453" i="3" l="1"/>
  <c r="B454" i="3"/>
  <c r="E454" i="3" l="1"/>
  <c r="F454" i="3"/>
  <c r="G454" i="3" s="1"/>
  <c r="H454" i="3" s="1"/>
  <c r="B455" i="3" s="1"/>
  <c r="C454" i="3" l="1"/>
  <c r="E455" i="3"/>
  <c r="F455" i="3"/>
  <c r="G455" i="3" s="1"/>
  <c r="H455" i="3" s="1"/>
  <c r="B456" i="3" s="1"/>
  <c r="C455" i="3" l="1"/>
  <c r="E456" i="3"/>
  <c r="C456" i="3" s="1"/>
  <c r="F456" i="3"/>
  <c r="G456" i="3" s="1"/>
  <c r="H456" i="3" s="1"/>
  <c r="B457" i="3" s="1"/>
  <c r="E457" i="3" s="1"/>
  <c r="F457" i="3" s="1"/>
  <c r="G457" i="3" s="1"/>
  <c r="H457" i="3" s="1"/>
  <c r="B458" i="3" s="1"/>
  <c r="E458" i="3" l="1"/>
  <c r="F458" i="3"/>
  <c r="G458" i="3" s="1"/>
  <c r="H458" i="3" s="1"/>
  <c r="C457" i="3"/>
  <c r="C458" i="3" l="1"/>
  <c r="B459" i="3"/>
  <c r="E459" i="3" s="1"/>
  <c r="F459" i="3" l="1"/>
  <c r="G459" i="3" s="1"/>
  <c r="H459" i="3" s="1"/>
  <c r="B460" i="3" s="1"/>
  <c r="C459" i="3"/>
  <c r="E460" i="3" l="1"/>
  <c r="F460" i="3" l="1"/>
  <c r="G460" i="3" s="1"/>
  <c r="H460" i="3" s="1"/>
  <c r="B461" i="3" s="1"/>
  <c r="C460" i="3" l="1"/>
  <c r="E461" i="3"/>
  <c r="F461" i="3" s="1"/>
  <c r="G461" i="3" l="1"/>
  <c r="H461" i="3" s="1"/>
  <c r="B462" i="3" s="1"/>
  <c r="C461" i="3"/>
  <c r="E462" i="3" l="1"/>
  <c r="F462" i="3"/>
  <c r="G462" i="3" s="1"/>
  <c r="H462" i="3"/>
  <c r="B463" i="3" s="1"/>
  <c r="C462" i="3" l="1"/>
  <c r="E463" i="3"/>
  <c r="F463" i="3" s="1"/>
  <c r="G463" i="3" s="1"/>
  <c r="H463" i="3" s="1"/>
  <c r="B464" i="3" s="1"/>
  <c r="C463" i="3" l="1"/>
  <c r="E464" i="3"/>
  <c r="F464" i="3"/>
  <c r="G464" i="3" s="1"/>
  <c r="H464" i="3" s="1"/>
  <c r="C464" i="3" l="1"/>
  <c r="B465" i="3"/>
  <c r="E465" i="3" l="1"/>
  <c r="F465" i="3" s="1"/>
  <c r="G465" i="3" l="1"/>
  <c r="H465" i="3" s="1"/>
  <c r="B466" i="3" s="1"/>
  <c r="E466" i="3" s="1"/>
  <c r="C465" i="3"/>
  <c r="F466" i="3" l="1"/>
  <c r="G466" i="3" s="1"/>
  <c r="H466" i="3" s="1"/>
  <c r="B467" i="3" s="1"/>
  <c r="E467" i="3" s="1"/>
  <c r="F467" i="3" l="1"/>
  <c r="G467" i="3" s="1"/>
  <c r="H467" i="3" s="1"/>
  <c r="B468" i="3" s="1"/>
  <c r="C466" i="3"/>
  <c r="C467" i="3"/>
  <c r="E468" i="3" l="1"/>
  <c r="F468" i="3"/>
  <c r="G468" i="3" s="1"/>
  <c r="H468" i="3" s="1"/>
  <c r="B469" i="3" s="1"/>
  <c r="C468" i="3" l="1"/>
  <c r="E469" i="3"/>
  <c r="F469" i="3"/>
  <c r="G469" i="3" s="1"/>
  <c r="H469" i="3" s="1"/>
  <c r="C469" i="3"/>
  <c r="B470" i="3" l="1"/>
  <c r="E470" i="3" s="1"/>
  <c r="F470" i="3" l="1"/>
  <c r="G470" i="3" s="1"/>
  <c r="H470" i="3" s="1"/>
  <c r="B471" i="3" s="1"/>
  <c r="C470" i="3"/>
  <c r="E471" i="3" l="1"/>
  <c r="F471" i="3"/>
  <c r="G471" i="3" s="1"/>
  <c r="H471" i="3" s="1"/>
  <c r="C471" i="3" l="1"/>
  <c r="B472" i="3"/>
  <c r="E472" i="3" l="1"/>
  <c r="F472" i="3"/>
  <c r="G472" i="3" s="1"/>
  <c r="C472" i="3"/>
  <c r="H472" i="3"/>
  <c r="B473" i="3" s="1"/>
  <c r="E473" i="3" l="1"/>
  <c r="F473" i="3" l="1"/>
  <c r="G473" i="3" s="1"/>
  <c r="H473" i="3" s="1"/>
  <c r="B474" i="3" s="1"/>
  <c r="C473" i="3" l="1"/>
  <c r="E474" i="3"/>
  <c r="F474" i="3"/>
  <c r="G474" i="3" s="1"/>
  <c r="H474" i="3"/>
  <c r="B475" i="3" s="1"/>
  <c r="C474" i="3" l="1"/>
  <c r="E475" i="3"/>
  <c r="F475" i="3" s="1"/>
  <c r="G475" i="3" s="1"/>
  <c r="H475" i="3" s="1"/>
  <c r="C475" i="3" l="1"/>
  <c r="B476" i="3"/>
  <c r="E476" i="3" s="1"/>
  <c r="F476" i="3" l="1"/>
  <c r="G476" i="3" s="1"/>
  <c r="H476" i="3" s="1"/>
  <c r="B477" i="3" s="1"/>
  <c r="C476" i="3" l="1"/>
  <c r="E477" i="3"/>
  <c r="F477" i="3" s="1"/>
  <c r="G477" i="3" s="1"/>
  <c r="H477" i="3" s="1"/>
  <c r="B478" i="3" s="1"/>
  <c r="C477" i="3" l="1"/>
  <c r="E478" i="3"/>
  <c r="F478" i="3" s="1"/>
  <c r="G478" i="3" s="1"/>
  <c r="H478" i="3" s="1"/>
  <c r="C478" i="3" l="1"/>
  <c r="B479" i="3"/>
  <c r="E479" i="3" l="1"/>
  <c r="F479" i="3"/>
  <c r="G479" i="3" s="1"/>
  <c r="H479" i="3" s="1"/>
  <c r="C479" i="3" l="1"/>
  <c r="B480" i="3"/>
  <c r="E480" i="3" l="1"/>
  <c r="C480" i="3" s="1"/>
  <c r="F480" i="3"/>
  <c r="G480" i="3" s="1"/>
  <c r="H480" i="3" s="1"/>
  <c r="B481" i="3" s="1"/>
  <c r="E481" i="3" l="1"/>
  <c r="F481" i="3" l="1"/>
  <c r="G481" i="3" s="1"/>
  <c r="H481" i="3" s="1"/>
  <c r="B482" i="3" s="1"/>
  <c r="E482" i="3" s="1"/>
  <c r="F482" i="3" s="1"/>
  <c r="G482" i="3" s="1"/>
  <c r="H482" i="3" s="1"/>
  <c r="C481" i="3" l="1"/>
  <c r="C482" i="3"/>
  <c r="B483" i="3"/>
  <c r="E483" i="3" s="1"/>
  <c r="F483" i="3" l="1"/>
  <c r="G483" i="3" s="1"/>
  <c r="H483" i="3" s="1"/>
  <c r="B484" i="3" s="1"/>
  <c r="E484" i="3" s="1"/>
  <c r="F484" i="3" s="1"/>
  <c r="G484" i="3" s="1"/>
  <c r="H484" i="3" s="1"/>
  <c r="C484" i="3" l="1"/>
  <c r="C483" i="3"/>
  <c r="B485" i="3"/>
  <c r="E485" i="3" l="1"/>
  <c r="F485" i="3" s="1"/>
  <c r="G485" i="3" l="1"/>
  <c r="H485" i="3" s="1"/>
  <c r="C485" i="3"/>
  <c r="B486" i="3"/>
  <c r="E486" i="3" s="1"/>
  <c r="F486" i="3" s="1"/>
  <c r="G486" i="3" l="1"/>
  <c r="H486" i="3" s="1"/>
  <c r="B487" i="3" s="1"/>
  <c r="E487" i="3" s="1"/>
  <c r="C486" i="3"/>
  <c r="F487" i="3" l="1"/>
  <c r="G487" i="3" s="1"/>
  <c r="H487" i="3" s="1"/>
  <c r="B488" i="3" s="1"/>
  <c r="C487" i="3"/>
  <c r="E488" i="3" l="1"/>
  <c r="F488" i="3" s="1"/>
  <c r="G488" i="3" l="1"/>
  <c r="H488" i="3" s="1"/>
  <c r="B489" i="3" s="1"/>
  <c r="C488" i="3"/>
  <c r="E489" i="3" l="1"/>
  <c r="F489" i="3"/>
  <c r="G489" i="3" s="1"/>
  <c r="H489" i="3" s="1"/>
  <c r="C489" i="3" l="1"/>
  <c r="B490" i="3"/>
  <c r="E490" i="3" l="1"/>
  <c r="F490" i="3" l="1"/>
  <c r="G490" i="3" s="1"/>
  <c r="H490" i="3" s="1"/>
  <c r="B491" i="3" s="1"/>
  <c r="C490" i="3" l="1"/>
  <c r="E491" i="3"/>
  <c r="F491" i="3"/>
  <c r="G491" i="3" s="1"/>
  <c r="H491" i="3" s="1"/>
  <c r="C491" i="3" l="1"/>
  <c r="B492" i="3"/>
  <c r="E492" i="3" s="1"/>
  <c r="F492" i="3" l="1"/>
  <c r="G492" i="3" s="1"/>
  <c r="H492" i="3" s="1"/>
  <c r="B493" i="3" s="1"/>
  <c r="C492" i="3" l="1"/>
  <c r="E493" i="3"/>
  <c r="F493" i="3" s="1"/>
  <c r="G493" i="3" s="1"/>
  <c r="H493" i="3" s="1"/>
  <c r="C493" i="3" l="1"/>
  <c r="B494" i="3"/>
  <c r="E494" i="3" s="1"/>
  <c r="F494" i="3" l="1"/>
  <c r="G494" i="3" s="1"/>
  <c r="H494" i="3" s="1"/>
  <c r="B495" i="3" s="1"/>
  <c r="E495" i="3" l="1"/>
  <c r="F495" i="3"/>
  <c r="G495" i="3" s="1"/>
  <c r="H495" i="3" s="1"/>
  <c r="B496" i="3" s="1"/>
  <c r="C494" i="3"/>
  <c r="C495" i="3" l="1"/>
  <c r="E496" i="3"/>
  <c r="F496" i="3" l="1"/>
  <c r="G496" i="3" s="1"/>
  <c r="H496" i="3" s="1"/>
  <c r="B497" i="3" s="1"/>
  <c r="E497" i="3" l="1"/>
  <c r="F497" i="3"/>
  <c r="G497" i="3" s="1"/>
  <c r="H497" i="3" s="1"/>
  <c r="B498" i="3" s="1"/>
  <c r="C496" i="3"/>
  <c r="C497" i="3" l="1"/>
  <c r="E498" i="3"/>
  <c r="F498" i="3" s="1"/>
  <c r="G498" i="3" l="1"/>
  <c r="H498" i="3" s="1"/>
  <c r="B499" i="3" s="1"/>
  <c r="C498" i="3"/>
  <c r="E499" i="3" l="1"/>
  <c r="F499" i="3" s="1"/>
  <c r="G499" i="3" s="1"/>
  <c r="H499" i="3" s="1"/>
  <c r="B500" i="3" s="1"/>
  <c r="E500" i="3" l="1"/>
  <c r="F500" i="3" s="1"/>
  <c r="G500" i="3" s="1"/>
  <c r="H500" i="3" s="1"/>
  <c r="B501" i="3" s="1"/>
  <c r="C499" i="3"/>
  <c r="E501" i="3" l="1"/>
  <c r="F501" i="3"/>
  <c r="G501" i="3" s="1"/>
  <c r="H501" i="3" s="1"/>
  <c r="B502" i="3" s="1"/>
  <c r="C500" i="3"/>
  <c r="C501" i="3" l="1"/>
  <c r="E502" i="3"/>
  <c r="F502" i="3"/>
  <c r="G502" i="3" s="1"/>
  <c r="C502" i="3"/>
  <c r="H502" i="3"/>
  <c r="B503" i="3" s="1"/>
  <c r="F503" i="3" s="1"/>
  <c r="G503" i="3" s="1"/>
  <c r="H503" i="3" s="1"/>
  <c r="B504" i="3" s="1"/>
  <c r="E503" i="3"/>
  <c r="C503" i="3" l="1"/>
  <c r="E504" i="3"/>
  <c r="F504" i="3" s="1"/>
  <c r="G504" i="3" s="1"/>
  <c r="H504" i="3" s="1"/>
  <c r="B505" i="3" s="1"/>
  <c r="C504" i="3" l="1"/>
  <c r="E505" i="3"/>
  <c r="F505" i="3" l="1"/>
  <c r="G505" i="3" s="1"/>
  <c r="H505" i="3" s="1"/>
  <c r="B506" i="3" s="1"/>
  <c r="E506" i="3" s="1"/>
  <c r="F506" i="3" s="1"/>
  <c r="G506" i="3" s="1"/>
  <c r="H506" i="3" s="1"/>
  <c r="C505" i="3" l="1"/>
  <c r="C506" i="3"/>
  <c r="B507" i="3"/>
  <c r="E507" i="3" l="1"/>
  <c r="F507" i="3" l="1"/>
  <c r="G507" i="3" s="1"/>
  <c r="H507" i="3" s="1"/>
  <c r="B508" i="3" s="1"/>
  <c r="C507" i="3" l="1"/>
  <c r="E508" i="3"/>
  <c r="F508" i="3" l="1"/>
  <c r="G508" i="3" s="1"/>
  <c r="H508" i="3" s="1"/>
  <c r="B509" i="3" s="1"/>
  <c r="E509" i="3" s="1"/>
  <c r="F509" i="3" l="1"/>
  <c r="G509" i="3" s="1"/>
  <c r="H509" i="3" s="1"/>
  <c r="B510" i="3" s="1"/>
  <c r="C508" i="3"/>
  <c r="C509" i="3" l="1"/>
  <c r="E510" i="3"/>
  <c r="F510" i="3"/>
  <c r="G510" i="3" s="1"/>
  <c r="H510" i="3" s="1"/>
  <c r="C510" i="3" l="1"/>
  <c r="B511" i="3"/>
  <c r="E511" i="3" l="1"/>
  <c r="F511" i="3" s="1"/>
  <c r="G511" i="3" s="1"/>
  <c r="H511" i="3" s="1"/>
  <c r="C511" i="3" l="1"/>
  <c r="B512" i="3"/>
  <c r="E512" i="3" l="1"/>
  <c r="F512" i="3"/>
  <c r="G512" i="3" s="1"/>
  <c r="H512" i="3" s="1"/>
  <c r="C512" i="3" l="1"/>
  <c r="B513" i="3"/>
  <c r="E513" i="3" l="1"/>
  <c r="F513" i="3"/>
  <c r="G513" i="3" s="1"/>
  <c r="H513" i="3" s="1"/>
  <c r="C513" i="3" l="1"/>
  <c r="B514" i="3"/>
  <c r="E514" i="3" l="1"/>
  <c r="F514" i="3" l="1"/>
  <c r="G514" i="3" s="1"/>
  <c r="H514" i="3" s="1"/>
  <c r="B515" i="3" s="1"/>
  <c r="E515" i="3" s="1"/>
  <c r="F515" i="3" l="1"/>
  <c r="G515" i="3" s="1"/>
  <c r="H515" i="3" s="1"/>
  <c r="B516" i="3" s="1"/>
  <c r="C514" i="3"/>
  <c r="C515" i="3" l="1"/>
  <c r="E516" i="3"/>
  <c r="F516" i="3"/>
  <c r="G516" i="3" s="1"/>
  <c r="H516" i="3" s="1"/>
  <c r="C516" i="3" l="1"/>
  <c r="B517" i="3"/>
  <c r="E517" i="3" l="1"/>
  <c r="F517" i="3"/>
  <c r="G517" i="3" s="1"/>
  <c r="H517" i="3" s="1"/>
  <c r="C517" i="3"/>
  <c r="B518" i="3" l="1"/>
  <c r="E518" i="3" l="1"/>
  <c r="F518" i="3"/>
  <c r="G518" i="3" s="1"/>
  <c r="H518" i="3" s="1"/>
  <c r="C518" i="3" l="1"/>
  <c r="B519" i="3"/>
  <c r="E519" i="3" l="1"/>
  <c r="F519" i="3"/>
  <c r="G519" i="3" s="1"/>
  <c r="H519" i="3" s="1"/>
  <c r="B520" i="3" s="1"/>
  <c r="C519" i="3" l="1"/>
  <c r="E520" i="3"/>
  <c r="F520" i="3"/>
  <c r="G520" i="3" s="1"/>
  <c r="H520" i="3" s="1"/>
  <c r="C520" i="3" l="1"/>
  <c r="B521" i="3"/>
  <c r="E521" i="3" l="1"/>
  <c r="F521" i="3" l="1"/>
  <c r="G521" i="3" s="1"/>
  <c r="H521" i="3" s="1"/>
  <c r="B522" i="3" s="1"/>
  <c r="C521" i="3" l="1"/>
  <c r="E522" i="3"/>
  <c r="F522" i="3" s="1"/>
  <c r="G522" i="3" s="1"/>
  <c r="H522" i="3" s="1"/>
  <c r="B523" i="3" s="1"/>
  <c r="C522" i="3" l="1"/>
  <c r="E523" i="3"/>
  <c r="C523" i="3" s="1"/>
  <c r="F523" i="3"/>
  <c r="G523" i="3" s="1"/>
  <c r="H523" i="3" s="1"/>
  <c r="B524" i="3" s="1"/>
  <c r="E524" i="3" l="1"/>
  <c r="F524" i="3" s="1"/>
  <c r="G524" i="3" l="1"/>
  <c r="H524" i="3" s="1"/>
  <c r="B525" i="3" s="1"/>
  <c r="C524" i="3"/>
  <c r="E525" i="3" l="1"/>
  <c r="F525" i="3" s="1"/>
  <c r="G525" i="3" s="1"/>
  <c r="H525" i="3" s="1"/>
  <c r="B526" i="3" s="1"/>
  <c r="C525" i="3" l="1"/>
  <c r="E526" i="3"/>
  <c r="F526" i="3"/>
  <c r="G526" i="3" s="1"/>
  <c r="H526" i="3" s="1"/>
  <c r="C526" i="3" l="1"/>
  <c r="B527" i="3"/>
  <c r="E527" i="3" l="1"/>
  <c r="F527" i="3" l="1"/>
  <c r="G527" i="3" s="1"/>
  <c r="H527" i="3" s="1"/>
  <c r="B528" i="3" s="1"/>
  <c r="E528" i="3" l="1"/>
  <c r="C527" i="3"/>
  <c r="F528" i="3" l="1"/>
  <c r="G528" i="3" s="1"/>
  <c r="H528" i="3" s="1"/>
  <c r="B529" i="3" s="1"/>
  <c r="E529" i="3" l="1"/>
  <c r="F529" i="3" s="1"/>
  <c r="G529" i="3" s="1"/>
  <c r="H529" i="3" s="1"/>
  <c r="B530" i="3" s="1"/>
  <c r="C528" i="3"/>
  <c r="E530" i="3" l="1"/>
  <c r="F530" i="3"/>
  <c r="G530" i="3" s="1"/>
  <c r="H530" i="3" s="1"/>
  <c r="B531" i="3" s="1"/>
  <c r="C529" i="3"/>
  <c r="E531" i="3" l="1"/>
  <c r="C530" i="3"/>
  <c r="F531" i="3" l="1"/>
  <c r="G531" i="3" s="1"/>
  <c r="H531" i="3" s="1"/>
  <c r="B532" i="3" s="1"/>
  <c r="E532" i="3" l="1"/>
  <c r="C531" i="3"/>
  <c r="F532" i="3" l="1"/>
  <c r="G532" i="3" s="1"/>
  <c r="H532" i="3" s="1"/>
  <c r="B533" i="3" s="1"/>
  <c r="E533" i="3" l="1"/>
  <c r="C533" i="3" s="1"/>
  <c r="F533" i="3"/>
  <c r="G533" i="3" s="1"/>
  <c r="H533" i="3" s="1"/>
  <c r="B534" i="3" s="1"/>
  <c r="C532" i="3"/>
  <c r="E534" i="3" l="1"/>
  <c r="F534" i="3" l="1"/>
  <c r="G534" i="3" s="1"/>
  <c r="H534" i="3" s="1"/>
  <c r="B535" i="3" s="1"/>
  <c r="E535" i="3" l="1"/>
  <c r="F535" i="3"/>
  <c r="G535" i="3" s="1"/>
  <c r="H535" i="3" s="1"/>
  <c r="B536" i="3" s="1"/>
  <c r="C534" i="3"/>
  <c r="E536" i="3" l="1"/>
  <c r="F536" i="3"/>
  <c r="G536" i="3" s="1"/>
  <c r="H536" i="3" s="1"/>
  <c r="B537" i="3" s="1"/>
  <c r="C535" i="3"/>
  <c r="E537" i="3" l="1"/>
  <c r="C537" i="3" s="1"/>
  <c r="F537" i="3"/>
  <c r="G537" i="3" s="1"/>
  <c r="H537" i="3"/>
  <c r="B538" i="3" s="1"/>
  <c r="C536" i="3"/>
  <c r="E538" i="3" l="1"/>
  <c r="F538" i="3"/>
  <c r="G538" i="3" s="1"/>
  <c r="H538" i="3" s="1"/>
  <c r="B539" i="3" s="1"/>
  <c r="E539" i="3" l="1"/>
  <c r="C538" i="3"/>
  <c r="F539" i="3" l="1"/>
  <c r="G539" i="3" s="1"/>
  <c r="H539" i="3" s="1"/>
  <c r="B540" i="3" s="1"/>
  <c r="E540" i="3" l="1"/>
  <c r="C540" i="3" s="1"/>
  <c r="F540" i="3"/>
  <c r="G540" i="3" s="1"/>
  <c r="H540" i="3"/>
  <c r="B541" i="3" s="1"/>
  <c r="C539" i="3"/>
  <c r="E541" i="3" l="1"/>
  <c r="F541" i="3"/>
  <c r="G541" i="3" s="1"/>
  <c r="H541" i="3" s="1"/>
  <c r="B542" i="3" s="1"/>
  <c r="E542" i="3" l="1"/>
  <c r="F542" i="3"/>
  <c r="G542" i="3" s="1"/>
  <c r="H542" i="3" s="1"/>
  <c r="B543" i="3" s="1"/>
  <c r="C542" i="3"/>
  <c r="C541" i="3"/>
  <c r="E543" i="3" l="1"/>
  <c r="C543" i="3" s="1"/>
  <c r="F543" i="3"/>
  <c r="G543" i="3" s="1"/>
  <c r="H543" i="3" s="1"/>
  <c r="B544" i="3" s="1"/>
  <c r="E544" i="3" l="1"/>
  <c r="F544" i="3" s="1"/>
  <c r="G544" i="3" s="1"/>
  <c r="H544" i="3" s="1"/>
  <c r="B545" i="3" s="1"/>
  <c r="C544" i="3" l="1"/>
  <c r="E545" i="3"/>
  <c r="C545" i="3" s="1"/>
  <c r="F545" i="3"/>
  <c r="G545" i="3" s="1"/>
  <c r="H545" i="3" s="1"/>
  <c r="B546" i="3" l="1"/>
  <c r="E546" i="3" l="1"/>
  <c r="C546" i="3" s="1"/>
  <c r="F546" i="3"/>
  <c r="G546" i="3" s="1"/>
  <c r="H546" i="3" s="1"/>
  <c r="B547" i="3" s="1"/>
  <c r="E547" i="3" l="1"/>
  <c r="C547" i="3" s="1"/>
  <c r="F547" i="3"/>
  <c r="G547" i="3" s="1"/>
  <c r="H547" i="3"/>
  <c r="B548" i="3" s="1"/>
  <c r="E548" i="3" l="1"/>
  <c r="F548" i="3" s="1"/>
  <c r="G548" i="3" s="1"/>
  <c r="H548" i="3" s="1"/>
  <c r="B549" i="3" s="1"/>
  <c r="C548" i="3" l="1"/>
  <c r="E549" i="3"/>
  <c r="F549" i="3" l="1"/>
  <c r="G549" i="3" s="1"/>
  <c r="H549" i="3" s="1"/>
  <c r="B550" i="3" s="1"/>
  <c r="C549" i="3" l="1"/>
  <c r="E550" i="3"/>
  <c r="F550" i="3" l="1"/>
  <c r="G550" i="3" s="1"/>
  <c r="H550" i="3" s="1"/>
  <c r="B551" i="3" s="1"/>
  <c r="E551" i="3" l="1"/>
  <c r="C551" i="3" s="1"/>
  <c r="F551" i="3"/>
  <c r="G551" i="3" s="1"/>
  <c r="H551" i="3" s="1"/>
  <c r="B552" i="3" s="1"/>
  <c r="C550" i="3"/>
  <c r="E552" i="3" l="1"/>
  <c r="C552" i="3" s="1"/>
  <c r="F552" i="3"/>
  <c r="G552" i="3" s="1"/>
  <c r="H552" i="3" s="1"/>
  <c r="B553" i="3" s="1"/>
  <c r="E553" i="3" l="1"/>
  <c r="F553" i="3" l="1"/>
  <c r="G553" i="3" s="1"/>
  <c r="H553" i="3" s="1"/>
  <c r="B554" i="3" s="1"/>
  <c r="E554" i="3" l="1"/>
  <c r="C553" i="3"/>
  <c r="F554" i="3" l="1"/>
  <c r="G554" i="3" s="1"/>
  <c r="H554" i="3" s="1"/>
  <c r="B555" i="3" s="1"/>
  <c r="E555" i="3" l="1"/>
  <c r="F555" i="3"/>
  <c r="G555" i="3" s="1"/>
  <c r="H555" i="3"/>
  <c r="B556" i="3" s="1"/>
  <c r="C554" i="3"/>
  <c r="E556" i="3" l="1"/>
  <c r="F556" i="3" s="1"/>
  <c r="C555" i="3"/>
  <c r="G556" i="3" l="1"/>
  <c r="H556" i="3" s="1"/>
  <c r="B557" i="3" s="1"/>
  <c r="C556" i="3"/>
  <c r="E557" i="3" l="1"/>
  <c r="C557" i="3" s="1"/>
  <c r="F557" i="3"/>
  <c r="G557" i="3" s="1"/>
  <c r="H557" i="3"/>
  <c r="B558" i="3" s="1"/>
  <c r="E558" i="3" l="1"/>
  <c r="F558" i="3" s="1"/>
  <c r="G558" i="3" s="1"/>
  <c r="H558" i="3" s="1"/>
  <c r="B559" i="3" s="1"/>
  <c r="E559" i="3" l="1"/>
  <c r="C558" i="3"/>
  <c r="F559" i="3" l="1"/>
  <c r="G559" i="3" s="1"/>
  <c r="H559" i="3" s="1"/>
  <c r="B560" i="3" s="1"/>
  <c r="E560" i="3" l="1"/>
  <c r="C560" i="3" s="1"/>
  <c r="F560" i="3"/>
  <c r="G560" i="3" s="1"/>
  <c r="H560" i="3" s="1"/>
  <c r="B561" i="3" s="1"/>
  <c r="C559" i="3"/>
  <c r="E561" i="3" l="1"/>
  <c r="C561" i="3" s="1"/>
  <c r="F561" i="3"/>
  <c r="G561" i="3" s="1"/>
  <c r="H561" i="3" s="1"/>
  <c r="B562" i="3" s="1"/>
  <c r="E562" i="3" l="1"/>
  <c r="F562" i="3" s="1"/>
  <c r="G562" i="3" s="1"/>
  <c r="H562" i="3" s="1"/>
  <c r="B563" i="3" s="1"/>
  <c r="E563" i="3" l="1"/>
  <c r="C563" i="3" s="1"/>
  <c r="F563" i="3"/>
  <c r="G563" i="3" s="1"/>
  <c r="H563" i="3" s="1"/>
  <c r="B564" i="3" s="1"/>
  <c r="C562" i="3"/>
  <c r="E564" i="3" l="1"/>
  <c r="F564" i="3" l="1"/>
  <c r="G564" i="3" s="1"/>
  <c r="H564" i="3" s="1"/>
  <c r="B565" i="3" s="1"/>
  <c r="F565" i="3" l="1"/>
  <c r="G565" i="3" s="1"/>
  <c r="H565" i="3" s="1"/>
  <c r="B566" i="3" s="1"/>
  <c r="E565" i="3"/>
  <c r="C565" i="3" s="1"/>
  <c r="C564" i="3"/>
  <c r="E566" i="3" l="1"/>
  <c r="C566" i="3" s="1"/>
  <c r="F566" i="3"/>
  <c r="G566" i="3" s="1"/>
  <c r="H566" i="3" s="1"/>
  <c r="B567" i="3" s="1"/>
  <c r="E567" i="3" l="1"/>
  <c r="C567" i="3" s="1"/>
  <c r="F567" i="3"/>
  <c r="G567" i="3" s="1"/>
  <c r="H567" i="3" s="1"/>
  <c r="B568" i="3" s="1"/>
  <c r="E568" i="3" l="1"/>
  <c r="F568" i="3"/>
  <c r="G568" i="3" s="1"/>
  <c r="H568" i="3" s="1"/>
  <c r="B569" i="3" s="1"/>
  <c r="C568" i="3"/>
  <c r="E569" i="3" l="1"/>
  <c r="C569" i="3" s="1"/>
  <c r="F569" i="3"/>
  <c r="G569" i="3" s="1"/>
  <c r="H569" i="3" s="1"/>
  <c r="B570" i="3" s="1"/>
  <c r="E570" i="3" l="1"/>
  <c r="F570" i="3" s="1"/>
  <c r="G570" i="3" s="1"/>
  <c r="H570" i="3" s="1"/>
  <c r="B571" i="3" s="1"/>
  <c r="E571" i="3" l="1"/>
  <c r="F571" i="3" s="1"/>
  <c r="G571" i="3" s="1"/>
  <c r="H571" i="3" s="1"/>
  <c r="B572" i="3" s="1"/>
  <c r="C570" i="3"/>
  <c r="E572" i="3" l="1"/>
  <c r="F572" i="3" s="1"/>
  <c r="G572" i="3" s="1"/>
  <c r="H572" i="3" s="1"/>
  <c r="B573" i="3" s="1"/>
  <c r="C571" i="3"/>
  <c r="C572" i="3" l="1"/>
  <c r="E573" i="3"/>
  <c r="F573" i="3" l="1"/>
  <c r="G573" i="3" s="1"/>
  <c r="H573" i="3" s="1"/>
  <c r="B574" i="3" s="1"/>
  <c r="E574" i="3" s="1"/>
  <c r="F574" i="3" l="1"/>
  <c r="G574" i="3" s="1"/>
  <c r="H574" i="3" s="1"/>
  <c r="B575" i="3" s="1"/>
  <c r="C574" i="3"/>
  <c r="C573" i="3"/>
  <c r="E575" i="3" l="1"/>
  <c r="F575" i="3"/>
  <c r="G575" i="3" s="1"/>
  <c r="H575" i="3" s="1"/>
  <c r="B576" i="3" s="1"/>
  <c r="C575" i="3" l="1"/>
  <c r="E576" i="3"/>
  <c r="F576" i="3" l="1"/>
  <c r="G576" i="3" s="1"/>
  <c r="H576" i="3" s="1"/>
  <c r="B577" i="3" s="1"/>
  <c r="C576" i="3" l="1"/>
  <c r="E577" i="3"/>
  <c r="F577" i="3" l="1"/>
  <c r="G577" i="3" s="1"/>
  <c r="H577" i="3" s="1"/>
  <c r="B578" i="3" s="1"/>
  <c r="C577" i="3" l="1"/>
  <c r="E578" i="3"/>
  <c r="F578" i="3"/>
  <c r="G578" i="3" s="1"/>
  <c r="H578" i="3" s="1"/>
  <c r="B579" i="3" s="1"/>
  <c r="C578" i="3" l="1"/>
  <c r="E579" i="3"/>
  <c r="F579" i="3"/>
  <c r="G579" i="3" s="1"/>
  <c r="H579" i="3" s="1"/>
  <c r="B580" i="3" s="1"/>
  <c r="C579" i="3" l="1"/>
  <c r="E580" i="3"/>
  <c r="F580" i="3" s="1"/>
  <c r="G580" i="3" l="1"/>
  <c r="H580" i="3" s="1"/>
  <c r="B581" i="3" s="1"/>
  <c r="C580" i="3"/>
  <c r="E581" i="3" l="1"/>
  <c r="F581" i="3"/>
  <c r="G581" i="3" s="1"/>
  <c r="H581" i="3" s="1"/>
  <c r="B582" i="3" s="1"/>
  <c r="C581" i="3" l="1"/>
  <c r="E582" i="3"/>
  <c r="F582" i="3" l="1"/>
  <c r="G582" i="3" s="1"/>
  <c r="H582" i="3" s="1"/>
  <c r="B583" i="3" s="1"/>
  <c r="C582" i="3" l="1"/>
  <c r="E583" i="3"/>
  <c r="C583" i="3" s="1"/>
  <c r="F583" i="3"/>
  <c r="G583" i="3" s="1"/>
  <c r="H583" i="3" s="1"/>
  <c r="B584" i="3" l="1"/>
  <c r="E584" i="3" l="1"/>
  <c r="F584" i="3"/>
  <c r="G584" i="3" s="1"/>
  <c r="H584" i="3" s="1"/>
  <c r="C584" i="3" l="1"/>
  <c r="B585" i="3"/>
  <c r="E585" i="3" s="1"/>
  <c r="F585" i="3" l="1"/>
  <c r="G585" i="3" s="1"/>
  <c r="H585" i="3" s="1"/>
  <c r="C585" i="3" l="1"/>
  <c r="B586" i="3"/>
  <c r="E586" i="3" l="1"/>
  <c r="F586" i="3" s="1"/>
  <c r="G586" i="3" s="1"/>
  <c r="H586" i="3" s="1"/>
  <c r="B587" i="3" s="1"/>
  <c r="C586" i="3" l="1"/>
  <c r="E587" i="3"/>
  <c r="F587" i="3" s="1"/>
  <c r="G587" i="3" s="1"/>
  <c r="H587" i="3" s="1"/>
  <c r="B588" i="3" s="1"/>
  <c r="C587" i="3" l="1"/>
  <c r="E588" i="3"/>
  <c r="F588" i="3" s="1"/>
  <c r="G588" i="3" s="1"/>
  <c r="H588" i="3" s="1"/>
  <c r="C588" i="3" l="1"/>
  <c r="B589" i="3"/>
  <c r="E589" i="3" l="1"/>
  <c r="F589" i="3" s="1"/>
  <c r="G589" i="3" s="1"/>
  <c r="H589" i="3" s="1"/>
  <c r="B590" i="3" s="1"/>
  <c r="C589" i="3" l="1"/>
  <c r="F590" i="3"/>
  <c r="G590" i="3" s="1"/>
  <c r="H590" i="3" s="1"/>
  <c r="B591" i="3" s="1"/>
  <c r="E590" i="3"/>
  <c r="C590" i="3" l="1"/>
  <c r="E591" i="3"/>
  <c r="C591" i="3" s="1"/>
  <c r="F591" i="3"/>
  <c r="G591" i="3" s="1"/>
  <c r="H591" i="3" s="1"/>
  <c r="B592" i="3" s="1"/>
  <c r="E592" i="3" l="1"/>
  <c r="F592" i="3" s="1"/>
  <c r="G592" i="3" s="1"/>
  <c r="H592" i="3" s="1"/>
  <c r="B593" i="3" s="1"/>
  <c r="C592" i="3" l="1"/>
  <c r="E593" i="3"/>
  <c r="F593" i="3" l="1"/>
  <c r="G593" i="3" s="1"/>
  <c r="H593" i="3" s="1"/>
  <c r="B594" i="3" s="1"/>
  <c r="E594" i="3" s="1"/>
  <c r="F594" i="3" l="1"/>
  <c r="G594" i="3" s="1"/>
  <c r="H594" i="3" s="1"/>
  <c r="B595" i="3" s="1"/>
  <c r="C593" i="3"/>
  <c r="C594" i="3" l="1"/>
  <c r="E595" i="3"/>
  <c r="C595" i="3" s="1"/>
  <c r="F595" i="3"/>
  <c r="G595" i="3" s="1"/>
  <c r="H595" i="3" s="1"/>
  <c r="B596" i="3" l="1"/>
  <c r="E596" i="3" l="1"/>
  <c r="F596" i="3" l="1"/>
  <c r="G596" i="3" s="1"/>
  <c r="H596" i="3" s="1"/>
  <c r="B597" i="3" s="1"/>
  <c r="C596" i="3" l="1"/>
  <c r="E597" i="3"/>
  <c r="C597" i="3" s="1"/>
  <c r="F597" i="3"/>
  <c r="G597" i="3" s="1"/>
  <c r="H597" i="3" s="1"/>
  <c r="B598" i="3" l="1"/>
  <c r="E598" i="3" l="1"/>
  <c r="F598" i="3" l="1"/>
  <c r="G598" i="3" s="1"/>
  <c r="H598" i="3" s="1"/>
  <c r="B599" i="3" s="1"/>
  <c r="E599" i="3" s="1"/>
  <c r="F599" i="3" l="1"/>
  <c r="G599" i="3" s="1"/>
  <c r="H599" i="3" s="1"/>
  <c r="B600" i="3" s="1"/>
  <c r="E600" i="3" s="1"/>
  <c r="C600" i="3" s="1"/>
  <c r="C599" i="3"/>
  <c r="C598" i="3"/>
  <c r="F600" i="3" l="1"/>
  <c r="G600" i="3" s="1"/>
  <c r="H600" i="3" s="1"/>
  <c r="B601" i="3" s="1"/>
  <c r="E601" i="3" l="1"/>
  <c r="C601" i="3" s="1"/>
  <c r="F601" i="3"/>
  <c r="G601" i="3" s="1"/>
  <c r="H601" i="3" s="1"/>
  <c r="B602" i="3" l="1"/>
  <c r="E602" i="3" l="1"/>
  <c r="F602" i="3"/>
  <c r="G602" i="3" s="1"/>
  <c r="H602" i="3" s="1"/>
  <c r="C602" i="3" l="1"/>
  <c r="B603" i="3"/>
  <c r="E603" i="3" l="1"/>
  <c r="F603" i="3" s="1"/>
  <c r="G603" i="3" s="1"/>
  <c r="H603" i="3" s="1"/>
  <c r="B604" i="3" s="1"/>
  <c r="C603" i="3" l="1"/>
  <c r="F604" i="3"/>
  <c r="G604" i="3" s="1"/>
  <c r="H604" i="3" s="1"/>
  <c r="B605" i="3" s="1"/>
  <c r="E604" i="3"/>
  <c r="C604" i="3" s="1"/>
  <c r="E605" i="3" l="1"/>
  <c r="F605" i="3" s="1"/>
  <c r="G605" i="3" s="1"/>
  <c r="H605" i="3" s="1"/>
  <c r="B606" i="3" s="1"/>
  <c r="C605" i="3" l="1"/>
  <c r="E606" i="3"/>
  <c r="F606" i="3" s="1"/>
  <c r="G606" i="3" s="1"/>
  <c r="H606" i="3" s="1"/>
  <c r="B607" i="3" s="1"/>
  <c r="C606" i="3" l="1"/>
  <c r="E607" i="3"/>
  <c r="C607" i="3" s="1"/>
  <c r="F607" i="3"/>
  <c r="G607" i="3" s="1"/>
  <c r="H607" i="3" s="1"/>
  <c r="B608" i="3" s="1"/>
  <c r="E608" i="3" l="1"/>
  <c r="F608" i="3"/>
  <c r="G608" i="3" s="1"/>
  <c r="C608" i="3"/>
  <c r="H608" i="3"/>
  <c r="B609" i="3" l="1"/>
  <c r="E609" i="3" s="1"/>
  <c r="F609" i="3" s="1"/>
  <c r="G609" i="3" s="1"/>
  <c r="H609" i="3" s="1"/>
  <c r="B610" i="3" s="1"/>
  <c r="C609" i="3" l="1"/>
  <c r="E610" i="3"/>
  <c r="C610" i="3" s="1"/>
  <c r="F610" i="3"/>
  <c r="G610" i="3" s="1"/>
  <c r="H610" i="3" s="1"/>
  <c r="B611" i="3" l="1"/>
  <c r="E611" i="3" l="1"/>
  <c r="F611" i="3" s="1"/>
  <c r="G611" i="3" s="1"/>
  <c r="H611" i="3" s="1"/>
  <c r="C611" i="3" l="1"/>
  <c r="B612" i="3"/>
  <c r="E612" i="3" l="1"/>
  <c r="C612" i="3" s="1"/>
  <c r="F612" i="3"/>
  <c r="G612" i="3" s="1"/>
  <c r="H612" i="3" s="1"/>
  <c r="B613" i="3" l="1"/>
  <c r="E613" i="3" l="1"/>
  <c r="C613" i="3" s="1"/>
  <c r="F613" i="3"/>
  <c r="G613" i="3" s="1"/>
  <c r="H613" i="3" s="1"/>
  <c r="B614" i="3" s="1"/>
  <c r="E614" i="3" l="1"/>
  <c r="F614" i="3" s="1"/>
  <c r="G614" i="3" s="1"/>
  <c r="H614" i="3" s="1"/>
  <c r="C614" i="3" l="1"/>
  <c r="B615" i="3"/>
  <c r="E615" i="3" l="1"/>
  <c r="C615" i="3" s="1"/>
  <c r="F615" i="3"/>
  <c r="G615" i="3" s="1"/>
  <c r="H615" i="3" s="1"/>
  <c r="B616" i="3" l="1"/>
  <c r="E616" i="3" l="1"/>
  <c r="C616" i="3" s="1"/>
  <c r="F616" i="3"/>
  <c r="G616" i="3" s="1"/>
  <c r="H616" i="3" s="1"/>
  <c r="B617" i="3" s="1"/>
  <c r="E617" i="3" l="1"/>
  <c r="F617" i="3" s="1"/>
  <c r="G617" i="3" l="1"/>
  <c r="H617" i="3" s="1"/>
  <c r="B618" i="3" s="1"/>
  <c r="C617" i="3"/>
  <c r="E618" i="3" l="1"/>
  <c r="F618" i="3" s="1"/>
  <c r="G618" i="3" s="1"/>
  <c r="H618" i="3" s="1"/>
  <c r="B619" i="3" s="1"/>
  <c r="C618" i="3" l="1"/>
  <c r="E619" i="3"/>
  <c r="F619" i="3"/>
  <c r="G619" i="3" s="1"/>
  <c r="H619" i="3"/>
  <c r="B620" i="3" l="1"/>
  <c r="E620" i="3" s="1"/>
  <c r="F620" i="3" s="1"/>
  <c r="G620" i="3" s="1"/>
  <c r="H620" i="3" s="1"/>
  <c r="C619" i="3"/>
  <c r="C620" i="3" l="1"/>
  <c r="B621" i="3"/>
  <c r="E621" i="3" l="1"/>
  <c r="C621" i="3" s="1"/>
  <c r="F621" i="3"/>
  <c r="G621" i="3" s="1"/>
  <c r="H621" i="3" s="1"/>
  <c r="B622" i="3" s="1"/>
  <c r="E622" i="3" l="1"/>
  <c r="F622" i="3"/>
  <c r="G622" i="3" s="1"/>
  <c r="C622" i="3"/>
  <c r="H622" i="3"/>
  <c r="B623" i="3" s="1"/>
  <c r="E623" i="3" l="1"/>
  <c r="F623" i="3"/>
  <c r="G623" i="3" s="1"/>
  <c r="H623" i="3" s="1"/>
  <c r="C623" i="3"/>
  <c r="B624" i="3" l="1"/>
  <c r="F624" i="3" l="1"/>
  <c r="G624" i="3" s="1"/>
  <c r="H624" i="3" s="1"/>
  <c r="B625" i="3" s="1"/>
  <c r="E624" i="3"/>
  <c r="C624" i="3" s="1"/>
  <c r="E625" i="3" l="1"/>
  <c r="F625" i="3"/>
  <c r="G625" i="3" s="1"/>
  <c r="C625" i="3"/>
  <c r="H625" i="3"/>
  <c r="B626" i="3" s="1"/>
  <c r="E626" i="3" l="1"/>
  <c r="F626" i="3" l="1"/>
  <c r="G626" i="3" s="1"/>
  <c r="H626" i="3" s="1"/>
  <c r="B627" i="3" s="1"/>
  <c r="C626" i="3" l="1"/>
  <c r="E627" i="3"/>
  <c r="F627" i="3"/>
  <c r="G627" i="3" s="1"/>
  <c r="H627" i="3"/>
  <c r="B628" i="3" l="1"/>
  <c r="E628" i="3" s="1"/>
  <c r="F628" i="3" s="1"/>
  <c r="G628" i="3" s="1"/>
  <c r="H628" i="3" s="1"/>
  <c r="C627" i="3"/>
  <c r="C628" i="3" l="1"/>
  <c r="B629" i="3"/>
  <c r="E629" i="3" l="1"/>
  <c r="F629" i="3" s="1"/>
  <c r="G629" i="3" s="1"/>
  <c r="H629" i="3" s="1"/>
  <c r="C629" i="3" l="1"/>
  <c r="B630" i="3"/>
  <c r="E630" i="3" l="1"/>
  <c r="C630" i="3" s="1"/>
  <c r="F630" i="3"/>
  <c r="G630" i="3" s="1"/>
  <c r="H630" i="3"/>
  <c r="B631" i="3" s="1"/>
  <c r="E631" i="3" l="1"/>
  <c r="F631" i="3"/>
  <c r="G631" i="3" s="1"/>
  <c r="H631" i="3"/>
  <c r="B632" i="3" s="1"/>
  <c r="C631" i="3"/>
  <c r="E632" i="3" l="1"/>
  <c r="F632" i="3" l="1"/>
  <c r="G632" i="3" s="1"/>
  <c r="H632" i="3" s="1"/>
  <c r="B633" i="3" s="1"/>
  <c r="E633" i="3" s="1"/>
  <c r="H633" i="3" l="1"/>
  <c r="F633" i="3"/>
  <c r="G633" i="3" s="1"/>
  <c r="C633" i="3"/>
  <c r="C632" i="3"/>
  <c r="B634" i="3" l="1"/>
  <c r="E634" i="3" s="1"/>
  <c r="F634" i="3" s="1"/>
  <c r="G634" i="3" s="1"/>
  <c r="H634" i="3" s="1"/>
  <c r="B635" i="3" s="1"/>
  <c r="E635" i="3" s="1"/>
  <c r="F635" i="3" l="1"/>
  <c r="G635" i="3" s="1"/>
  <c r="H635" i="3" s="1"/>
  <c r="B636" i="3" s="1"/>
  <c r="C634" i="3"/>
  <c r="C635" i="3"/>
  <c r="E636" i="3" l="1"/>
  <c r="F636" i="3" l="1"/>
  <c r="G636" i="3" s="1"/>
  <c r="H636" i="3" s="1"/>
  <c r="B637" i="3" s="1"/>
  <c r="E637" i="3" s="1"/>
  <c r="F637" i="3" l="1"/>
  <c r="G637" i="3" s="1"/>
  <c r="H637" i="3" s="1"/>
  <c r="B638" i="3" s="1"/>
  <c r="C636" i="3"/>
  <c r="E638" i="3" l="1"/>
  <c r="F638" i="3" s="1"/>
  <c r="C637" i="3"/>
  <c r="G638" i="3" l="1"/>
  <c r="H638" i="3" s="1"/>
  <c r="B639" i="3" s="1"/>
  <c r="E639" i="3" s="1"/>
  <c r="C638" i="3"/>
  <c r="H639" i="3"/>
  <c r="F639" i="3" l="1"/>
  <c r="G639" i="3" s="1"/>
  <c r="C639" i="3"/>
  <c r="B640" i="3" l="1"/>
  <c r="E640" i="3" s="1"/>
  <c r="F640" i="3" s="1"/>
  <c r="G640" i="3" s="1"/>
  <c r="H640" i="3" s="1"/>
  <c r="B641" i="3" s="1"/>
  <c r="E641" i="3" s="1"/>
  <c r="C641" i="3" s="1"/>
  <c r="F641" i="3" l="1"/>
  <c r="G641" i="3" s="1"/>
  <c r="H641" i="3" s="1"/>
  <c r="C640" i="3"/>
  <c r="B642" i="3"/>
  <c r="E642" i="3" l="1"/>
  <c r="C642" i="3" s="1"/>
  <c r="F642" i="3"/>
  <c r="G642" i="3" s="1"/>
  <c r="H642" i="3" s="1"/>
  <c r="B643" i="3" l="1"/>
  <c r="E643" i="3" l="1"/>
  <c r="F643" i="3" l="1"/>
  <c r="G643" i="3" s="1"/>
  <c r="H643" i="3" s="1"/>
  <c r="B644" i="3" s="1"/>
  <c r="E644" i="3" s="1"/>
  <c r="F644" i="3" l="1"/>
  <c r="G644" i="3" s="1"/>
  <c r="H644" i="3"/>
  <c r="B645" i="3" s="1"/>
  <c r="E645" i="3" s="1"/>
  <c r="C645" i="3" s="1"/>
  <c r="C643" i="3"/>
  <c r="H645" i="3" l="1"/>
  <c r="F645" i="3"/>
  <c r="G645" i="3" s="1"/>
  <c r="C644" i="3"/>
  <c r="B646" i="3" l="1"/>
  <c r="C646" i="3" s="1"/>
  <c r="E646" i="3" l="1"/>
  <c r="F646" i="3"/>
  <c r="G646" i="3" s="1"/>
  <c r="H646" i="3" s="1"/>
  <c r="B647" i="3" s="1"/>
  <c r="E647" i="3" s="1"/>
  <c r="F647" i="3" s="1"/>
  <c r="G647" i="3" s="1"/>
  <c r="H647" i="3" s="1"/>
  <c r="C647" i="3" l="1"/>
  <c r="B648" i="3"/>
  <c r="E648" i="3" l="1"/>
  <c r="C648" i="3" s="1"/>
  <c r="F648" i="3"/>
  <c r="G648" i="3" s="1"/>
  <c r="H648" i="3"/>
  <c r="B649" i="3" s="1"/>
  <c r="E649" i="3" l="1"/>
  <c r="C649" i="3" s="1"/>
  <c r="F649" i="3"/>
  <c r="G649" i="3" s="1"/>
  <c r="H649" i="3"/>
  <c r="B650" i="3" s="1"/>
  <c r="E650" i="3" l="1"/>
  <c r="F650" i="3" s="1"/>
  <c r="G650" i="3" s="1"/>
  <c r="H650" i="3" s="1"/>
  <c r="B651" i="3" s="1"/>
  <c r="C650" i="3" l="1"/>
  <c r="E651" i="3"/>
  <c r="F651" i="3" s="1"/>
  <c r="G651" i="3" l="1"/>
  <c r="H651" i="3" s="1"/>
  <c r="B652" i="3" s="1"/>
  <c r="E652" i="3" s="1"/>
  <c r="F652" i="3" s="1"/>
  <c r="G652" i="3" s="1"/>
  <c r="H652" i="3" s="1"/>
  <c r="C651" i="3"/>
  <c r="C652" i="3" l="1"/>
  <c r="B653" i="3"/>
  <c r="E653" i="3" s="1"/>
  <c r="F653" i="3" l="1"/>
  <c r="G653" i="3" l="1"/>
  <c r="H653" i="3" s="1"/>
  <c r="B654" i="3" s="1"/>
  <c r="H654" i="3" s="1"/>
  <c r="C653" i="3"/>
  <c r="F654" i="3" l="1"/>
  <c r="G654" i="3" s="1"/>
  <c r="E654" i="3"/>
  <c r="C654" i="3" s="1"/>
  <c r="B655" i="3"/>
  <c r="H655" i="3" s="1"/>
  <c r="E655" i="3" l="1"/>
  <c r="F655" i="3"/>
  <c r="G655" i="3" s="1"/>
  <c r="C655" i="3"/>
  <c r="B656" i="3" l="1"/>
  <c r="E656" i="3" s="1"/>
  <c r="F656" i="3" l="1"/>
  <c r="G656" i="3" s="1"/>
  <c r="H656" i="3" s="1"/>
  <c r="B657" i="3" s="1"/>
  <c r="E657" i="3" s="1"/>
  <c r="C657" i="3" s="1"/>
  <c r="C656" i="3"/>
  <c r="F657" i="3" l="1"/>
  <c r="G657" i="3" s="1"/>
  <c r="H657" i="3" s="1"/>
  <c r="B658" i="3" s="1"/>
  <c r="E658" i="3"/>
  <c r="C658" i="3" s="1"/>
  <c r="F658" i="3"/>
  <c r="G658" i="3" s="1"/>
  <c r="H658" i="3" s="1"/>
  <c r="B659" i="3" l="1"/>
  <c r="E659" i="3" l="1"/>
  <c r="C659" i="3" s="1"/>
  <c r="F659" i="3"/>
  <c r="G659" i="3" s="1"/>
  <c r="H659" i="3" s="1"/>
  <c r="B660" i="3" l="1"/>
  <c r="E660" i="3" l="1"/>
  <c r="F660" i="3"/>
  <c r="G660" i="3" s="1"/>
  <c r="H660" i="3" s="1"/>
  <c r="B661" i="3" s="1"/>
  <c r="C660" i="3" l="1"/>
  <c r="E661" i="3"/>
  <c r="F661" i="3" s="1"/>
  <c r="G661" i="3" l="1"/>
  <c r="H661" i="3" s="1"/>
  <c r="B662" i="3" s="1"/>
  <c r="C661" i="3"/>
  <c r="E662" i="3" l="1"/>
  <c r="F662" i="3" s="1"/>
  <c r="G662" i="3" l="1"/>
  <c r="H662" i="3" s="1"/>
  <c r="B663" i="3" s="1"/>
  <c r="C662" i="3"/>
  <c r="E663" i="3"/>
  <c r="F663" i="3" l="1"/>
  <c r="G663" i="3" l="1"/>
  <c r="H663" i="3" s="1"/>
  <c r="B664" i="3" s="1"/>
  <c r="C663" i="3"/>
  <c r="E664" i="3" l="1"/>
  <c r="F664" i="3" s="1"/>
  <c r="G664" i="3" s="1"/>
  <c r="H664" i="3" s="1"/>
  <c r="B665" i="3" s="1"/>
  <c r="E665" i="3" l="1"/>
  <c r="C665" i="3" s="1"/>
  <c r="F665" i="3"/>
  <c r="G665" i="3" s="1"/>
  <c r="H665" i="3" s="1"/>
  <c r="B666" i="3" s="1"/>
  <c r="C664" i="3"/>
  <c r="E666" i="3" l="1"/>
  <c r="F666" i="3"/>
  <c r="G666" i="3" s="1"/>
  <c r="C666" i="3"/>
  <c r="H666" i="3"/>
  <c r="B667" i="3" s="1"/>
  <c r="E667" i="3" s="1"/>
  <c r="F667" i="3" l="1"/>
  <c r="G667" i="3" s="1"/>
  <c r="H667" i="3" s="1"/>
  <c r="B668" i="3" s="1"/>
  <c r="E668" i="3" s="1"/>
  <c r="C668" i="3" s="1"/>
  <c r="C667" i="3"/>
  <c r="F668" i="3" l="1"/>
  <c r="G668" i="3" s="1"/>
  <c r="H668" i="3" s="1"/>
  <c r="B669" i="3" s="1"/>
  <c r="E669" i="3" l="1"/>
  <c r="F669" i="3" s="1"/>
  <c r="G669" i="3" s="1"/>
  <c r="H669" i="3" s="1"/>
  <c r="B670" i="3" s="1"/>
  <c r="C669" i="3" l="1"/>
  <c r="E670" i="3"/>
  <c r="C670" i="3" s="1"/>
  <c r="F670" i="3"/>
  <c r="G670" i="3" s="1"/>
  <c r="H670" i="3" s="1"/>
  <c r="B671" i="3" s="1"/>
  <c r="E671" i="3" l="1"/>
  <c r="C671" i="3" s="1"/>
  <c r="F671" i="3"/>
  <c r="G671" i="3" s="1"/>
  <c r="H671" i="3" s="1"/>
  <c r="B672" i="3" l="1"/>
  <c r="E672" i="3" l="1"/>
  <c r="F672" i="3" s="1"/>
  <c r="G672" i="3" s="1"/>
  <c r="H672" i="3" s="1"/>
  <c r="B673" i="3" s="1"/>
  <c r="C672" i="3" l="1"/>
  <c r="E673" i="3"/>
  <c r="F673" i="3" l="1"/>
  <c r="G673" i="3" s="1"/>
  <c r="H673" i="3" s="1"/>
  <c r="B674" i="3" s="1"/>
  <c r="C673" i="3" l="1"/>
  <c r="E674" i="3"/>
  <c r="F674" i="3" s="1"/>
  <c r="G674" i="3" s="1"/>
  <c r="H674" i="3" s="1"/>
  <c r="B675" i="3" s="1"/>
  <c r="C674" i="3" l="1"/>
  <c r="E675" i="3"/>
  <c r="F675" i="3" s="1"/>
  <c r="G675" i="3" l="1"/>
  <c r="H675" i="3" s="1"/>
  <c r="B676" i="3" s="1"/>
  <c r="C675" i="3"/>
  <c r="E676" i="3" l="1"/>
  <c r="F676" i="3"/>
  <c r="G676" i="3" s="1"/>
  <c r="C676" i="3"/>
  <c r="H676" i="3"/>
  <c r="B677" i="3" l="1"/>
  <c r="E677" i="3" s="1"/>
  <c r="F677" i="3" s="1"/>
  <c r="G677" i="3" l="1"/>
  <c r="H677" i="3" s="1"/>
  <c r="B678" i="3" s="1"/>
  <c r="E678" i="3" s="1"/>
  <c r="C677" i="3"/>
  <c r="C678" i="3" l="1"/>
  <c r="H678" i="3"/>
  <c r="F678" i="3"/>
  <c r="G678" i="3" s="1"/>
  <c r="B679" i="3"/>
  <c r="E679" i="3" s="1"/>
  <c r="F679" i="3" s="1"/>
  <c r="G679" i="3" s="1"/>
  <c r="H679" i="3" s="1"/>
  <c r="B680" i="3" s="1"/>
  <c r="C679" i="3" l="1"/>
  <c r="E680" i="3"/>
  <c r="C680" i="3" s="1"/>
  <c r="F680" i="3"/>
  <c r="G680" i="3" s="1"/>
  <c r="H680" i="3"/>
  <c r="B681" i="3" l="1"/>
  <c r="E681" i="3" s="1"/>
  <c r="F681" i="3" s="1"/>
  <c r="G681" i="3" l="1"/>
  <c r="H681" i="3" s="1"/>
  <c r="B682" i="3" s="1"/>
  <c r="C681" i="3"/>
  <c r="E682" i="3" l="1"/>
  <c r="C682" i="3" s="1"/>
  <c r="F682" i="3"/>
  <c r="G682" i="3" s="1"/>
  <c r="H682" i="3" s="1"/>
  <c r="B683" i="3" s="1"/>
  <c r="E683" i="3" l="1"/>
  <c r="C683" i="3" s="1"/>
  <c r="F683" i="3"/>
  <c r="G683" i="3" s="1"/>
  <c r="H683" i="3" s="1"/>
  <c r="B684" i="3" l="1"/>
  <c r="E684" i="3" l="1"/>
  <c r="F684" i="3" l="1"/>
  <c r="G684" i="3" s="1"/>
  <c r="H684" i="3" s="1"/>
  <c r="B685" i="3" s="1"/>
  <c r="H685" i="3" l="1"/>
  <c r="E685" i="3"/>
  <c r="C685" i="3" s="1"/>
  <c r="F685" i="3"/>
  <c r="G685" i="3" s="1"/>
  <c r="C684" i="3"/>
  <c r="B686" i="3" l="1"/>
  <c r="E686" i="3" s="1"/>
  <c r="F686" i="3" l="1"/>
  <c r="G686" i="3" s="1"/>
  <c r="H686" i="3" s="1"/>
  <c r="B687" i="3" s="1"/>
  <c r="E687" i="3" s="1"/>
  <c r="H687" i="3"/>
  <c r="C686" i="3"/>
  <c r="F687" i="3" l="1"/>
  <c r="G687" i="3" s="1"/>
  <c r="B688" i="3"/>
  <c r="C687" i="3"/>
  <c r="E688" i="3"/>
  <c r="F688" i="3" l="1"/>
  <c r="G688" i="3" s="1"/>
  <c r="H688" i="3" s="1"/>
  <c r="B689" i="3" s="1"/>
  <c r="E689" i="3" s="1"/>
  <c r="F689" i="3" l="1"/>
  <c r="G689" i="3" s="1"/>
  <c r="H689" i="3" s="1"/>
  <c r="B690" i="3" s="1"/>
  <c r="C689" i="3"/>
  <c r="C688" i="3"/>
  <c r="E690" i="3" l="1"/>
  <c r="F690" i="3" s="1"/>
  <c r="G690" i="3" s="1"/>
  <c r="H690" i="3" s="1"/>
  <c r="C690" i="3" l="1"/>
  <c r="B691" i="3"/>
  <c r="E691" i="3" l="1"/>
  <c r="F691" i="3"/>
  <c r="G691" i="3" s="1"/>
  <c r="H691" i="3" s="1"/>
  <c r="B692" i="3" s="1"/>
  <c r="C691" i="3" l="1"/>
  <c r="E692" i="3"/>
  <c r="F692" i="3"/>
  <c r="G692" i="3" s="1"/>
  <c r="H692" i="3"/>
  <c r="B693" i="3" s="1"/>
  <c r="C692" i="3"/>
  <c r="E693" i="3" l="1"/>
  <c r="F693" i="3" s="1"/>
  <c r="G693" i="3" s="1"/>
  <c r="H693" i="3" s="1"/>
  <c r="B694" i="3" s="1"/>
  <c r="C693" i="3" l="1"/>
  <c r="E694" i="3"/>
  <c r="C694" i="3" s="1"/>
  <c r="F694" i="3"/>
  <c r="G694" i="3" s="1"/>
  <c r="H694" i="3"/>
  <c r="B695" i="3" s="1"/>
  <c r="E695" i="3" l="1"/>
  <c r="F695" i="3"/>
  <c r="G695" i="3" s="1"/>
  <c r="H695" i="3"/>
  <c r="B696" i="3" s="1"/>
  <c r="C695" i="3"/>
  <c r="E696" i="3" l="1"/>
  <c r="F696" i="3"/>
  <c r="G696" i="3" s="1"/>
  <c r="H696" i="3" s="1"/>
  <c r="C696" i="3" l="1"/>
  <c r="B697" i="3"/>
  <c r="E697" i="3" l="1"/>
  <c r="F697" i="3" l="1"/>
  <c r="G697" i="3" s="1"/>
  <c r="H697" i="3" s="1"/>
  <c r="B698" i="3" s="1"/>
  <c r="C697" i="3" l="1"/>
  <c r="E698" i="3"/>
  <c r="F698" i="3" s="1"/>
  <c r="G698" i="3" s="1"/>
  <c r="H698" i="3" s="1"/>
  <c r="B699" i="3" s="1"/>
  <c r="E699" i="3" l="1"/>
  <c r="C699" i="3" s="1"/>
  <c r="F699" i="3"/>
  <c r="G699" i="3" s="1"/>
  <c r="H699" i="3" s="1"/>
  <c r="B700" i="3" s="1"/>
  <c r="C698" i="3"/>
  <c r="E700" i="3" l="1"/>
  <c r="F700" i="3"/>
  <c r="G700" i="3" s="1"/>
  <c r="H700" i="3"/>
  <c r="B701" i="3" s="1"/>
  <c r="C700" i="3" l="1"/>
  <c r="E701" i="3"/>
  <c r="F701" i="3" s="1"/>
  <c r="G701" i="3" s="1"/>
  <c r="H701" i="3" s="1"/>
  <c r="B702" i="3" s="1"/>
  <c r="C701" i="3" l="1"/>
  <c r="E702" i="3"/>
  <c r="F702" i="3" s="1"/>
  <c r="G702" i="3" l="1"/>
  <c r="H702" i="3" s="1"/>
  <c r="B703" i="3" s="1"/>
  <c r="E703" i="3" s="1"/>
  <c r="C702" i="3"/>
  <c r="F703" i="3" l="1"/>
  <c r="G703" i="3" s="1"/>
  <c r="H703" i="3" s="1"/>
  <c r="B704" i="3" s="1"/>
  <c r="E704" i="3" l="1"/>
  <c r="F704" i="3" s="1"/>
  <c r="C703" i="3"/>
  <c r="G704" i="3" l="1"/>
  <c r="H704" i="3" s="1"/>
  <c r="B705" i="3" s="1"/>
  <c r="C704" i="3"/>
  <c r="E705" i="3" l="1"/>
  <c r="F705" i="3" s="1"/>
  <c r="G705" i="3" l="1"/>
  <c r="H705" i="3" s="1"/>
  <c r="B706" i="3" s="1"/>
  <c r="E706" i="3" s="1"/>
  <c r="C706" i="3" s="1"/>
  <c r="C705" i="3"/>
  <c r="H706" i="3" l="1"/>
  <c r="F706" i="3"/>
  <c r="G706" i="3" s="1"/>
  <c r="B707" i="3" l="1"/>
  <c r="E707" i="3" s="1"/>
  <c r="F707" i="3" s="1"/>
  <c r="G707" i="3" s="1"/>
  <c r="H707" i="3" s="1"/>
  <c r="B708" i="3" s="1"/>
  <c r="E708" i="3" s="1"/>
  <c r="C707" i="3"/>
  <c r="F708" i="3" l="1"/>
  <c r="G708" i="3" s="1"/>
  <c r="H708" i="3" s="1"/>
  <c r="B709" i="3" s="1"/>
  <c r="C708" i="3"/>
  <c r="E709" i="3" l="1"/>
  <c r="C709" i="3" s="1"/>
  <c r="F709" i="3"/>
  <c r="G709" i="3" s="1"/>
  <c r="H709" i="3"/>
  <c r="B710" i="3" s="1"/>
  <c r="E710" i="3" l="1"/>
  <c r="C710" i="3" s="1"/>
  <c r="F710" i="3"/>
  <c r="G710" i="3" s="1"/>
  <c r="H710" i="3" s="1"/>
  <c r="B711" i="3" l="1"/>
  <c r="E711" i="3" l="1"/>
  <c r="F711" i="3"/>
  <c r="G711" i="3" s="1"/>
  <c r="H711" i="3" s="1"/>
  <c r="B712" i="3" s="1"/>
  <c r="C711" i="3" l="1"/>
  <c r="E712" i="3"/>
  <c r="C712" i="3" s="1"/>
  <c r="F712" i="3"/>
  <c r="G712" i="3" s="1"/>
  <c r="H712" i="3"/>
  <c r="B713" i="3" s="1"/>
  <c r="E713" i="3" l="1"/>
  <c r="F713" i="3" s="1"/>
  <c r="G713" i="3" s="1"/>
  <c r="H713" i="3" s="1"/>
  <c r="C713" i="3" l="1"/>
  <c r="B714" i="3"/>
  <c r="F714" i="3" s="1"/>
  <c r="G714" i="3" s="1"/>
  <c r="H714" i="3" s="1"/>
  <c r="E714" i="3" l="1"/>
  <c r="C714" i="3" s="1"/>
  <c r="B715" i="3"/>
  <c r="E715" i="3" l="1"/>
  <c r="F715" i="3"/>
  <c r="G715" i="3" s="1"/>
  <c r="H715" i="3" s="1"/>
  <c r="B716" i="3" s="1"/>
  <c r="C715" i="3" l="1"/>
  <c r="E716" i="3"/>
  <c r="F716" i="3" s="1"/>
  <c r="G716" i="3" s="1"/>
  <c r="H716" i="3" s="1"/>
  <c r="C716" i="3" l="1"/>
  <c r="B717" i="3"/>
  <c r="E717" i="3" l="1"/>
  <c r="C717" i="3" s="1"/>
  <c r="F717" i="3"/>
  <c r="G717" i="3" s="1"/>
  <c r="H717" i="3"/>
  <c r="B718" i="3" l="1"/>
  <c r="E718" i="3" s="1"/>
  <c r="F718" i="3" l="1"/>
  <c r="G718" i="3" s="1"/>
  <c r="H718" i="3" s="1"/>
  <c r="B719" i="3" s="1"/>
  <c r="E719" i="3" s="1"/>
  <c r="C718" i="3"/>
  <c r="F719" i="3" l="1"/>
  <c r="G719" i="3" s="1"/>
  <c r="H719" i="3" s="1"/>
  <c r="B720" i="3" s="1"/>
  <c r="C719" i="3" l="1"/>
  <c r="E720" i="3"/>
  <c r="F720" i="3"/>
  <c r="G720" i="3" s="1"/>
  <c r="C720" i="3"/>
  <c r="H720" i="3"/>
  <c r="B721" i="3" l="1"/>
  <c r="E721" i="3" s="1"/>
  <c r="F721" i="3" l="1"/>
  <c r="G721" i="3" s="1"/>
  <c r="H721" i="3" s="1"/>
  <c r="B722" i="3" s="1"/>
  <c r="C721" i="3" l="1"/>
  <c r="E722" i="3"/>
  <c r="C722" i="3" s="1"/>
  <c r="F722" i="3"/>
  <c r="G722" i="3" s="1"/>
  <c r="H722" i="3" s="1"/>
  <c r="B723" i="3" l="1"/>
  <c r="E723" i="3" l="1"/>
  <c r="F723" i="3"/>
  <c r="G723" i="3" s="1"/>
  <c r="H723" i="3" s="1"/>
  <c r="C723" i="3" l="1"/>
  <c r="B724" i="3"/>
  <c r="E724" i="3" l="1"/>
  <c r="F724" i="3"/>
  <c r="G724" i="3" s="1"/>
  <c r="H724" i="3"/>
  <c r="B725" i="3" s="1"/>
  <c r="C724" i="3"/>
  <c r="E725" i="3" l="1"/>
  <c r="C725" i="3" s="1"/>
  <c r="F725" i="3"/>
  <c r="G725" i="3" s="1"/>
  <c r="H725" i="3" s="1"/>
  <c r="B726" i="3" l="1"/>
  <c r="E726" i="3" l="1"/>
  <c r="F726" i="3"/>
  <c r="G726" i="3" s="1"/>
  <c r="C726" i="3"/>
  <c r="H726" i="3"/>
  <c r="B727" i="3" s="1"/>
  <c r="E727" i="3" s="1"/>
  <c r="F727" i="3" l="1"/>
  <c r="G727" i="3" s="1"/>
  <c r="H727" i="3" s="1"/>
  <c r="B728" i="3" s="1"/>
  <c r="E728" i="3" s="1"/>
  <c r="F728" i="3" s="1"/>
  <c r="G728" i="3" l="1"/>
  <c r="C728" i="3"/>
  <c r="H728" i="3"/>
  <c r="B729" i="3" s="1"/>
  <c r="E729" i="3" s="1"/>
  <c r="C729" i="3" s="1"/>
  <c r="C727" i="3"/>
  <c r="F729" i="3" l="1"/>
  <c r="G729" i="3" s="1"/>
  <c r="H729" i="3" s="1"/>
  <c r="B730" i="3" s="1"/>
  <c r="E730" i="3" l="1"/>
  <c r="F730" i="3"/>
  <c r="G730" i="3" s="1"/>
  <c r="H730" i="3" s="1"/>
  <c r="C730" i="3" l="1"/>
  <c r="B731" i="3"/>
  <c r="F731" i="3" l="1"/>
  <c r="G731" i="3" s="1"/>
  <c r="H731" i="3" s="1"/>
  <c r="E731" i="3"/>
  <c r="C731" i="3" l="1"/>
  <c r="B732" i="3"/>
  <c r="E732" i="3" l="1"/>
  <c r="F732" i="3" s="1"/>
  <c r="G732" i="3" s="1"/>
  <c r="H732" i="3" s="1"/>
  <c r="B733" i="3" s="1"/>
  <c r="C732" i="3" l="1"/>
  <c r="E733" i="3"/>
  <c r="F733" i="3" l="1"/>
  <c r="G733" i="3" s="1"/>
  <c r="H733" i="3" s="1"/>
  <c r="B734" i="3" s="1"/>
  <c r="E734" i="3" s="1"/>
  <c r="C734" i="3" s="1"/>
  <c r="F734" i="3" l="1"/>
  <c r="G734" i="3" s="1"/>
  <c r="H734" i="3" s="1"/>
  <c r="B735" i="3" s="1"/>
  <c r="E735" i="3" s="1"/>
  <c r="C733" i="3"/>
  <c r="F735" i="3" l="1"/>
  <c r="G735" i="3" s="1"/>
  <c r="H735" i="3" s="1"/>
  <c r="B736" i="3" s="1"/>
  <c r="C735" i="3"/>
  <c r="E736" i="3" l="1"/>
  <c r="F736" i="3" l="1"/>
  <c r="G736" i="3" s="1"/>
  <c r="H736" i="3" s="1"/>
  <c r="B737" i="3" s="1"/>
  <c r="E737" i="3" s="1"/>
  <c r="F737" i="3" l="1"/>
  <c r="G737" i="3" s="1"/>
  <c r="H737" i="3"/>
  <c r="C736" i="3"/>
  <c r="B738" i="3" l="1"/>
  <c r="E738" i="3" s="1"/>
  <c r="F738" i="3" s="1"/>
  <c r="C737" i="3"/>
  <c r="G738" i="3" l="1"/>
  <c r="H738" i="3" s="1"/>
  <c r="B739" i="3" s="1"/>
  <c r="C738" i="3"/>
  <c r="E739" i="3" l="1"/>
  <c r="C739" i="3" s="1"/>
  <c r="F739" i="3"/>
  <c r="G739" i="3" s="1"/>
  <c r="H739" i="3" s="1"/>
  <c r="B740" i="3" s="1"/>
  <c r="E740" i="3" l="1"/>
  <c r="F740" i="3"/>
  <c r="G740" i="3" s="1"/>
  <c r="H740" i="3"/>
  <c r="B741" i="3" s="1"/>
  <c r="E741" i="3" s="1"/>
  <c r="F741" i="3" s="1"/>
  <c r="G741" i="3" s="1"/>
  <c r="H741" i="3" s="1"/>
  <c r="C740" i="3"/>
  <c r="C741" i="3" l="1"/>
  <c r="B742" i="3"/>
  <c r="E742" i="3" s="1"/>
  <c r="F742" i="3" l="1"/>
  <c r="G742" i="3" l="1"/>
  <c r="H742" i="3" s="1"/>
  <c r="B743" i="3" s="1"/>
  <c r="E743" i="3" s="1"/>
  <c r="F743" i="3" s="1"/>
  <c r="G743" i="3" s="1"/>
  <c r="H743" i="3" s="1"/>
  <c r="B744" i="3" s="1"/>
  <c r="C742" i="3"/>
  <c r="C743" i="3" l="1"/>
  <c r="E744" i="3"/>
  <c r="C744" i="3" s="1"/>
  <c r="F744" i="3"/>
  <c r="G744" i="3" s="1"/>
  <c r="H744" i="3"/>
  <c r="B745" i="3" l="1"/>
  <c r="E745" i="3" s="1"/>
  <c r="F745" i="3" l="1"/>
  <c r="G745" i="3" s="1"/>
  <c r="H745" i="3" s="1"/>
  <c r="B746" i="3" s="1"/>
  <c r="E746" i="3" l="1"/>
  <c r="C745" i="3"/>
  <c r="F746" i="3" l="1"/>
  <c r="G746" i="3" s="1"/>
  <c r="H746" i="3" s="1"/>
  <c r="B747" i="3" s="1"/>
  <c r="E747" i="3" s="1"/>
  <c r="F747" i="3" s="1"/>
  <c r="G747" i="3" l="1"/>
  <c r="H747" i="3" s="1"/>
  <c r="B748" i="3" s="1"/>
  <c r="C747" i="3"/>
  <c r="C746" i="3"/>
  <c r="E748" i="3" l="1"/>
  <c r="C748" i="3" s="1"/>
  <c r="F748" i="3"/>
  <c r="G748" i="3" s="1"/>
  <c r="H748" i="3" s="1"/>
  <c r="B749" i="3" l="1"/>
  <c r="E749" i="3" s="1"/>
  <c r="F749" i="3" l="1"/>
  <c r="G749" i="3" s="1"/>
  <c r="H749" i="3" s="1"/>
  <c r="C749" i="3"/>
  <c r="B750" i="3" l="1"/>
  <c r="E750" i="3" l="1"/>
  <c r="C750" i="3" s="1"/>
  <c r="F750" i="3"/>
  <c r="G750" i="3" s="1"/>
  <c r="H750" i="3"/>
  <c r="B751" i="3" s="1"/>
  <c r="F751" i="3" l="1"/>
  <c r="G751" i="3" s="1"/>
  <c r="H751" i="3" s="1"/>
  <c r="E751" i="3"/>
  <c r="C751" i="3" s="1"/>
  <c r="B752" i="3" l="1"/>
  <c r="E752" i="3" l="1"/>
  <c r="F752" i="3"/>
  <c r="G752" i="3" s="1"/>
  <c r="H752" i="3" s="1"/>
  <c r="C752" i="3" l="1"/>
  <c r="B753" i="3"/>
  <c r="E753" i="3" l="1"/>
  <c r="F753" i="3" s="1"/>
  <c r="G753" i="3" s="1"/>
  <c r="H753" i="3" s="1"/>
  <c r="C753" i="3" l="1"/>
  <c r="B754" i="3"/>
  <c r="E754" i="3" l="1"/>
  <c r="F754" i="3" s="1"/>
  <c r="G754" i="3" l="1"/>
  <c r="H754" i="3" s="1"/>
  <c r="B755" i="3" s="1"/>
  <c r="C754" i="3"/>
  <c r="E755" i="3" l="1"/>
  <c r="F755" i="3" l="1"/>
  <c r="G755" i="3" s="1"/>
  <c r="H755" i="3" s="1"/>
  <c r="B756" i="3" s="1"/>
  <c r="E756" i="3" s="1"/>
  <c r="F756" i="3" l="1"/>
  <c r="G756" i="3" s="1"/>
  <c r="H756" i="3" s="1"/>
  <c r="B757" i="3" s="1"/>
  <c r="C756" i="3"/>
  <c r="C755" i="3"/>
  <c r="E757" i="3" l="1"/>
  <c r="C757" i="3" s="1"/>
  <c r="F757" i="3"/>
  <c r="G757" i="3" s="1"/>
  <c r="H757" i="3" s="1"/>
  <c r="B758" i="3" s="1"/>
  <c r="E758" i="3" l="1"/>
  <c r="F758" i="3" s="1"/>
  <c r="G758" i="3" s="1"/>
  <c r="H758" i="3" s="1"/>
  <c r="C758" i="3" l="1"/>
  <c r="B759" i="3"/>
  <c r="E759" i="3" l="1"/>
  <c r="F759" i="3" s="1"/>
  <c r="G759" i="3" l="1"/>
  <c r="H759" i="3" s="1"/>
  <c r="B760" i="3" s="1"/>
  <c r="E760" i="3" s="1"/>
  <c r="C759" i="3"/>
  <c r="F760" i="3" l="1"/>
  <c r="G760" i="3" s="1"/>
  <c r="C760" i="3"/>
  <c r="H760" i="3"/>
  <c r="B761" i="3" l="1"/>
  <c r="E761" i="3" s="1"/>
  <c r="F761" i="3" l="1"/>
  <c r="G761" i="3" s="1"/>
  <c r="H761" i="3" s="1"/>
  <c r="B762" i="3" s="1"/>
  <c r="C761" i="3" l="1"/>
  <c r="E762" i="3"/>
  <c r="F762" i="3" s="1"/>
  <c r="G762" i="3" s="1"/>
  <c r="H762" i="3" s="1"/>
  <c r="C762" i="3" l="1"/>
  <c r="B763" i="3"/>
  <c r="E763" i="3" l="1"/>
  <c r="C763" i="3" s="1"/>
  <c r="F763" i="3"/>
  <c r="G763" i="3" s="1"/>
  <c r="H763" i="3" s="1"/>
  <c r="B764" i="3" s="1"/>
  <c r="E764" i="3" l="1"/>
  <c r="F764" i="3" l="1"/>
  <c r="G764" i="3" s="1"/>
  <c r="H764" i="3" s="1"/>
  <c r="B765" i="3" s="1"/>
  <c r="E765" i="3" l="1"/>
  <c r="C765" i="3" s="1"/>
  <c r="F765" i="3"/>
  <c r="G765" i="3" s="1"/>
  <c r="H765" i="3" s="1"/>
  <c r="B766" i="3" s="1"/>
  <c r="C764" i="3"/>
  <c r="E766" i="3" l="1"/>
  <c r="F766" i="3" l="1"/>
  <c r="G766" i="3" s="1"/>
  <c r="H766" i="3" s="1"/>
  <c r="B767" i="3" s="1"/>
  <c r="C766" i="3" l="1"/>
  <c r="E767" i="3"/>
  <c r="C767" i="3" s="1"/>
  <c r="F767" i="3"/>
  <c r="G767" i="3" s="1"/>
  <c r="H767" i="3" s="1"/>
  <c r="B768" i="3" s="1"/>
  <c r="E768" i="3" l="1"/>
  <c r="C768" i="3" s="1"/>
  <c r="F768" i="3"/>
  <c r="G768" i="3" s="1"/>
  <c r="H768" i="3" s="1"/>
  <c r="B769" i="3" l="1"/>
  <c r="E769" i="3" l="1"/>
  <c r="F769" i="3"/>
  <c r="G769" i="3" s="1"/>
  <c r="H769" i="3" s="1"/>
  <c r="B770" i="3" s="1"/>
  <c r="C769" i="3" l="1"/>
  <c r="E770" i="3"/>
  <c r="C770" i="3" s="1"/>
  <c r="F770" i="3"/>
  <c r="G770" i="3" s="1"/>
  <c r="H770" i="3" s="1"/>
  <c r="B771" i="3" s="1"/>
  <c r="E771" i="3" l="1"/>
  <c r="F771" i="3"/>
  <c r="G771" i="3" s="1"/>
  <c r="H771" i="3" s="1"/>
  <c r="B772" i="3" s="1"/>
  <c r="C771" i="3" l="1"/>
  <c r="E772" i="3"/>
  <c r="F772" i="3"/>
  <c r="G772" i="3" s="1"/>
  <c r="H772" i="3" s="1"/>
  <c r="C772" i="3" l="1"/>
  <c r="B773" i="3"/>
  <c r="E773" i="3" l="1"/>
  <c r="F773" i="3"/>
  <c r="G773" i="3" s="1"/>
  <c r="H773" i="3"/>
  <c r="B774" i="3" s="1"/>
  <c r="C773" i="3" l="1"/>
  <c r="E774" i="3"/>
  <c r="F774" i="3" s="1"/>
  <c r="G774" i="3" l="1"/>
  <c r="H774" i="3" s="1"/>
  <c r="B775" i="3" s="1"/>
  <c r="E775" i="3" s="1"/>
  <c r="C775" i="3" s="1"/>
  <c r="C774" i="3"/>
  <c r="F775" i="3" l="1"/>
  <c r="G775" i="3" s="1"/>
  <c r="H775" i="3" s="1"/>
  <c r="B776" i="3" s="1"/>
  <c r="E776" i="3" l="1"/>
  <c r="F776" i="3" s="1"/>
  <c r="G776" i="3" s="1"/>
  <c r="H776" i="3" s="1"/>
  <c r="B777" i="3" s="1"/>
  <c r="E777" i="3" l="1"/>
  <c r="F777" i="3" s="1"/>
  <c r="G777" i="3" s="1"/>
  <c r="H777" i="3" s="1"/>
  <c r="B778" i="3" s="1"/>
  <c r="C776" i="3"/>
  <c r="E778" i="3" l="1"/>
  <c r="C778" i="3" s="1"/>
  <c r="F778" i="3"/>
  <c r="G778" i="3" s="1"/>
  <c r="H778" i="3" s="1"/>
  <c r="B779" i="3" s="1"/>
  <c r="C777" i="3"/>
  <c r="E779" i="3" l="1"/>
  <c r="F779" i="3" s="1"/>
  <c r="G779" i="3" s="1"/>
  <c r="H779" i="3" s="1"/>
  <c r="B780" i="3" s="1"/>
  <c r="C779" i="3" l="1"/>
  <c r="E780" i="3"/>
  <c r="F780" i="3" s="1"/>
  <c r="G780" i="3" l="1"/>
  <c r="H780" i="3" s="1"/>
  <c r="B781" i="3" s="1"/>
  <c r="C780" i="3"/>
  <c r="E781" i="3" l="1"/>
  <c r="F781" i="3"/>
  <c r="G781" i="3" s="1"/>
  <c r="H781" i="3" s="1"/>
  <c r="B782" i="3" s="1"/>
  <c r="C781" i="3" l="1"/>
  <c r="E782" i="3"/>
  <c r="C782" i="3" s="1"/>
  <c r="F782" i="3"/>
  <c r="G782" i="3" s="1"/>
  <c r="H782" i="3" s="1"/>
  <c r="B783" i="3" l="1"/>
  <c r="E783" i="3" l="1"/>
  <c r="F783" i="3" s="1"/>
  <c r="G783" i="3" l="1"/>
  <c r="H783" i="3" s="1"/>
  <c r="B784" i="3" s="1"/>
  <c r="C783" i="3"/>
  <c r="E784" i="3" l="1"/>
  <c r="F784" i="3" s="1"/>
  <c r="G784" i="3" l="1"/>
  <c r="H784" i="3" s="1"/>
  <c r="B785" i="3" s="1"/>
  <c r="E785" i="3" s="1"/>
  <c r="C784" i="3"/>
  <c r="F785" i="3" l="1"/>
  <c r="G785" i="3" s="1"/>
  <c r="H785" i="3" s="1"/>
  <c r="B786" i="3" s="1"/>
  <c r="C785" i="3"/>
  <c r="E786" i="3" l="1"/>
  <c r="F786" i="3"/>
  <c r="G786" i="3" s="1"/>
  <c r="H786" i="3" s="1"/>
  <c r="C786" i="3"/>
  <c r="B787" i="3" l="1"/>
  <c r="E787" i="3" l="1"/>
  <c r="C787" i="3" s="1"/>
  <c r="F787" i="3"/>
  <c r="G787" i="3" s="1"/>
  <c r="H787" i="3" s="1"/>
  <c r="B788" i="3" l="1"/>
  <c r="E788" i="3" l="1"/>
  <c r="F788" i="3" s="1"/>
  <c r="G788" i="3" l="1"/>
  <c r="H788" i="3" s="1"/>
  <c r="B789" i="3" s="1"/>
  <c r="E789" i="3" s="1"/>
  <c r="C789" i="3" s="1"/>
  <c r="C788" i="3"/>
  <c r="F789" i="3" l="1"/>
  <c r="G789" i="3" s="1"/>
  <c r="H789" i="3" s="1"/>
  <c r="B790" i="3" s="1"/>
  <c r="E790" i="3" l="1"/>
  <c r="F790" i="3" l="1"/>
  <c r="G790" i="3" s="1"/>
  <c r="H790" i="3" s="1"/>
  <c r="B791" i="3" s="1"/>
  <c r="E791" i="3" s="1"/>
  <c r="F791" i="3" s="1"/>
  <c r="G791" i="3" s="1"/>
  <c r="H791" i="3" s="1"/>
  <c r="C791" i="3" l="1"/>
  <c r="C790" i="3"/>
  <c r="B792" i="3"/>
  <c r="E792" i="3" l="1"/>
  <c r="F792" i="3" s="1"/>
  <c r="G792" i="3" s="1"/>
  <c r="H792" i="3" s="1"/>
  <c r="B793" i="3" s="1"/>
  <c r="C792" i="3" l="1"/>
  <c r="E793" i="3"/>
  <c r="F793" i="3"/>
  <c r="G793" i="3" s="1"/>
  <c r="H793" i="3"/>
  <c r="B794" i="3" s="1"/>
  <c r="C793" i="3" l="1"/>
  <c r="E794" i="3"/>
  <c r="F794" i="3" l="1"/>
  <c r="G794" i="3" s="1"/>
  <c r="H794" i="3" s="1"/>
  <c r="B795" i="3"/>
  <c r="C794" i="3" l="1"/>
  <c r="E795" i="3"/>
  <c r="F795" i="3" l="1"/>
  <c r="G795" i="3" s="1"/>
  <c r="H795" i="3" s="1"/>
  <c r="B796" i="3" s="1"/>
  <c r="C795" i="3" l="1"/>
  <c r="E796" i="3"/>
  <c r="F796" i="3"/>
  <c r="G796" i="3" s="1"/>
  <c r="C796" i="3"/>
  <c r="H796" i="3"/>
  <c r="B797" i="3" l="1"/>
  <c r="E797" i="3" s="1"/>
  <c r="F797" i="3" l="1"/>
  <c r="G797" i="3" s="1"/>
  <c r="H797" i="3" s="1"/>
  <c r="C797" i="3"/>
  <c r="B798" i="3"/>
  <c r="E798" i="3" l="1"/>
  <c r="F798" i="3" s="1"/>
  <c r="G798" i="3" s="1"/>
  <c r="H798" i="3" s="1"/>
  <c r="C798" i="3" l="1"/>
  <c r="B799" i="3"/>
  <c r="E799" i="3" s="1"/>
  <c r="C799" i="3" s="1"/>
  <c r="F799" i="3" l="1"/>
  <c r="G799" i="3" s="1"/>
  <c r="H799" i="3" s="1"/>
  <c r="B800" i="3" s="1"/>
  <c r="E800" i="3" l="1"/>
  <c r="F800" i="3" s="1"/>
  <c r="G800" i="3" s="1"/>
  <c r="H800" i="3" s="1"/>
  <c r="B801" i="3" s="1"/>
  <c r="C800" i="3" l="1"/>
  <c r="E801" i="3"/>
  <c r="F801" i="3"/>
  <c r="G801" i="3" s="1"/>
  <c r="H801" i="3" s="1"/>
  <c r="C801" i="3" l="1"/>
  <c r="B802" i="3"/>
  <c r="E802" i="3" l="1"/>
  <c r="F802" i="3"/>
  <c r="G802" i="3" s="1"/>
  <c r="H802" i="3"/>
  <c r="C802" i="3"/>
  <c r="B803" i="3" l="1"/>
  <c r="E803" i="3" s="1"/>
  <c r="C803" i="3" l="1"/>
  <c r="F803" i="3"/>
  <c r="G803" i="3" s="1"/>
  <c r="H803" i="3" s="1"/>
  <c r="B804" i="3" s="1"/>
  <c r="E804" i="3" l="1"/>
  <c r="F804" i="3" s="1"/>
  <c r="G804" i="3" s="1"/>
  <c r="H804" i="3" s="1"/>
  <c r="C804" i="3" l="1"/>
  <c r="B805" i="3"/>
  <c r="E805" i="3" l="1"/>
  <c r="F805" i="3"/>
  <c r="G805" i="3" s="1"/>
  <c r="H805" i="3"/>
  <c r="B806" i="3" s="1"/>
  <c r="C805" i="3"/>
  <c r="E806" i="3" l="1"/>
  <c r="C806" i="3" s="1"/>
  <c r="F806" i="3"/>
  <c r="G806" i="3" s="1"/>
  <c r="H806" i="3" s="1"/>
  <c r="B807" i="3" s="1"/>
  <c r="E807" i="3" l="1"/>
  <c r="F807" i="3" l="1"/>
  <c r="G807" i="3" s="1"/>
  <c r="H807" i="3" s="1"/>
  <c r="B808" i="3" s="1"/>
  <c r="C807" i="3" l="1"/>
  <c r="E808" i="3"/>
  <c r="F808" i="3"/>
  <c r="G808" i="3" s="1"/>
  <c r="H808" i="3"/>
  <c r="C808" i="3" l="1"/>
  <c r="B809" i="3"/>
  <c r="E809" i="3" s="1"/>
  <c r="F809" i="3" l="1"/>
  <c r="G809" i="3" s="1"/>
  <c r="C809" i="3"/>
  <c r="H809" i="3"/>
  <c r="B810" i="3" l="1"/>
  <c r="E810" i="3"/>
  <c r="F810" i="3" s="1"/>
  <c r="G810" i="3" s="1"/>
  <c r="H810" i="3" s="1"/>
  <c r="B811" i="3" s="1"/>
  <c r="C810" i="3" l="1"/>
  <c r="E811" i="3"/>
  <c r="F811" i="3" s="1"/>
  <c r="G811" i="3" l="1"/>
  <c r="H811" i="3" s="1"/>
  <c r="B812" i="3" s="1"/>
  <c r="F812" i="3" s="1"/>
  <c r="G812" i="3" s="1"/>
  <c r="C811" i="3"/>
  <c r="H812" i="3" l="1"/>
  <c r="B813" i="3" s="1"/>
  <c r="E813" i="3" s="1"/>
  <c r="E812" i="3"/>
  <c r="C812" i="3" s="1"/>
  <c r="F813" i="3" l="1"/>
  <c r="G813" i="3" s="1"/>
  <c r="H813" i="3" s="1"/>
  <c r="B814" i="3" s="1"/>
  <c r="C813" i="3"/>
  <c r="E814" i="3" l="1"/>
  <c r="F814" i="3" s="1"/>
  <c r="G814" i="3" l="1"/>
  <c r="H814" i="3" s="1"/>
  <c r="B815" i="3" s="1"/>
  <c r="E815" i="3" s="1"/>
  <c r="C815" i="3" s="1"/>
  <c r="C814" i="3"/>
  <c r="F815" i="3" l="1"/>
  <c r="G815" i="3" s="1"/>
  <c r="H815" i="3" s="1"/>
  <c r="B816" i="3" s="1"/>
  <c r="E816" i="3" l="1"/>
  <c r="F816" i="3"/>
  <c r="G816" i="3" s="1"/>
  <c r="H816" i="3" s="1"/>
  <c r="B817" i="3" s="1"/>
  <c r="C816" i="3" l="1"/>
  <c r="E817" i="3"/>
  <c r="F817" i="3"/>
  <c r="G817" i="3" s="1"/>
  <c r="H817" i="3" s="1"/>
  <c r="C817" i="3" l="1"/>
  <c r="B818" i="3"/>
  <c r="E818" i="3" l="1"/>
  <c r="F818" i="3"/>
  <c r="G818" i="3" s="1"/>
  <c r="H818" i="3"/>
  <c r="C818" i="3"/>
  <c r="B819" i="3" l="1"/>
  <c r="E819" i="3" s="1"/>
  <c r="F819" i="3" l="1"/>
  <c r="G819" i="3" s="1"/>
  <c r="H819" i="3" s="1"/>
  <c r="B820" i="3" s="1"/>
  <c r="E820" i="3" s="1"/>
  <c r="F820" i="3" s="1"/>
  <c r="C819" i="3"/>
  <c r="G820" i="3" l="1"/>
  <c r="H820" i="3" s="1"/>
  <c r="B821" i="3" s="1"/>
  <c r="E821" i="3" s="1"/>
  <c r="C820" i="3"/>
  <c r="C821" i="3" l="1"/>
  <c r="F821" i="3"/>
  <c r="G821" i="3" s="1"/>
  <c r="H821" i="3" s="1"/>
  <c r="B822" i="3" s="1"/>
  <c r="E822" i="3" l="1"/>
  <c r="C822" i="3" s="1"/>
  <c r="F822" i="3"/>
  <c r="G822" i="3" s="1"/>
  <c r="H822" i="3"/>
  <c r="B823" i="3" l="1"/>
  <c r="E823" i="3" s="1"/>
  <c r="F823" i="3" s="1"/>
  <c r="G823" i="3" l="1"/>
  <c r="H823" i="3" s="1"/>
  <c r="B824" i="3" s="1"/>
  <c r="C823" i="3"/>
  <c r="E824" i="3" l="1"/>
  <c r="F824" i="3" s="1"/>
  <c r="G824" i="3" s="1"/>
  <c r="H824" i="3" s="1"/>
  <c r="B825" i="3" s="1"/>
  <c r="C824" i="3" l="1"/>
  <c r="E825" i="3"/>
  <c r="F825" i="3"/>
  <c r="G825" i="3" s="1"/>
  <c r="H825" i="3"/>
  <c r="B826" i="3" s="1"/>
  <c r="C825" i="3" l="1"/>
  <c r="E826" i="3"/>
  <c r="F826" i="3" l="1"/>
  <c r="G826" i="3" s="1"/>
  <c r="H826" i="3" s="1"/>
  <c r="B827" i="3" s="1"/>
  <c r="E827" i="3" s="1"/>
  <c r="F827" i="3" s="1"/>
  <c r="G827" i="3" s="1"/>
  <c r="H827" i="3" s="1"/>
  <c r="C827" i="3" l="1"/>
  <c r="C826" i="3"/>
  <c r="B828" i="3"/>
  <c r="E828" i="3" l="1"/>
  <c r="F828" i="3" s="1"/>
  <c r="G828" i="3" s="1"/>
  <c r="H828" i="3" s="1"/>
  <c r="B829" i="3" s="1"/>
  <c r="C828" i="3" l="1"/>
  <c r="E829" i="3"/>
  <c r="F829" i="3"/>
  <c r="G829" i="3" s="1"/>
  <c r="H829" i="3" s="1"/>
  <c r="C829" i="3"/>
  <c r="B830" i="3" l="1"/>
  <c r="E830" i="3" l="1"/>
  <c r="C830" i="3" s="1"/>
  <c r="F830" i="3"/>
  <c r="G830" i="3" s="1"/>
  <c r="H830" i="3" s="1"/>
  <c r="B831" i="3" s="1"/>
  <c r="E831" i="3" l="1"/>
  <c r="F831" i="3" s="1"/>
  <c r="G831" i="3" s="1"/>
  <c r="H831" i="3" s="1"/>
  <c r="C831" i="3" l="1"/>
  <c r="B832" i="3"/>
  <c r="E832" i="3" l="1"/>
  <c r="F832" i="3" s="1"/>
  <c r="G832" i="3" s="1"/>
  <c r="H832" i="3" s="1"/>
  <c r="B833" i="3" s="1"/>
  <c r="E833" i="3" l="1"/>
  <c r="F833" i="3"/>
  <c r="G833" i="3" s="1"/>
  <c r="H833" i="3" s="1"/>
  <c r="B834" i="3" s="1"/>
  <c r="C832" i="3"/>
  <c r="C833" i="3" l="1"/>
  <c r="E834" i="3"/>
  <c r="F834" i="3"/>
  <c r="G834" i="3" s="1"/>
  <c r="H834" i="3"/>
  <c r="C834" i="3"/>
  <c r="B835" i="3" l="1"/>
  <c r="E835" i="3" s="1"/>
  <c r="F835" i="3" l="1"/>
  <c r="G835" i="3" s="1"/>
  <c r="H835" i="3" s="1"/>
  <c r="B836" i="3" s="1"/>
  <c r="C835" i="3" l="1"/>
  <c r="E836" i="3"/>
  <c r="F836" i="3" s="1"/>
  <c r="G836" i="3" s="1"/>
  <c r="H836" i="3" s="1"/>
  <c r="B837" i="3" s="1"/>
  <c r="C836" i="3" l="1"/>
  <c r="E837" i="3"/>
  <c r="F837" i="3"/>
  <c r="G837" i="3" s="1"/>
  <c r="H837" i="3" s="1"/>
  <c r="B838" i="3" s="1"/>
  <c r="C837" i="3" l="1"/>
  <c r="E838" i="3"/>
  <c r="F838" i="3" s="1"/>
  <c r="G838" i="3" l="1"/>
  <c r="H838" i="3" s="1"/>
  <c r="B839" i="3" s="1"/>
  <c r="C838" i="3"/>
  <c r="E839" i="3" l="1"/>
  <c r="F839" i="3" s="1"/>
  <c r="G839" i="3" s="1"/>
  <c r="H839" i="3" s="1"/>
  <c r="C839" i="3" l="1"/>
  <c r="B840" i="3"/>
  <c r="E840" i="3" s="1"/>
  <c r="F840" i="3" s="1"/>
  <c r="G840" i="3" s="1"/>
  <c r="H840" i="3" l="1"/>
  <c r="B841" i="3" s="1"/>
  <c r="C840" i="3"/>
  <c r="E841" i="3" l="1"/>
  <c r="F841" i="3" s="1"/>
  <c r="G841" i="3" l="1"/>
  <c r="H841" i="3" s="1"/>
  <c r="B842" i="3" s="1"/>
  <c r="E842" i="3" s="1"/>
  <c r="C842" i="3" s="1"/>
  <c r="C841" i="3"/>
  <c r="H842" i="3" l="1"/>
  <c r="F842" i="3"/>
  <c r="G842" i="3" s="1"/>
  <c r="B843" i="3" l="1"/>
  <c r="E843" i="3" s="1"/>
  <c r="F843" i="3" s="1"/>
  <c r="G843" i="3" s="1"/>
  <c r="H843" i="3" s="1"/>
  <c r="B844" i="3" s="1"/>
  <c r="C843" i="3" l="1"/>
  <c r="E844" i="3"/>
  <c r="C844" i="3" s="1"/>
  <c r="F844" i="3"/>
  <c r="G844" i="3" s="1"/>
  <c r="H844" i="3" s="1"/>
  <c r="B845" i="3" l="1"/>
  <c r="E845" i="3" s="1"/>
  <c r="H845" i="3" l="1"/>
  <c r="F845" i="3"/>
  <c r="G845" i="3" s="1"/>
  <c r="C845" i="3"/>
  <c r="B846" i="3" l="1"/>
  <c r="C846" i="3" s="1"/>
  <c r="E846" i="3" l="1"/>
  <c r="F846" i="3"/>
  <c r="G846" i="3" s="1"/>
  <c r="H846" i="3" s="1"/>
  <c r="B847" i="3" s="1"/>
  <c r="E847" i="3" s="1"/>
  <c r="F847" i="3" s="1"/>
  <c r="G847" i="3" s="1"/>
  <c r="H847" i="3" s="1"/>
  <c r="B848" i="3" s="1"/>
  <c r="C847" i="3" l="1"/>
  <c r="E848" i="3"/>
  <c r="C848" i="3" s="1"/>
  <c r="F848" i="3"/>
  <c r="G848" i="3" s="1"/>
  <c r="H848" i="3"/>
  <c r="B849" i="3" s="1"/>
  <c r="E849" i="3" l="1"/>
  <c r="F849" i="3" l="1"/>
  <c r="G849" i="3" s="1"/>
  <c r="H849" i="3" s="1"/>
  <c r="B850" i="3" s="1"/>
  <c r="C849" i="3" l="1"/>
  <c r="E850" i="3"/>
  <c r="F850" i="3" s="1"/>
  <c r="G850" i="3" s="1"/>
  <c r="H850" i="3" s="1"/>
  <c r="B851" i="3" s="1"/>
  <c r="C850" i="3" l="1"/>
  <c r="E851" i="3"/>
  <c r="C851" i="3" s="1"/>
  <c r="F851" i="3"/>
  <c r="G851" i="3" s="1"/>
  <c r="H851" i="3"/>
  <c r="B852" i="3" l="1"/>
  <c r="E852" i="3" s="1"/>
  <c r="F852" i="3" l="1"/>
  <c r="G852" i="3" s="1"/>
  <c r="H852" i="3" s="1"/>
  <c r="B853" i="3" s="1"/>
  <c r="C852" i="3" l="1"/>
  <c r="E853" i="3"/>
  <c r="F853" i="3"/>
  <c r="G853" i="3" s="1"/>
  <c r="H853" i="3" s="1"/>
  <c r="C853" i="3" l="1"/>
  <c r="B854" i="3"/>
  <c r="E854" i="3" l="1"/>
  <c r="C854" i="3" s="1"/>
  <c r="F854" i="3"/>
  <c r="G854" i="3" s="1"/>
  <c r="H854" i="3" s="1"/>
  <c r="B855" i="3" l="1"/>
  <c r="E855" i="3" l="1"/>
  <c r="C855" i="3" s="1"/>
  <c r="F855" i="3"/>
  <c r="G855" i="3" s="1"/>
  <c r="H855" i="3" s="1"/>
  <c r="B856" i="3" s="1"/>
  <c r="E856" i="3" l="1"/>
  <c r="F856" i="3" l="1"/>
  <c r="G856" i="3" s="1"/>
  <c r="H856" i="3" s="1"/>
  <c r="B857" i="3" s="1"/>
  <c r="C856" i="3" l="1"/>
  <c r="E857" i="3"/>
  <c r="F857" i="3"/>
  <c r="G857" i="3" s="1"/>
  <c r="H857" i="3"/>
  <c r="B858" i="3" s="1"/>
  <c r="C857" i="3" l="1"/>
  <c r="F858" i="3"/>
  <c r="G858" i="3" s="1"/>
  <c r="H858" i="3" s="1"/>
  <c r="E858" i="3"/>
  <c r="C858" i="3" s="1"/>
  <c r="B859" i="3" l="1"/>
  <c r="E859" i="3" l="1"/>
  <c r="C859" i="3" s="1"/>
  <c r="F859" i="3"/>
  <c r="G859" i="3" s="1"/>
  <c r="H859" i="3" s="1"/>
  <c r="B860" i="3" l="1"/>
  <c r="E860" i="3" l="1"/>
  <c r="C860" i="3" s="1"/>
  <c r="F860" i="3"/>
  <c r="G860" i="3" s="1"/>
  <c r="H860" i="3" s="1"/>
  <c r="B861" i="3" l="1"/>
  <c r="E861" i="3" s="1"/>
  <c r="F861" i="3" l="1"/>
  <c r="G861" i="3" s="1"/>
  <c r="C861" i="3"/>
  <c r="H861" i="3"/>
  <c r="B862" i="3" s="1"/>
  <c r="F862" i="3" l="1"/>
  <c r="G862" i="3" s="1"/>
  <c r="H862" i="3" s="1"/>
  <c r="B863" i="3" s="1"/>
  <c r="E862" i="3"/>
  <c r="C862" i="3" s="1"/>
  <c r="E863" i="3" l="1"/>
  <c r="F863" i="3"/>
  <c r="G863" i="3" s="1"/>
  <c r="C863" i="3"/>
  <c r="H863" i="3"/>
  <c r="B864" i="3" s="1"/>
  <c r="E864" i="3" l="1"/>
  <c r="C864" i="3" s="1"/>
  <c r="F864" i="3"/>
  <c r="G864" i="3" s="1"/>
  <c r="H864" i="3" s="1"/>
  <c r="B865" i="3" l="1"/>
  <c r="E865" i="3" l="1"/>
  <c r="F865" i="3"/>
  <c r="G865" i="3" s="1"/>
  <c r="H865" i="3" s="1"/>
  <c r="C865" i="3" l="1"/>
  <c r="B866" i="3"/>
  <c r="E866" i="3" l="1"/>
  <c r="F866" i="3"/>
  <c r="G866" i="3" s="1"/>
  <c r="H866" i="3"/>
  <c r="C866" i="3"/>
  <c r="B867" i="3" l="1"/>
  <c r="E867" i="3" l="1"/>
  <c r="F867" i="3" l="1"/>
  <c r="G867" i="3" s="1"/>
  <c r="H867" i="3" s="1"/>
  <c r="B868" i="3" s="1"/>
  <c r="E868" i="3" l="1"/>
  <c r="C867" i="3"/>
  <c r="F868" i="3" l="1"/>
  <c r="G868" i="3" s="1"/>
  <c r="H868" i="3" s="1"/>
  <c r="B869" i="3" s="1"/>
  <c r="E869" i="3" s="1"/>
  <c r="C869" i="3" l="1"/>
  <c r="H869" i="3"/>
  <c r="F869" i="3"/>
  <c r="G869" i="3" s="1"/>
  <c r="C868" i="3"/>
  <c r="B870" i="3" l="1"/>
  <c r="E870" i="3" s="1"/>
  <c r="F870" i="3"/>
  <c r="G870" i="3" l="1"/>
  <c r="H870" i="3" s="1"/>
  <c r="B871" i="3" s="1"/>
  <c r="E871" i="3" s="1"/>
  <c r="C870" i="3"/>
  <c r="F871" i="3" l="1"/>
  <c r="G871" i="3" s="1"/>
  <c r="H871" i="3"/>
  <c r="B872" i="3" l="1"/>
  <c r="C871" i="3"/>
  <c r="E872" i="3"/>
  <c r="F872" i="3" s="1"/>
  <c r="G872" i="3" l="1"/>
  <c r="H872" i="3" s="1"/>
  <c r="B873" i="3" s="1"/>
  <c r="E873" i="3" s="1"/>
  <c r="C872" i="3"/>
  <c r="F873" i="3" l="1"/>
  <c r="G873" i="3" s="1"/>
  <c r="C873" i="3"/>
  <c r="H873" i="3"/>
  <c r="B874" i="3" s="1"/>
  <c r="E874" i="3" l="1"/>
  <c r="C874" i="3" s="1"/>
  <c r="F874" i="3"/>
  <c r="G874" i="3" s="1"/>
  <c r="H874" i="3" s="1"/>
  <c r="B875" i="3" l="1"/>
  <c r="E875" i="3" l="1"/>
  <c r="F875" i="3" s="1"/>
  <c r="G875" i="3" l="1"/>
  <c r="H875" i="3" s="1"/>
  <c r="B876" i="3" s="1"/>
  <c r="E876" i="3" s="1"/>
  <c r="C876" i="3" s="1"/>
  <c r="C875" i="3"/>
  <c r="F876" i="3" l="1"/>
  <c r="G876" i="3" s="1"/>
  <c r="H876" i="3" s="1"/>
  <c r="B877" i="3" s="1"/>
  <c r="E877" i="3" l="1"/>
  <c r="C877" i="3" s="1"/>
  <c r="F877" i="3"/>
  <c r="G877" i="3" s="1"/>
  <c r="H877" i="3" s="1"/>
  <c r="B878" i="3" s="1"/>
  <c r="E878" i="3" l="1"/>
  <c r="F878" i="3" s="1"/>
  <c r="G878" i="3" l="1"/>
  <c r="H878" i="3" s="1"/>
  <c r="B879" i="3" s="1"/>
  <c r="C878" i="3"/>
  <c r="E879" i="3" l="1"/>
  <c r="F879" i="3" s="1"/>
  <c r="G879" i="3" s="1"/>
  <c r="H879" i="3" s="1"/>
  <c r="B880" i="3" s="1"/>
  <c r="C879" i="3" l="1"/>
  <c r="E880" i="3"/>
  <c r="C880" i="3" s="1"/>
  <c r="F880" i="3"/>
  <c r="G880" i="3" s="1"/>
  <c r="H880" i="3"/>
  <c r="B881" i="3" l="1"/>
  <c r="E881" i="3" s="1"/>
  <c r="F881" i="3" s="1"/>
  <c r="G881" i="3" s="1"/>
  <c r="H881" i="3" s="1"/>
  <c r="C881" i="3" l="1"/>
  <c r="B882" i="3"/>
  <c r="E882" i="3" l="1"/>
  <c r="C882" i="3" s="1"/>
  <c r="F882" i="3"/>
  <c r="G882" i="3" s="1"/>
  <c r="H882" i="3"/>
  <c r="B883" i="3" l="1"/>
  <c r="E883" i="3" s="1"/>
  <c r="C883" i="3" s="1"/>
  <c r="H883" i="3" l="1"/>
  <c r="F883" i="3"/>
  <c r="G883" i="3" s="1"/>
  <c r="B884" i="3"/>
  <c r="E884" i="3" l="1"/>
  <c r="C884" i="3" s="1"/>
  <c r="F884" i="3"/>
  <c r="G884" i="3" s="1"/>
  <c r="H884" i="3"/>
  <c r="B885" i="3" l="1"/>
  <c r="E885" i="3"/>
  <c r="C885" i="3" s="1"/>
  <c r="F885" i="3"/>
  <c r="G885" i="3" s="1"/>
  <c r="H885" i="3" s="1"/>
  <c r="B886" i="3" s="1"/>
  <c r="E886" i="3" l="1"/>
  <c r="C886" i="3" s="1"/>
  <c r="F886" i="3"/>
  <c r="G886" i="3" s="1"/>
  <c r="H886" i="3"/>
  <c r="B887" i="3" s="1"/>
  <c r="E887" i="3" l="1"/>
  <c r="F887" i="3" s="1"/>
  <c r="G887" i="3" l="1"/>
  <c r="H887" i="3" s="1"/>
  <c r="B888" i="3" s="1"/>
  <c r="C887" i="3"/>
  <c r="E888" i="3" l="1"/>
  <c r="C888" i="3" s="1"/>
  <c r="F888" i="3"/>
  <c r="G888" i="3" s="1"/>
  <c r="H888" i="3"/>
  <c r="B889" i="3" s="1"/>
  <c r="E889" i="3" l="1"/>
  <c r="F889" i="3"/>
  <c r="G889" i="3" s="1"/>
  <c r="H889" i="3"/>
  <c r="B890" i="3" s="1"/>
  <c r="C889" i="3" l="1"/>
  <c r="E890" i="3"/>
  <c r="F890" i="3" s="1"/>
  <c r="G890" i="3" l="1"/>
  <c r="H890" i="3" s="1"/>
  <c r="B891" i="3" s="1"/>
  <c r="C890" i="3"/>
  <c r="E891" i="3" l="1"/>
  <c r="C891" i="3" s="1"/>
  <c r="F891" i="3"/>
  <c r="G891" i="3" s="1"/>
  <c r="H891" i="3" s="1"/>
  <c r="B892" i="3" l="1"/>
  <c r="E892" i="3" s="1"/>
  <c r="F892" i="3" l="1"/>
  <c r="G892" i="3" s="1"/>
  <c r="H892" i="3" s="1"/>
  <c r="B893" i="3" s="1"/>
  <c r="E893" i="3" s="1"/>
  <c r="C892" i="3" l="1"/>
  <c r="F893" i="3"/>
  <c r="G893" i="3" s="1"/>
  <c r="H893" i="3"/>
  <c r="B894" i="3" l="1"/>
  <c r="E894" i="3" s="1"/>
  <c r="F894" i="3" s="1"/>
  <c r="G894" i="3" s="1"/>
  <c r="H894" i="3" s="1"/>
  <c r="B895" i="3" s="1"/>
  <c r="C893" i="3"/>
  <c r="E895" i="3" l="1"/>
  <c r="F895" i="3" s="1"/>
  <c r="C894" i="3"/>
  <c r="G895" i="3" l="1"/>
  <c r="H895" i="3" s="1"/>
  <c r="B896" i="3" s="1"/>
  <c r="E896" i="3" s="1"/>
  <c r="C896" i="3" s="1"/>
  <c r="C895" i="3"/>
  <c r="F896" i="3" l="1"/>
  <c r="G896" i="3" s="1"/>
  <c r="H896" i="3"/>
  <c r="B897" i="3" s="1"/>
  <c r="E897" i="3" s="1"/>
  <c r="F897" i="3" l="1"/>
  <c r="G897" i="3" s="1"/>
  <c r="H897" i="3" s="1"/>
  <c r="B898" i="3" s="1"/>
  <c r="E898" i="3" l="1"/>
  <c r="F898" i="3"/>
  <c r="G898" i="3" s="1"/>
  <c r="H898" i="3" s="1"/>
  <c r="B899" i="3" s="1"/>
  <c r="C898" i="3"/>
  <c r="C897" i="3"/>
  <c r="E899" i="3" l="1"/>
  <c r="C899" i="3" s="1"/>
  <c r="F899" i="3"/>
  <c r="G899" i="3" s="1"/>
  <c r="H899" i="3" s="1"/>
  <c r="B900" i="3" s="1"/>
  <c r="E900" i="3" l="1"/>
  <c r="C900" i="3" s="1"/>
  <c r="F900" i="3"/>
  <c r="G900" i="3" s="1"/>
  <c r="H900" i="3"/>
  <c r="B901" i="3" s="1"/>
  <c r="E901" i="3" l="1"/>
  <c r="F901" i="3"/>
  <c r="G901" i="3" s="1"/>
  <c r="H901" i="3"/>
  <c r="B902" i="3" s="1"/>
  <c r="C901" i="3"/>
  <c r="E902" i="3" l="1"/>
  <c r="F902" i="3" s="1"/>
  <c r="G902" i="3" l="1"/>
  <c r="H902" i="3" s="1"/>
  <c r="B903" i="3" s="1"/>
  <c r="C902" i="3"/>
  <c r="E903" i="3" l="1"/>
  <c r="C903" i="3" s="1"/>
  <c r="F903" i="3"/>
  <c r="G903" i="3" s="1"/>
  <c r="H903" i="3"/>
  <c r="B904" i="3" l="1"/>
  <c r="E904" i="3" s="1"/>
  <c r="F904" i="3" s="1"/>
  <c r="G904" i="3" l="1"/>
  <c r="H904" i="3" s="1"/>
  <c r="B905" i="3" s="1"/>
  <c r="E905" i="3" s="1"/>
  <c r="C904" i="3"/>
  <c r="F905" i="3" l="1"/>
  <c r="G905" i="3" s="1"/>
  <c r="H905" i="3"/>
  <c r="B906" i="3" s="1"/>
  <c r="C905" i="3" l="1"/>
  <c r="E906" i="3"/>
  <c r="C906" i="3" s="1"/>
  <c r="F906" i="3"/>
  <c r="G906" i="3" s="1"/>
  <c r="H906" i="3" s="1"/>
  <c r="B907" i="3" l="1"/>
  <c r="E907" i="3" s="1"/>
  <c r="F907" i="3" s="1"/>
  <c r="G907" i="3" l="1"/>
  <c r="H907" i="3" s="1"/>
  <c r="B908" i="3" s="1"/>
  <c r="E908" i="3" s="1"/>
  <c r="F908" i="3" s="1"/>
  <c r="G908" i="3" s="1"/>
  <c r="C907" i="3"/>
  <c r="C908" i="3" l="1"/>
  <c r="H908" i="3"/>
  <c r="B909" i="3" s="1"/>
  <c r="E909" i="3" l="1"/>
  <c r="F909" i="3"/>
  <c r="G909" i="3" s="1"/>
  <c r="H909" i="3"/>
  <c r="B910" i="3" s="1"/>
  <c r="C909" i="3" l="1"/>
  <c r="E910" i="3"/>
  <c r="F910" i="3" s="1"/>
  <c r="G910" i="3" l="1"/>
  <c r="H910" i="3" s="1"/>
  <c r="B911" i="3" s="1"/>
  <c r="E911" i="3" s="1"/>
  <c r="F911" i="3" s="1"/>
  <c r="C910" i="3"/>
  <c r="G911" i="3" l="1"/>
  <c r="H911" i="3" s="1"/>
  <c r="B912" i="3" s="1"/>
  <c r="C911" i="3"/>
  <c r="E912" i="3" l="1"/>
  <c r="C912" i="3" s="1"/>
  <c r="F912" i="3"/>
  <c r="G912" i="3" s="1"/>
  <c r="H912" i="3"/>
  <c r="B913" i="3" s="1"/>
  <c r="E913" i="3" l="1"/>
  <c r="F913" i="3"/>
  <c r="G913" i="3" s="1"/>
  <c r="H913" i="3" s="1"/>
  <c r="C913" i="3"/>
  <c r="B914" i="3" l="1"/>
  <c r="E914" i="3" l="1"/>
  <c r="F914" i="3" s="1"/>
  <c r="G914" i="3" s="1"/>
  <c r="H914" i="3" s="1"/>
  <c r="C914" i="3" l="1"/>
  <c r="B915" i="3"/>
  <c r="E915" i="3" l="1"/>
  <c r="C915" i="3" s="1"/>
  <c r="F915" i="3"/>
  <c r="G915" i="3" s="1"/>
  <c r="H915" i="3"/>
  <c r="B916" i="3" s="1"/>
  <c r="E916" i="3" l="1"/>
  <c r="F916" i="3" s="1"/>
  <c r="G916" i="3" s="1"/>
  <c r="H916" i="3" s="1"/>
  <c r="C916" i="3" l="1"/>
  <c r="B917" i="3"/>
  <c r="E917" i="3" l="1"/>
  <c r="F917" i="3"/>
  <c r="G917" i="3" s="1"/>
  <c r="H917" i="3" s="1"/>
  <c r="C917" i="3"/>
  <c r="B918" i="3" l="1"/>
  <c r="E918" i="3" l="1"/>
  <c r="C918" i="3" s="1"/>
  <c r="F918" i="3"/>
  <c r="G918" i="3" s="1"/>
  <c r="H918" i="3"/>
  <c r="B919" i="3" l="1"/>
  <c r="F919" i="3" l="1"/>
  <c r="G919" i="3" s="1"/>
  <c r="H919" i="3" s="1"/>
  <c r="B920" i="3" s="1"/>
  <c r="E919" i="3"/>
  <c r="C919" i="3" s="1"/>
  <c r="E920" i="3" l="1"/>
  <c r="C920" i="3" s="1"/>
  <c r="F920" i="3"/>
  <c r="G920" i="3" s="1"/>
  <c r="H920" i="3" s="1"/>
  <c r="B921" i="3" l="1"/>
  <c r="E921" i="3" l="1"/>
  <c r="C921" i="3" s="1"/>
  <c r="F921" i="3"/>
  <c r="G921" i="3" s="1"/>
  <c r="H921" i="3" s="1"/>
  <c r="B922" i="3" s="1"/>
  <c r="E922" i="3" l="1"/>
  <c r="F922" i="3" s="1"/>
  <c r="G922" i="3" l="1"/>
  <c r="H922" i="3" s="1"/>
  <c r="B923" i="3" s="1"/>
  <c r="E923" i="3" s="1"/>
  <c r="F923" i="3" s="1"/>
  <c r="C922" i="3"/>
  <c r="G923" i="3" l="1"/>
  <c r="H923" i="3" s="1"/>
  <c r="B924" i="3" s="1"/>
  <c r="C923" i="3"/>
  <c r="E924" i="3" l="1"/>
  <c r="C924" i="3" s="1"/>
  <c r="F924" i="3"/>
  <c r="G924" i="3" s="1"/>
  <c r="H924" i="3"/>
  <c r="B925" i="3" l="1"/>
  <c r="E925" i="3" s="1"/>
  <c r="C925" i="3" s="1"/>
  <c r="H925" i="3" l="1"/>
  <c r="F925" i="3"/>
  <c r="G925" i="3" s="1"/>
  <c r="B926" i="3" l="1"/>
  <c r="E926" i="3" s="1"/>
  <c r="F926" i="3" s="1"/>
  <c r="G926" i="3" s="1"/>
  <c r="H926" i="3" s="1"/>
  <c r="B927" i="3" s="1"/>
  <c r="C926" i="3" l="1"/>
  <c r="E927" i="3"/>
  <c r="F927" i="3" s="1"/>
  <c r="G927" i="3" l="1"/>
  <c r="H927" i="3" s="1"/>
  <c r="B928" i="3" s="1"/>
  <c r="E928" i="3" s="1"/>
  <c r="C927" i="3"/>
  <c r="F928" i="3" l="1"/>
  <c r="G928" i="3" s="1"/>
  <c r="H928" i="3" s="1"/>
  <c r="B929" i="3" s="1"/>
  <c r="C928" i="3" l="1"/>
  <c r="E929" i="3"/>
  <c r="C929" i="3" s="1"/>
  <c r="F929" i="3"/>
  <c r="G929" i="3" s="1"/>
  <c r="H929" i="3" s="1"/>
  <c r="B930" i="3" l="1"/>
  <c r="E930" i="3" s="1"/>
  <c r="F930" i="3" l="1"/>
  <c r="G930" i="3" l="1"/>
  <c r="H930" i="3" s="1"/>
  <c r="B931" i="3" s="1"/>
  <c r="C930" i="3"/>
  <c r="E931" i="3" l="1"/>
  <c r="F931" i="3" s="1"/>
  <c r="G931" i="3" l="1"/>
  <c r="H931" i="3" s="1"/>
  <c r="B932" i="3" s="1"/>
  <c r="C931" i="3"/>
  <c r="E932" i="3" l="1"/>
  <c r="C932" i="3" s="1"/>
  <c r="F932" i="3"/>
  <c r="G932" i="3" s="1"/>
  <c r="H932" i="3"/>
  <c r="B933" i="3" s="1"/>
  <c r="E933" i="3" l="1"/>
  <c r="C933" i="3" s="1"/>
  <c r="F933" i="3"/>
  <c r="G933" i="3" s="1"/>
  <c r="H933" i="3"/>
  <c r="B934" i="3" s="1"/>
  <c r="E934" i="3" l="1"/>
  <c r="F934" i="3" l="1"/>
  <c r="G934" i="3" s="1"/>
  <c r="H934" i="3" s="1"/>
  <c r="B935" i="3" s="1"/>
  <c r="E935" i="3" l="1"/>
  <c r="C935" i="3" s="1"/>
  <c r="F935" i="3"/>
  <c r="G935" i="3" s="1"/>
  <c r="H935" i="3" s="1"/>
  <c r="B936" i="3" s="1"/>
  <c r="C934" i="3"/>
  <c r="E936" i="3" l="1"/>
  <c r="C936" i="3" s="1"/>
  <c r="F936" i="3"/>
  <c r="G936" i="3" s="1"/>
  <c r="H936" i="3" s="1"/>
  <c r="B937" i="3" s="1"/>
  <c r="E937" i="3" l="1"/>
  <c r="C937" i="3" s="1"/>
  <c r="F937" i="3"/>
  <c r="G937" i="3" s="1"/>
  <c r="H937" i="3" s="1"/>
  <c r="B938" i="3" s="1"/>
  <c r="E938" i="3" l="1"/>
  <c r="F938" i="3" s="1"/>
  <c r="G938" i="3" s="1"/>
  <c r="H938" i="3" s="1"/>
  <c r="B939" i="3" s="1"/>
  <c r="C938" i="3" l="1"/>
  <c r="E939" i="3"/>
  <c r="F939" i="3" l="1"/>
  <c r="G939" i="3" s="1"/>
  <c r="H939" i="3" s="1"/>
  <c r="B940" i="3" s="1"/>
  <c r="E940" i="3" s="1"/>
  <c r="F940" i="3" s="1"/>
  <c r="G940" i="3" s="1"/>
  <c r="H940" i="3" s="1"/>
  <c r="C940" i="3" l="1"/>
  <c r="C939" i="3"/>
  <c r="B941" i="3"/>
  <c r="E941" i="3" l="1"/>
  <c r="C941" i="3" s="1"/>
  <c r="F941" i="3"/>
  <c r="G941" i="3" s="1"/>
  <c r="H941" i="3"/>
  <c r="B942" i="3" l="1"/>
  <c r="E942" i="3" l="1"/>
  <c r="F942" i="3"/>
  <c r="G942" i="3" s="1"/>
  <c r="H942" i="3" s="1"/>
  <c r="C942" i="3" l="1"/>
  <c r="B943" i="3"/>
  <c r="E943" i="3" s="1"/>
  <c r="F943" i="3" s="1"/>
  <c r="G943" i="3" l="1"/>
  <c r="H943" i="3" s="1"/>
  <c r="B944" i="3" s="1"/>
  <c r="C943" i="3"/>
  <c r="E944" i="3" l="1"/>
  <c r="F944" i="3" l="1"/>
  <c r="G944" i="3" s="1"/>
  <c r="H944" i="3" s="1"/>
  <c r="B945" i="3" s="1"/>
  <c r="C944" i="3" l="1"/>
  <c r="E945" i="3"/>
  <c r="F945" i="3" l="1"/>
  <c r="G945" i="3" s="1"/>
  <c r="H945" i="3" s="1"/>
  <c r="B946" i="3" s="1"/>
  <c r="E946" i="3" s="1"/>
  <c r="F946" i="3" l="1"/>
  <c r="G946" i="3" s="1"/>
  <c r="H946" i="3" s="1"/>
  <c r="B947" i="3" s="1"/>
  <c r="F947" i="3" s="1"/>
  <c r="G947" i="3" s="1"/>
  <c r="H947" i="3" s="1"/>
  <c r="B948" i="3" s="1"/>
  <c r="C945" i="3"/>
  <c r="E947" i="3" l="1"/>
  <c r="C947" i="3" s="1"/>
  <c r="C946" i="3"/>
  <c r="E948" i="3"/>
  <c r="F948" i="3"/>
  <c r="G948" i="3" s="1"/>
  <c r="H948" i="3"/>
  <c r="B949" i="3" s="1"/>
  <c r="C948" i="3"/>
  <c r="E949" i="3" l="1"/>
  <c r="C949" i="3" s="1"/>
  <c r="F949" i="3"/>
  <c r="G949" i="3" s="1"/>
  <c r="H949" i="3" s="1"/>
  <c r="B950" i="3" s="1"/>
  <c r="E950" i="3" l="1"/>
  <c r="F950" i="3" s="1"/>
  <c r="G950" i="3" l="1"/>
  <c r="H950" i="3" s="1"/>
  <c r="B951" i="3" s="1"/>
  <c r="E951" i="3" s="1"/>
  <c r="C950" i="3"/>
  <c r="F951" i="3" l="1"/>
  <c r="G951" i="3" s="1"/>
  <c r="H951" i="3" s="1"/>
  <c r="B952" i="3" s="1"/>
  <c r="E952" i="3" s="1"/>
  <c r="C951" i="3"/>
  <c r="F952" i="3" l="1"/>
  <c r="G952" i="3" s="1"/>
  <c r="H952" i="3" s="1"/>
  <c r="B953" i="3" s="1"/>
  <c r="E953" i="3" s="1"/>
  <c r="F953" i="3" l="1"/>
  <c r="G953" i="3" s="1"/>
  <c r="H953" i="3" s="1"/>
  <c r="B954" i="3" s="1"/>
  <c r="C952" i="3"/>
  <c r="C953" i="3" l="1"/>
  <c r="E954" i="3"/>
  <c r="F954" i="3" s="1"/>
  <c r="G954" i="3" s="1"/>
  <c r="H954" i="3" s="1"/>
  <c r="B955" i="3" s="1"/>
  <c r="E955" i="3" l="1"/>
  <c r="C955" i="3" s="1"/>
  <c r="F955" i="3"/>
  <c r="G955" i="3" s="1"/>
  <c r="H955" i="3" s="1"/>
  <c r="B956" i="3" s="1"/>
  <c r="C954" i="3"/>
  <c r="E956" i="3" l="1"/>
  <c r="C956" i="3" s="1"/>
  <c r="F956" i="3"/>
  <c r="G956" i="3" s="1"/>
  <c r="H956" i="3" s="1"/>
  <c r="B957" i="3" s="1"/>
  <c r="E957" i="3" l="1"/>
  <c r="C957" i="3" s="1"/>
  <c r="F957" i="3"/>
  <c r="G957" i="3" s="1"/>
  <c r="H957" i="3"/>
  <c r="B958" i="3" l="1"/>
  <c r="E958" i="3" s="1"/>
  <c r="F958" i="3" s="1"/>
  <c r="G958" i="3" l="1"/>
  <c r="H958" i="3" s="1"/>
  <c r="B959" i="3" s="1"/>
  <c r="E959" i="3" s="1"/>
  <c r="C959" i="3" s="1"/>
  <c r="C958" i="3"/>
  <c r="F959" i="3" l="1"/>
  <c r="G959" i="3" s="1"/>
  <c r="H959" i="3" s="1"/>
  <c r="B960" i="3" s="1"/>
  <c r="E960" i="3" l="1"/>
  <c r="F960" i="3" l="1"/>
  <c r="G960" i="3" s="1"/>
  <c r="H960" i="3" s="1"/>
  <c r="B961" i="3" s="1"/>
  <c r="C960" i="3" l="1"/>
  <c r="E961" i="3"/>
  <c r="C961" i="3" s="1"/>
  <c r="F961" i="3"/>
  <c r="G961" i="3" s="1"/>
  <c r="H961" i="3" s="1"/>
  <c r="B962" i="3" l="1"/>
  <c r="E962" i="3" l="1"/>
  <c r="F962" i="3" l="1"/>
  <c r="G962" i="3" s="1"/>
  <c r="H962" i="3" s="1"/>
  <c r="B963" i="3" s="1"/>
  <c r="E963" i="3" l="1"/>
  <c r="C963" i="3" s="1"/>
  <c r="F963" i="3"/>
  <c r="G963" i="3" s="1"/>
  <c r="H963" i="3" s="1"/>
  <c r="B964" i="3" s="1"/>
  <c r="C962" i="3"/>
  <c r="E964" i="3" l="1"/>
  <c r="F964" i="3" s="1"/>
  <c r="G964" i="3" s="1"/>
  <c r="H964" i="3" s="1"/>
  <c r="B965" i="3" s="1"/>
  <c r="E965" i="3" l="1"/>
  <c r="F965" i="3" s="1"/>
  <c r="G965" i="3" s="1"/>
  <c r="H965" i="3" s="1"/>
  <c r="B966" i="3" s="1"/>
  <c r="C964" i="3"/>
  <c r="C965" i="3" l="1"/>
  <c r="E966" i="3"/>
  <c r="F966" i="3" s="1"/>
  <c r="G966" i="3" s="1"/>
  <c r="H966" i="3" s="1"/>
  <c r="B967" i="3" s="1"/>
  <c r="C966" i="3" l="1"/>
  <c r="E967" i="3"/>
  <c r="F967" i="3" s="1"/>
  <c r="G967" i="3" l="1"/>
  <c r="H967" i="3" s="1"/>
  <c r="B968" i="3" s="1"/>
  <c r="E968" i="3" s="1"/>
  <c r="C968" i="3" s="1"/>
  <c r="C967" i="3"/>
  <c r="F968" i="3" l="1"/>
  <c r="G968" i="3" s="1"/>
  <c r="H968" i="3" s="1"/>
  <c r="B969" i="3" s="1"/>
  <c r="E969" i="3" l="1"/>
  <c r="C969" i="3" s="1"/>
  <c r="F969" i="3"/>
  <c r="G969" i="3" s="1"/>
  <c r="H969" i="3"/>
  <c r="B970" i="3" s="1"/>
  <c r="E970" i="3" l="1"/>
  <c r="F970" i="3" s="1"/>
  <c r="G970" i="3" l="1"/>
  <c r="H970" i="3" s="1"/>
  <c r="B971" i="3" s="1"/>
  <c r="E971" i="3" s="1"/>
  <c r="F971" i="3" s="1"/>
  <c r="C970" i="3"/>
  <c r="G971" i="3" l="1"/>
  <c r="H971" i="3" s="1"/>
  <c r="B972" i="3" s="1"/>
  <c r="C971" i="3"/>
  <c r="E972" i="3" l="1"/>
  <c r="C972" i="3" s="1"/>
  <c r="F972" i="3"/>
  <c r="G972" i="3" s="1"/>
  <c r="H972" i="3"/>
  <c r="B973" i="3" s="1"/>
  <c r="E973" i="3" l="1"/>
  <c r="C973" i="3" s="1"/>
  <c r="F973" i="3"/>
  <c r="G973" i="3" s="1"/>
  <c r="H973" i="3"/>
  <c r="B974" i="3" s="1"/>
  <c r="E974" i="3" l="1"/>
  <c r="F974" i="3" s="1"/>
  <c r="G974" i="3" l="1"/>
  <c r="H974" i="3" s="1"/>
  <c r="B975" i="3" s="1"/>
  <c r="E975" i="3" s="1"/>
  <c r="C975" i="3" s="1"/>
  <c r="C974" i="3"/>
  <c r="F975" i="3" l="1"/>
  <c r="G975" i="3" s="1"/>
  <c r="H975" i="3" s="1"/>
  <c r="B976" i="3" s="1"/>
  <c r="E976" i="3" l="1"/>
  <c r="F976" i="3" l="1"/>
  <c r="G976" i="3" s="1"/>
  <c r="H976" i="3" s="1"/>
  <c r="B977" i="3" s="1"/>
  <c r="C976" i="3" l="1"/>
  <c r="E977" i="3"/>
  <c r="C977" i="3" s="1"/>
  <c r="F977" i="3"/>
  <c r="G977" i="3" s="1"/>
  <c r="H977" i="3" s="1"/>
  <c r="B978" i="3" s="1"/>
  <c r="E978" i="3" l="1"/>
  <c r="F978" i="3" s="1"/>
  <c r="G978" i="3" l="1"/>
  <c r="H978" i="3" s="1"/>
  <c r="B979" i="3" s="1"/>
  <c r="C978" i="3"/>
  <c r="E979" i="3" l="1"/>
  <c r="F979" i="3" s="1"/>
  <c r="G979" i="3" s="1"/>
  <c r="H979" i="3" s="1"/>
  <c r="B980" i="3" s="1"/>
  <c r="C979" i="3" l="1"/>
  <c r="E980" i="3"/>
  <c r="C980" i="3" s="1"/>
  <c r="F980" i="3"/>
  <c r="G980" i="3" s="1"/>
  <c r="H980" i="3"/>
  <c r="B981" i="3" l="1"/>
  <c r="E981" i="3" l="1"/>
  <c r="F981" i="3" s="1"/>
  <c r="G981" i="3" l="1"/>
  <c r="H981" i="3" s="1"/>
  <c r="B982" i="3" s="1"/>
  <c r="C981" i="3"/>
  <c r="E982" i="3" l="1"/>
  <c r="F982" i="3" s="1"/>
  <c r="G982" i="3" l="1"/>
  <c r="H982" i="3" s="1"/>
  <c r="B983" i="3" s="1"/>
  <c r="C982" i="3"/>
  <c r="E983" i="3" l="1"/>
  <c r="C983" i="3" s="1"/>
  <c r="F983" i="3"/>
  <c r="G983" i="3" s="1"/>
  <c r="H983" i="3" s="1"/>
  <c r="B984" i="3" s="1"/>
  <c r="E984" i="3" l="1"/>
  <c r="C984" i="3" s="1"/>
  <c r="F984" i="3"/>
  <c r="G984" i="3" s="1"/>
  <c r="H984" i="3" s="1"/>
  <c r="B985" i="3" s="1"/>
  <c r="E985" i="3" l="1"/>
  <c r="C985" i="3" s="1"/>
  <c r="F985" i="3"/>
  <c r="G985" i="3" s="1"/>
  <c r="H985" i="3"/>
  <c r="B986" i="3" s="1"/>
  <c r="E986" i="3" l="1"/>
  <c r="F986" i="3" s="1"/>
  <c r="G986" i="3" s="1"/>
  <c r="H986" i="3" s="1"/>
  <c r="B987" i="3" s="1"/>
  <c r="E987" i="3" l="1"/>
  <c r="C986" i="3"/>
  <c r="F987" i="3" l="1"/>
  <c r="G987" i="3" s="1"/>
  <c r="H987" i="3" s="1"/>
  <c r="B988" i="3" s="1"/>
  <c r="E988" i="3" s="1"/>
  <c r="C988" i="3" s="1"/>
  <c r="H988" i="3" l="1"/>
  <c r="F988" i="3"/>
  <c r="G988" i="3" s="1"/>
  <c r="B989" i="3"/>
  <c r="E989" i="3" s="1"/>
  <c r="C989" i="3" s="1"/>
  <c r="C987" i="3"/>
  <c r="H989" i="3" l="1"/>
  <c r="F989" i="3"/>
  <c r="G989" i="3" s="1"/>
  <c r="B990" i="3" l="1"/>
  <c r="E990" i="3" s="1"/>
  <c r="F990" i="3" s="1"/>
  <c r="G990" i="3" s="1"/>
  <c r="H990" i="3" s="1"/>
  <c r="B991" i="3" s="1"/>
  <c r="E991" i="3" s="1"/>
  <c r="C991" i="3" s="1"/>
  <c r="F991" i="3" l="1"/>
  <c r="G991" i="3" s="1"/>
  <c r="H991" i="3" s="1"/>
  <c r="B992" i="3" s="1"/>
  <c r="C990" i="3"/>
  <c r="E992" i="3" l="1"/>
  <c r="F992" i="3" l="1"/>
  <c r="G992" i="3" s="1"/>
  <c r="H992" i="3" s="1"/>
  <c r="B993" i="3" s="1"/>
  <c r="C992" i="3" l="1"/>
  <c r="E993" i="3"/>
  <c r="C993" i="3" s="1"/>
  <c r="F993" i="3"/>
  <c r="G993" i="3" s="1"/>
  <c r="H993" i="3" s="1"/>
  <c r="B994" i="3" s="1"/>
  <c r="E994" i="3" l="1"/>
  <c r="F994" i="3" s="1"/>
  <c r="G994" i="3" l="1"/>
  <c r="H994" i="3" s="1"/>
  <c r="B995" i="3" s="1"/>
  <c r="C994" i="3"/>
  <c r="E995" i="3"/>
  <c r="F995" i="3" s="1"/>
  <c r="G995" i="3" l="1"/>
  <c r="H995" i="3" s="1"/>
  <c r="B996" i="3" s="1"/>
  <c r="C995" i="3"/>
  <c r="E996" i="3" l="1"/>
  <c r="C996" i="3" s="1"/>
  <c r="F996" i="3"/>
  <c r="G996" i="3" s="1"/>
  <c r="H996" i="3"/>
  <c r="B997" i="3" s="1"/>
  <c r="E997" i="3" l="1"/>
  <c r="C997" i="3" s="1"/>
  <c r="F997" i="3"/>
  <c r="G997" i="3" s="1"/>
  <c r="H997" i="3"/>
  <c r="B998" i="3" l="1"/>
  <c r="F998" i="3" s="1"/>
  <c r="G998" i="3" s="1"/>
  <c r="H998" i="3" s="1"/>
  <c r="B999" i="3" s="1"/>
  <c r="E998" i="3" l="1"/>
  <c r="C998" i="3" s="1"/>
  <c r="E999" i="3"/>
  <c r="C999" i="3" s="1"/>
  <c r="F999" i="3"/>
  <c r="G999" i="3" s="1"/>
  <c r="H999" i="3" s="1"/>
  <c r="B1000" i="3" l="1"/>
  <c r="E1000" i="3" l="1"/>
  <c r="C1000" i="3" s="1"/>
  <c r="F1000" i="3"/>
  <c r="G1000" i="3" s="1"/>
  <c r="H1000" i="3" s="1"/>
  <c r="B1001" i="3" l="1"/>
  <c r="E1001" i="3" s="1"/>
  <c r="C1001" i="3" s="1"/>
  <c r="F1001" i="3" l="1"/>
  <c r="G1001" i="3" s="1"/>
  <c r="H1001" i="3" s="1"/>
  <c r="B1002" i="3"/>
  <c r="E1002" i="3" l="1"/>
  <c r="F1002" i="3" s="1"/>
  <c r="G1002" i="3" s="1"/>
  <c r="H1002" i="3" s="1"/>
  <c r="B1003" i="3" s="1"/>
  <c r="C1002" i="3" l="1"/>
  <c r="E1003" i="3"/>
  <c r="F1003" i="3" s="1"/>
  <c r="G1003" i="3" s="1"/>
  <c r="H1003" i="3" s="1"/>
  <c r="B1004" i="3" s="1"/>
  <c r="C1003" i="3" l="1"/>
  <c r="E1004" i="3"/>
  <c r="C1004" i="3" s="1"/>
  <c r="F1004" i="3"/>
  <c r="G1004" i="3" s="1"/>
  <c r="H1004" i="3"/>
  <c r="B1005" i="3" s="1"/>
  <c r="E1005" i="3" l="1"/>
  <c r="C1005" i="3" s="1"/>
  <c r="F1005" i="3"/>
  <c r="G1005" i="3" s="1"/>
  <c r="H1005" i="3"/>
  <c r="B1006" i="3" l="1"/>
  <c r="E1006" i="3" s="1"/>
  <c r="F1006" i="3" s="1"/>
  <c r="G1006" i="3" s="1"/>
  <c r="H1006" i="3" s="1"/>
  <c r="B1007" i="3" s="1"/>
  <c r="C1006" i="3" l="1"/>
  <c r="E1007" i="3"/>
  <c r="C1007" i="3" s="1"/>
  <c r="F1007" i="3"/>
  <c r="G1007" i="3" s="1"/>
  <c r="H1007" i="3" s="1"/>
  <c r="B1008" i="3" l="1"/>
  <c r="E1008" i="3" l="1"/>
  <c r="F1008" i="3" l="1"/>
  <c r="G1008" i="3" s="1"/>
  <c r="H1008" i="3" s="1"/>
  <c r="B1009" i="3" s="1"/>
  <c r="C1008" i="3" l="1"/>
  <c r="E1009" i="3"/>
  <c r="F1009" i="3" l="1"/>
  <c r="G1009" i="3" s="1"/>
  <c r="H1009" i="3" s="1"/>
  <c r="B1010" i="3" s="1"/>
  <c r="C1009" i="3" l="1"/>
  <c r="E1010" i="3"/>
  <c r="F1010" i="3" s="1"/>
  <c r="G1010" i="3" l="1"/>
  <c r="H1010" i="3" s="1"/>
  <c r="B1011" i="3" s="1"/>
  <c r="E1011" i="3" s="1"/>
  <c r="F1011" i="3" s="1"/>
  <c r="C1010" i="3"/>
  <c r="G1011" i="3" l="1"/>
  <c r="H1011" i="3" s="1"/>
  <c r="B1012" i="3" s="1"/>
  <c r="C1011" i="3"/>
  <c r="E1012" i="3" l="1"/>
  <c r="C1012" i="3" s="1"/>
  <c r="F1012" i="3"/>
  <c r="G1012" i="3" s="1"/>
  <c r="H1012" i="3"/>
  <c r="B1013" i="3" l="1"/>
  <c r="E1013" i="3" l="1"/>
  <c r="C1013" i="3" s="1"/>
  <c r="F1013" i="3"/>
  <c r="G1013" i="3" s="1"/>
  <c r="H1013" i="3" s="1"/>
  <c r="B1014" i="3" s="1"/>
  <c r="E1014" i="3" l="1"/>
  <c r="F1014" i="3"/>
  <c r="G1014" i="3" s="1"/>
  <c r="H1014" i="3" s="1"/>
  <c r="C1014" i="3" l="1"/>
  <c r="B1015" i="3"/>
  <c r="E1015" i="3" l="1"/>
  <c r="F1015" i="3"/>
  <c r="G1015" i="3" s="1"/>
  <c r="H1015" i="3"/>
  <c r="C1015" i="3"/>
  <c r="B1016" i="3" l="1"/>
  <c r="E1016" i="3" l="1"/>
  <c r="C1016" i="3" s="1"/>
  <c r="F1016" i="3"/>
  <c r="G1016" i="3" s="1"/>
  <c r="H1016" i="3" s="1"/>
  <c r="B1017" i="3" l="1"/>
  <c r="E1017" i="3" l="1"/>
  <c r="C1017" i="3" s="1"/>
  <c r="F1017" i="3"/>
  <c r="G1017" i="3" s="1"/>
  <c r="H1017" i="3"/>
  <c r="B1018" i="3" s="1"/>
  <c r="E1018" i="3" l="1"/>
  <c r="F1018" i="3" s="1"/>
  <c r="G1018" i="3" l="1"/>
  <c r="H1018" i="3" s="1"/>
  <c r="B1019" i="3" s="1"/>
  <c r="C1018" i="3"/>
  <c r="E1019" i="3" l="1"/>
  <c r="F1019" i="3" l="1"/>
  <c r="G1019" i="3" s="1"/>
  <c r="H1019" i="3" s="1"/>
  <c r="B1020" i="3" s="1"/>
  <c r="C1019" i="3" l="1"/>
  <c r="E1020" i="3"/>
  <c r="C1020" i="3" s="1"/>
  <c r="F1020" i="3"/>
  <c r="G1020" i="3" s="1"/>
  <c r="H1020" i="3"/>
  <c r="B1021" i="3" l="1"/>
  <c r="E1021" i="3" s="1"/>
  <c r="C1021" i="3" s="1"/>
  <c r="F1021" i="3" l="1"/>
  <c r="G1021" i="3" s="1"/>
  <c r="H1021" i="3" s="1"/>
  <c r="B1022" i="3"/>
  <c r="E1022" i="3" l="1"/>
  <c r="F1022" i="3" s="1"/>
  <c r="G1022" i="3" l="1"/>
  <c r="H1022" i="3" s="1"/>
  <c r="B1023" i="3" s="1"/>
  <c r="E1023" i="3" s="1"/>
  <c r="C1023" i="3" s="1"/>
  <c r="C1022" i="3"/>
  <c r="F1023" i="3" l="1"/>
  <c r="G1023" i="3" s="1"/>
  <c r="H1023" i="3" s="1"/>
  <c r="B1024" i="3" s="1"/>
  <c r="E1024" i="3" l="1"/>
  <c r="F1024" i="3" l="1"/>
  <c r="G1024" i="3" s="1"/>
  <c r="H1024" i="3" s="1"/>
  <c r="B1025" i="3" s="1"/>
  <c r="E1025" i="3" s="1"/>
  <c r="F1025" i="3" l="1"/>
  <c r="G1025" i="3" s="1"/>
  <c r="H1025" i="3" s="1"/>
  <c r="B1026" i="3" s="1"/>
  <c r="E1026" i="3" s="1"/>
  <c r="F1026" i="3" s="1"/>
  <c r="G1026" i="3" s="1"/>
  <c r="H1026" i="3" s="1"/>
  <c r="B1027" i="3" s="1"/>
  <c r="C1024" i="3"/>
  <c r="C1026" i="3" l="1"/>
  <c r="C1025" i="3"/>
  <c r="E1027" i="3"/>
  <c r="F1027" i="3" s="1"/>
  <c r="G1027" i="3" l="1"/>
  <c r="H1027" i="3" s="1"/>
  <c r="B1028" i="3" s="1"/>
  <c r="E1028" i="3" s="1"/>
  <c r="C1028" i="3" s="1"/>
  <c r="C1027" i="3"/>
  <c r="F1028" i="3"/>
  <c r="G1028" i="3" s="1"/>
  <c r="H1028" i="3" s="1"/>
  <c r="B1029" i="3" l="1"/>
  <c r="E1029" i="3" l="1"/>
  <c r="C1029" i="3" s="1"/>
  <c r="F1029" i="3"/>
  <c r="G1029" i="3" s="1"/>
  <c r="H1029" i="3" s="1"/>
  <c r="B1030" i="3" s="1"/>
  <c r="E1030" i="3" l="1"/>
  <c r="F1030" i="3" l="1"/>
  <c r="G1030" i="3" s="1"/>
  <c r="H1030" i="3" s="1"/>
  <c r="B1031" i="3" s="1"/>
  <c r="E1031" i="3" s="1"/>
  <c r="C1031" i="3" s="1"/>
  <c r="H1031" i="3" l="1"/>
  <c r="B1032" i="3" s="1"/>
  <c r="F1031" i="3"/>
  <c r="G1031" i="3" s="1"/>
  <c r="C1030" i="3"/>
  <c r="E1032" i="3" l="1"/>
  <c r="C1032" i="3" s="1"/>
  <c r="F1032" i="3"/>
  <c r="G1032" i="3" s="1"/>
  <c r="H1032" i="3" s="1"/>
  <c r="B1033" i="3" l="1"/>
  <c r="E1033" i="3" l="1"/>
  <c r="C1033" i="3" s="1"/>
  <c r="F1033" i="3"/>
  <c r="G1033" i="3" s="1"/>
  <c r="H1033" i="3"/>
  <c r="B1034" i="3" s="1"/>
  <c r="E1034" i="3" l="1"/>
  <c r="F1034" i="3" s="1"/>
  <c r="G1034" i="3" l="1"/>
  <c r="H1034" i="3" s="1"/>
  <c r="B1035" i="3" s="1"/>
  <c r="C1034" i="3"/>
  <c r="E1035" i="3" l="1"/>
  <c r="F1035" i="3" s="1"/>
  <c r="G1035" i="3" s="1"/>
  <c r="H1035" i="3" s="1"/>
  <c r="B1036" i="3" s="1"/>
  <c r="C1035" i="3" l="1"/>
  <c r="E1036" i="3"/>
  <c r="C1036" i="3" s="1"/>
  <c r="F1036" i="3"/>
  <c r="G1036" i="3" s="1"/>
  <c r="H1036" i="3"/>
  <c r="B1037" i="3" s="1"/>
  <c r="E1037" i="3" l="1"/>
  <c r="F1037" i="3" s="1"/>
  <c r="G1037" i="3" s="1"/>
  <c r="H1037" i="3" s="1"/>
  <c r="B1038" i="3" s="1"/>
  <c r="C1037" i="3" l="1"/>
  <c r="F1038" i="3"/>
  <c r="G1038" i="3" s="1"/>
  <c r="H1038" i="3" s="1"/>
  <c r="E1038" i="3"/>
  <c r="C1038" i="3" l="1"/>
  <c r="B1039" i="3"/>
  <c r="E1039" i="3" l="1"/>
  <c r="C1039" i="3" s="1"/>
  <c r="F1039" i="3"/>
  <c r="G1039" i="3" s="1"/>
  <c r="H1039" i="3" s="1"/>
  <c r="B1040" i="3" l="1"/>
  <c r="E1040" i="3" l="1"/>
  <c r="F1040" i="3" l="1"/>
  <c r="G1040" i="3" s="1"/>
  <c r="H1040" i="3" s="1"/>
  <c r="B1041" i="3" s="1"/>
  <c r="E1041" i="3" s="1"/>
  <c r="C1041" i="3" s="1"/>
  <c r="H1041" i="3" l="1"/>
  <c r="F1041" i="3"/>
  <c r="G1041" i="3" s="1"/>
  <c r="C1040" i="3"/>
  <c r="B1042" i="3" l="1"/>
  <c r="E1042" i="3" s="1"/>
  <c r="F1042" i="3" s="1"/>
  <c r="G1042" i="3" s="1"/>
  <c r="H1042" i="3" s="1"/>
  <c r="B1043" i="3" s="1"/>
  <c r="E1043" i="3" s="1"/>
  <c r="F1043" i="3" s="1"/>
  <c r="G1043" i="3" s="1"/>
  <c r="H1043" i="3" s="1"/>
  <c r="C1042" i="3" l="1"/>
  <c r="C1043" i="3"/>
  <c r="B1044" i="3"/>
  <c r="E1044" i="3" l="1"/>
  <c r="C1044" i="3" s="1"/>
  <c r="F1044" i="3"/>
  <c r="G1044" i="3" s="1"/>
  <c r="H1044" i="3"/>
  <c r="B1045" i="3" s="1"/>
  <c r="E1045" i="3" l="1"/>
  <c r="F1045" i="3"/>
  <c r="G1045" i="3" s="1"/>
  <c r="H1045" i="3"/>
  <c r="C1045" i="3"/>
  <c r="B1046" i="3" l="1"/>
  <c r="E1046" i="3" l="1"/>
  <c r="F1046" i="3"/>
  <c r="G1046" i="3" s="1"/>
  <c r="H1046" i="3"/>
  <c r="B1047" i="3" s="1"/>
  <c r="C1046" i="3" l="1"/>
  <c r="E1047" i="3"/>
  <c r="C1047" i="3" s="1"/>
  <c r="F1047" i="3"/>
  <c r="G1047" i="3" s="1"/>
  <c r="H1047" i="3"/>
  <c r="B1048" i="3" l="1"/>
  <c r="E1048" i="3" l="1"/>
  <c r="C1048" i="3" s="1"/>
  <c r="F1048" i="3"/>
  <c r="G1048" i="3" s="1"/>
  <c r="H1048" i="3" s="1"/>
  <c r="B1049" i="3" l="1"/>
  <c r="E1049" i="3" l="1"/>
  <c r="F1049" i="3" s="1"/>
  <c r="G1049" i="3" s="1"/>
  <c r="H1049" i="3" s="1"/>
  <c r="B1050" i="3" s="1"/>
  <c r="C1049" i="3" l="1"/>
  <c r="E1050" i="3"/>
  <c r="F1050" i="3" s="1"/>
  <c r="G1050" i="3" s="1"/>
  <c r="H1050" i="3" s="1"/>
  <c r="B1051" i="3" s="1"/>
  <c r="C1050" i="3" l="1"/>
  <c r="E1051" i="3"/>
  <c r="F1051" i="3" s="1"/>
  <c r="G1051" i="3" l="1"/>
  <c r="H1051" i="3" s="1"/>
  <c r="B1052" i="3" s="1"/>
  <c r="C1051" i="3"/>
  <c r="E1052" i="3" l="1"/>
  <c r="C1052" i="3" s="1"/>
  <c r="F1052" i="3"/>
  <c r="G1052" i="3" s="1"/>
  <c r="H1052" i="3" s="1"/>
  <c r="B1053" i="3" l="1"/>
  <c r="E1053" i="3" s="1"/>
  <c r="F1053" i="3" l="1"/>
  <c r="G1053" i="3" l="1"/>
  <c r="H1053" i="3" s="1"/>
  <c r="B1054" i="3" s="1"/>
  <c r="C1053" i="3"/>
  <c r="E1054" i="3" l="1"/>
  <c r="F1054" i="3" s="1"/>
  <c r="G1054" i="3" l="1"/>
  <c r="H1054" i="3" s="1"/>
  <c r="B1055" i="3" s="1"/>
  <c r="C1054" i="3"/>
  <c r="E1055" i="3" l="1"/>
  <c r="C1055" i="3" s="1"/>
  <c r="F1055" i="3"/>
  <c r="G1055" i="3" s="1"/>
  <c r="H1055" i="3" s="1"/>
  <c r="B1056" i="3" s="1"/>
  <c r="E1056" i="3" l="1"/>
  <c r="F1056" i="3"/>
  <c r="G1056" i="3" s="1"/>
  <c r="H1056" i="3" s="1"/>
  <c r="B1057" i="3" s="1"/>
  <c r="C1056" i="3"/>
  <c r="F1057" i="3" l="1"/>
  <c r="G1057" i="3" s="1"/>
  <c r="H1057" i="3" s="1"/>
  <c r="B1058" i="3" s="1"/>
  <c r="E1057" i="3"/>
  <c r="C1057" i="3" s="1"/>
  <c r="F1058" i="3" l="1"/>
  <c r="G1058" i="3" s="1"/>
  <c r="H1058" i="3" s="1"/>
  <c r="B1059" i="3" s="1"/>
  <c r="E1058" i="3"/>
  <c r="C1058" i="3" s="1"/>
  <c r="E1059" i="3" l="1"/>
  <c r="F1059" i="3"/>
  <c r="G1059" i="3" s="1"/>
  <c r="H1059" i="3" s="1"/>
  <c r="B1060" i="3" s="1"/>
  <c r="E1060" i="3" l="1"/>
  <c r="F1060" i="3"/>
  <c r="G1060" i="3" s="1"/>
  <c r="H1060" i="3"/>
  <c r="B1061" i="3" s="1"/>
  <c r="C1060" i="3"/>
  <c r="C1059" i="3"/>
  <c r="E1061" i="3" l="1"/>
  <c r="C1061" i="3" s="1"/>
  <c r="F1061" i="3"/>
  <c r="G1061" i="3" s="1"/>
  <c r="H1061" i="3"/>
  <c r="B1062" i="3" s="1"/>
  <c r="E1062" i="3" l="1"/>
  <c r="F1062" i="3"/>
  <c r="G1062" i="3" s="1"/>
  <c r="H1062" i="3"/>
  <c r="B1063" i="3" s="1"/>
  <c r="E1063" i="3" l="1"/>
  <c r="F1063" i="3" s="1"/>
  <c r="G1063" i="3" s="1"/>
  <c r="H1063" i="3" s="1"/>
  <c r="B1064" i="3" s="1"/>
  <c r="C1062" i="3"/>
  <c r="E1064" i="3" l="1"/>
  <c r="F1064" i="3"/>
  <c r="G1064" i="3" s="1"/>
  <c r="H1064" i="3" s="1"/>
  <c r="B1065" i="3" s="1"/>
  <c r="C1063" i="3"/>
  <c r="C1064" i="3" l="1"/>
  <c r="E1065" i="3"/>
  <c r="F1065" i="3" s="1"/>
  <c r="G1065" i="3" s="1"/>
  <c r="H1065" i="3" s="1"/>
  <c r="B1066" i="3" s="1"/>
  <c r="C1065" i="3" l="1"/>
  <c r="E1066" i="3"/>
  <c r="F1066" i="3" s="1"/>
  <c r="G1066" i="3" l="1"/>
  <c r="H1066" i="3" s="1"/>
  <c r="B1067" i="3" s="1"/>
  <c r="E1067" i="3" s="1"/>
  <c r="C1066" i="3"/>
  <c r="F1067" i="3" l="1"/>
  <c r="G1067" i="3" s="1"/>
  <c r="H1067" i="3" s="1"/>
  <c r="B1068" i="3" s="1"/>
  <c r="C1067" i="3"/>
  <c r="E1068" i="3" l="1"/>
  <c r="F1068" i="3" s="1"/>
  <c r="G1068" i="3" s="1"/>
  <c r="H1068" i="3" s="1"/>
  <c r="B1069" i="3" s="1"/>
  <c r="E1069" i="3" l="1"/>
  <c r="C1068" i="3"/>
  <c r="F1069" i="3" l="1"/>
  <c r="G1069" i="3" s="1"/>
  <c r="H1069" i="3" s="1"/>
  <c r="B1070" i="3" s="1"/>
  <c r="E1070" i="3" s="1"/>
  <c r="C1070" i="3" l="1"/>
  <c r="F1070" i="3"/>
  <c r="G1070" i="3" s="1"/>
  <c r="H1070" i="3" s="1"/>
  <c r="C1069" i="3"/>
  <c r="B1071" i="3"/>
  <c r="E1071" i="3" l="1"/>
  <c r="C1071" i="3" s="1"/>
  <c r="F1071" i="3"/>
  <c r="G1071" i="3" s="1"/>
  <c r="H1071" i="3" s="1"/>
  <c r="B1072" i="3" l="1"/>
  <c r="E1072" i="3" s="1"/>
  <c r="F1072" i="3" l="1"/>
  <c r="G1072" i="3" s="1"/>
  <c r="H1072" i="3"/>
  <c r="B1073" i="3" s="1"/>
  <c r="C1072" i="3" l="1"/>
  <c r="E1073" i="3"/>
  <c r="F1073" i="3"/>
  <c r="G1073" i="3" s="1"/>
  <c r="H1073" i="3"/>
  <c r="B1074" i="3" s="1"/>
  <c r="C1073" i="3"/>
  <c r="E1074" i="3" l="1"/>
  <c r="F1074" i="3" l="1"/>
  <c r="G1074" i="3" s="1"/>
  <c r="H1074" i="3" s="1"/>
  <c r="B1075" i="3" s="1"/>
  <c r="C1074" i="3" l="1"/>
  <c r="E1075" i="3"/>
  <c r="F1075" i="3"/>
  <c r="G1075" i="3" s="1"/>
  <c r="H1075" i="3" s="1"/>
  <c r="C1075" i="3" l="1"/>
  <c r="B1076" i="3"/>
  <c r="E1076" i="3" l="1"/>
  <c r="C1076" i="3" s="1"/>
  <c r="F1076" i="3"/>
  <c r="G1076" i="3" s="1"/>
  <c r="H1076" i="3"/>
  <c r="B1077" i="3" l="1"/>
  <c r="E1077" i="3" s="1"/>
  <c r="F1077" i="3" l="1"/>
  <c r="G1077" i="3" s="1"/>
  <c r="H1077" i="3" s="1"/>
  <c r="C1077" i="3"/>
  <c r="B1078" i="3"/>
  <c r="E1078" i="3" l="1"/>
  <c r="F1078" i="3" s="1"/>
  <c r="G1078" i="3" s="1"/>
  <c r="H1078" i="3" s="1"/>
  <c r="B1079" i="3" s="1"/>
  <c r="C1078" i="3" l="1"/>
  <c r="E1079" i="3"/>
  <c r="F1079" i="3" l="1"/>
  <c r="G1079" i="3" s="1"/>
  <c r="H1079" i="3" s="1"/>
  <c r="B1080" i="3" s="1"/>
  <c r="E1080" i="3" s="1"/>
  <c r="C1080" i="3" s="1"/>
  <c r="F1080" i="3" l="1"/>
  <c r="G1080" i="3" s="1"/>
  <c r="H1080" i="3" s="1"/>
  <c r="B1081" i="3" s="1"/>
  <c r="C1079" i="3"/>
  <c r="E1081" i="3" l="1"/>
  <c r="F1081" i="3" s="1"/>
  <c r="G1081" i="3" s="1"/>
  <c r="H1081" i="3" s="1"/>
  <c r="B1082" i="3" s="1"/>
  <c r="C1081" i="3" l="1"/>
  <c r="F1082" i="3"/>
  <c r="G1082" i="3" s="1"/>
  <c r="H1082" i="3" s="1"/>
  <c r="B1083" i="3" s="1"/>
  <c r="E1082" i="3"/>
  <c r="C1082" i="3" l="1"/>
  <c r="E1083" i="3"/>
  <c r="F1083" i="3" s="1"/>
  <c r="G1083" i="3" l="1"/>
  <c r="H1083" i="3" s="1"/>
  <c r="B1084" i="3" s="1"/>
  <c r="C1083" i="3"/>
  <c r="E1084" i="3" l="1"/>
  <c r="C1084" i="3" s="1"/>
  <c r="F1084" i="3"/>
  <c r="G1084" i="3" s="1"/>
  <c r="H1084" i="3"/>
  <c r="B1085" i="3" s="1"/>
  <c r="E1085" i="3" l="1"/>
  <c r="C1085" i="3" s="1"/>
  <c r="F1085" i="3"/>
  <c r="G1085" i="3" s="1"/>
  <c r="H1085" i="3" s="1"/>
  <c r="B1086" i="3" l="1"/>
  <c r="E1086" i="3" l="1"/>
  <c r="F1086" i="3" s="1"/>
  <c r="G1086" i="3" l="1"/>
  <c r="H1086" i="3" s="1"/>
  <c r="B1087" i="3" s="1"/>
  <c r="C1086" i="3"/>
  <c r="E1087" i="3" l="1"/>
  <c r="C1087" i="3" s="1"/>
  <c r="F1087" i="3"/>
  <c r="G1087" i="3" s="1"/>
  <c r="H1087" i="3" s="1"/>
  <c r="B1088" i="3" l="1"/>
  <c r="E1088" i="3" s="1"/>
  <c r="F1088" i="3" l="1"/>
  <c r="G1088" i="3" s="1"/>
  <c r="H1088" i="3" s="1"/>
  <c r="B1089" i="3" s="1"/>
  <c r="C1088" i="3" l="1"/>
  <c r="E1089" i="3"/>
  <c r="C1089" i="3" s="1"/>
  <c r="F1089" i="3"/>
  <c r="G1089" i="3" s="1"/>
  <c r="H1089" i="3" s="1"/>
  <c r="B1090" i="3" s="1"/>
  <c r="E1090" i="3" l="1"/>
  <c r="F1090" i="3" s="1"/>
  <c r="G1090" i="3" l="1"/>
  <c r="H1090" i="3" s="1"/>
  <c r="B1091" i="3" s="1"/>
  <c r="E1091" i="3" s="1"/>
  <c r="F1091" i="3" s="1"/>
  <c r="G1091" i="3" s="1"/>
  <c r="H1091" i="3" s="1"/>
  <c r="C1090" i="3"/>
  <c r="C1091" i="3" l="1"/>
  <c r="B1092" i="3"/>
  <c r="E1092" i="3" l="1"/>
  <c r="F1092" i="3"/>
  <c r="G1092" i="3" s="1"/>
  <c r="H1092" i="3" s="1"/>
  <c r="C1092" i="3"/>
  <c r="B1093" i="3" l="1"/>
  <c r="E1093" i="3" l="1"/>
  <c r="C1093" i="3" s="1"/>
  <c r="F1093" i="3"/>
  <c r="G1093" i="3" s="1"/>
  <c r="H1093" i="3" s="1"/>
  <c r="B1094" i="3" l="1"/>
  <c r="E1094" i="3" l="1"/>
  <c r="C1094" i="3" s="1"/>
  <c r="F1094" i="3"/>
  <c r="G1094" i="3" s="1"/>
  <c r="H1094" i="3" s="1"/>
  <c r="B1095" i="3" l="1"/>
  <c r="E1095" i="3" l="1"/>
  <c r="F1095" i="3" s="1"/>
  <c r="G1095" i="3" s="1"/>
  <c r="H1095" i="3" s="1"/>
  <c r="B1096" i="3" s="1"/>
  <c r="C1095" i="3" l="1"/>
  <c r="E1096" i="3"/>
  <c r="F1096" i="3" s="1"/>
  <c r="G1096" i="3" s="1"/>
  <c r="H1096" i="3" s="1"/>
  <c r="C1096" i="3" l="1"/>
  <c r="B1097" i="3"/>
  <c r="E1097" i="3" l="1"/>
  <c r="C1097" i="3" s="1"/>
  <c r="F1097" i="3"/>
  <c r="G1097" i="3" s="1"/>
  <c r="H1097" i="3" s="1"/>
  <c r="B1098" i="3" l="1"/>
  <c r="E1098" i="3" l="1"/>
  <c r="C1098" i="3" s="1"/>
  <c r="F1098" i="3"/>
  <c r="G1098" i="3" s="1"/>
  <c r="H1098" i="3" s="1"/>
  <c r="B1099" i="3" l="1"/>
  <c r="E1099" i="3" l="1"/>
  <c r="F1099" i="3" l="1"/>
  <c r="G1099" i="3" s="1"/>
  <c r="H1099" i="3" s="1"/>
  <c r="B1100" i="3" s="1"/>
  <c r="C1099" i="3" l="1"/>
  <c r="E1100" i="3"/>
  <c r="F1100" i="3" l="1"/>
  <c r="G1100" i="3" s="1"/>
  <c r="H1100" i="3" s="1"/>
  <c r="B1101" i="3" s="1"/>
  <c r="C1100" i="3" l="1"/>
  <c r="E1101" i="3"/>
  <c r="C1101" i="3" s="1"/>
  <c r="F1101" i="3"/>
  <c r="G1101" i="3" s="1"/>
  <c r="H1101" i="3"/>
  <c r="B1102" i="3" l="1"/>
  <c r="E1102" i="3" s="1"/>
  <c r="F1102" i="3" s="1"/>
  <c r="G1102" i="3" s="1"/>
  <c r="H1102" i="3" s="1"/>
  <c r="C1102" i="3" l="1"/>
  <c r="B1103" i="3"/>
  <c r="E1103" i="3" l="1"/>
  <c r="C1103" i="3" s="1"/>
  <c r="F1103" i="3"/>
  <c r="G1103" i="3" s="1"/>
  <c r="H1103" i="3" s="1"/>
  <c r="B1104" i="3" s="1"/>
  <c r="E1104" i="3" l="1"/>
  <c r="C1104" i="3" s="1"/>
  <c r="F1104" i="3"/>
  <c r="G1104" i="3" s="1"/>
  <c r="H1104" i="3" s="1"/>
  <c r="B1105" i="3" s="1"/>
  <c r="E1105" i="3" l="1"/>
  <c r="F1105" i="3" s="1"/>
  <c r="G1105" i="3" s="1"/>
  <c r="H1105" i="3" s="1"/>
  <c r="B1106" i="3" s="1"/>
  <c r="C1105" i="3" l="1"/>
  <c r="E1106" i="3"/>
  <c r="F1106" i="3" s="1"/>
  <c r="G1106" i="3" s="1"/>
  <c r="H1106" i="3" s="1"/>
  <c r="B1107" i="3" s="1"/>
  <c r="C1106" i="3" l="1"/>
  <c r="E1107" i="3"/>
  <c r="C1107" i="3" s="1"/>
  <c r="F1107" i="3"/>
  <c r="G1107" i="3" s="1"/>
  <c r="H1107" i="3" s="1"/>
  <c r="B1108" i="3" l="1"/>
  <c r="E1108" i="3" l="1"/>
  <c r="F1108" i="3"/>
  <c r="G1108" i="3" s="1"/>
  <c r="C1108" i="3"/>
  <c r="H1108" i="3"/>
  <c r="B1109" i="3" l="1"/>
  <c r="E1109" i="3"/>
  <c r="F1109" i="3" l="1"/>
  <c r="G1109" i="3" s="1"/>
  <c r="H1109" i="3" s="1"/>
  <c r="B1110" i="3" s="1"/>
  <c r="C1109" i="3" l="1"/>
  <c r="E1110" i="3"/>
  <c r="F1110" i="3" l="1"/>
  <c r="G1110" i="3" s="1"/>
  <c r="H1110" i="3" s="1"/>
  <c r="B1111" i="3" s="1"/>
  <c r="C1110" i="3" l="1"/>
  <c r="E1111" i="3"/>
  <c r="F1111" i="3"/>
  <c r="G1111" i="3" s="1"/>
  <c r="H1111" i="3" s="1"/>
  <c r="C1111" i="3" l="1"/>
  <c r="B1112" i="3"/>
  <c r="E1112" i="3" l="1"/>
  <c r="F1112" i="3" s="1"/>
  <c r="G1112" i="3" l="1"/>
  <c r="H1112" i="3" s="1"/>
  <c r="B1113" i="3" s="1"/>
  <c r="C1112" i="3"/>
  <c r="E1113" i="3" l="1"/>
  <c r="F1113" i="3" s="1"/>
  <c r="G1113" i="3" s="1"/>
  <c r="H1113" i="3" s="1"/>
  <c r="B1114" i="3" s="1"/>
  <c r="C1113" i="3" l="1"/>
  <c r="E1114" i="3"/>
  <c r="F1114" i="3"/>
  <c r="G1114" i="3" s="1"/>
  <c r="H1114" i="3" s="1"/>
  <c r="C1114" i="3" l="1"/>
  <c r="B1115" i="3"/>
  <c r="E1115" i="3" l="1"/>
  <c r="F1115" i="3"/>
  <c r="G1115" i="3" s="1"/>
  <c r="H1115" i="3"/>
  <c r="C1115" i="3" l="1"/>
  <c r="B1116" i="3"/>
  <c r="E1116" i="3" l="1"/>
  <c r="F1116" i="3"/>
  <c r="G1116" i="3" s="1"/>
  <c r="H1116" i="3"/>
  <c r="C1116" i="3"/>
  <c r="B1117" i="3" l="1"/>
  <c r="E1117" i="3" s="1"/>
  <c r="C1117" i="3" l="1"/>
  <c r="F1117" i="3"/>
  <c r="G1117" i="3" s="1"/>
  <c r="H1117" i="3" s="1"/>
  <c r="B1118" i="3"/>
  <c r="E1118" i="3" l="1"/>
  <c r="F1118" i="3" s="1"/>
  <c r="G1118" i="3" s="1"/>
  <c r="H1118" i="3" s="1"/>
  <c r="B1119" i="3" s="1"/>
  <c r="E1119" i="3" l="1"/>
  <c r="C1119" i="3" s="1"/>
  <c r="F1119" i="3"/>
  <c r="G1119" i="3" s="1"/>
  <c r="H1119" i="3" s="1"/>
  <c r="B1120" i="3" s="1"/>
  <c r="C1118" i="3"/>
  <c r="E1120" i="3" l="1"/>
  <c r="F1120" i="3"/>
  <c r="G1120" i="3" s="1"/>
  <c r="H1120" i="3" s="1"/>
  <c r="B1121" i="3" s="1"/>
  <c r="E1121" i="3" l="1"/>
  <c r="C1121" i="3" s="1"/>
  <c r="F1121" i="3"/>
  <c r="G1121" i="3" s="1"/>
  <c r="H1121" i="3" s="1"/>
  <c r="B1122" i="3" s="1"/>
  <c r="C1120" i="3"/>
  <c r="E1122" i="3" l="1"/>
  <c r="F1122" i="3" l="1"/>
  <c r="G1122" i="3" s="1"/>
  <c r="H1122" i="3" s="1"/>
  <c r="B1123" i="3" s="1"/>
  <c r="E1123" i="3" s="1"/>
  <c r="F1123" i="3" s="1"/>
  <c r="G1123" i="3" l="1"/>
  <c r="H1123" i="3" s="1"/>
  <c r="B1124" i="3" s="1"/>
  <c r="C1123" i="3"/>
  <c r="C1122" i="3"/>
  <c r="E1124" i="3" l="1"/>
  <c r="F1124" i="3"/>
  <c r="G1124" i="3" s="1"/>
  <c r="H1124" i="3" s="1"/>
  <c r="C1124" i="3" l="1"/>
  <c r="B1125" i="3"/>
  <c r="E1125" i="3" l="1"/>
  <c r="F1125" i="3"/>
  <c r="G1125" i="3" s="1"/>
  <c r="H1125" i="3" s="1"/>
  <c r="B1126" i="3" s="1"/>
  <c r="C1125" i="3" l="1"/>
  <c r="E1126" i="3"/>
  <c r="F1126" i="3" l="1"/>
  <c r="G1126" i="3" s="1"/>
  <c r="H1126" i="3" s="1"/>
  <c r="B1127" i="3" s="1"/>
  <c r="C1126" i="3" l="1"/>
  <c r="E1127" i="3"/>
  <c r="F1127" i="3" s="1"/>
  <c r="G1127" i="3" l="1"/>
  <c r="H1127" i="3" s="1"/>
  <c r="B1128" i="3" s="1"/>
  <c r="C1127" i="3"/>
  <c r="E1128" i="3" l="1"/>
  <c r="F1128" i="3" s="1"/>
  <c r="G1128" i="3" s="1"/>
  <c r="H1128" i="3" s="1"/>
  <c r="B1129" i="3" s="1"/>
  <c r="C1128" i="3" l="1"/>
  <c r="E1129" i="3"/>
  <c r="F1129" i="3" l="1"/>
  <c r="G1129" i="3" s="1"/>
  <c r="H1129" i="3" s="1"/>
  <c r="B1130" i="3" s="1"/>
  <c r="C1129" i="3" l="1"/>
  <c r="E1130" i="3"/>
  <c r="F1130" i="3" s="1"/>
  <c r="G1130" i="3" l="1"/>
  <c r="H1130" i="3" s="1"/>
  <c r="B1131" i="3" s="1"/>
  <c r="F1131" i="3" s="1"/>
  <c r="G1131" i="3" s="1"/>
  <c r="H1131" i="3" s="1"/>
  <c r="C1130" i="3"/>
  <c r="E1131" i="3" l="1"/>
  <c r="C1131" i="3" s="1"/>
  <c r="B1132" i="3"/>
  <c r="E1132" i="3" s="1"/>
  <c r="F1132" i="3" l="1"/>
  <c r="G1132" i="3" s="1"/>
  <c r="H1132" i="3" s="1"/>
  <c r="B1133" i="3" s="1"/>
  <c r="C1132" i="3" l="1"/>
  <c r="E1133" i="3"/>
  <c r="C1133" i="3" s="1"/>
  <c r="F1133" i="3"/>
  <c r="G1133" i="3" s="1"/>
  <c r="H1133" i="3" s="1"/>
  <c r="B1134" i="3" l="1"/>
  <c r="E1134" i="3" l="1"/>
  <c r="C1134" i="3" s="1"/>
  <c r="F1134" i="3"/>
  <c r="G1134" i="3" s="1"/>
  <c r="H1134" i="3" s="1"/>
  <c r="B1135" i="3" l="1"/>
  <c r="E1135" i="3" s="1"/>
  <c r="C1135" i="3" s="1"/>
  <c r="F1135" i="3" l="1"/>
  <c r="G1135" i="3" s="1"/>
  <c r="H1135" i="3" s="1"/>
  <c r="B1136" i="3" s="1"/>
  <c r="E1136" i="3" l="1"/>
  <c r="C1136" i="3" s="1"/>
  <c r="F1136" i="3"/>
  <c r="G1136" i="3" s="1"/>
  <c r="H1136" i="3" s="1"/>
  <c r="B1137" i="3" s="1"/>
  <c r="E1137" i="3" l="1"/>
  <c r="F1137" i="3" s="1"/>
  <c r="G1137" i="3" s="1"/>
  <c r="H1137" i="3" s="1"/>
  <c r="B1138" i="3" s="1"/>
  <c r="C1137" i="3" l="1"/>
  <c r="E1138" i="3"/>
  <c r="F1138" i="3"/>
  <c r="G1138" i="3" s="1"/>
  <c r="H1138" i="3"/>
  <c r="C1138" i="3"/>
  <c r="B1139" i="3" l="1"/>
  <c r="E1139" i="3"/>
  <c r="F1139" i="3"/>
  <c r="G1139" i="3" s="1"/>
  <c r="H1139" i="3"/>
  <c r="C1139" i="3"/>
  <c r="B1140" i="3" l="1"/>
  <c r="E1140" i="3" s="1"/>
  <c r="H1140" i="3"/>
  <c r="C1140" i="3"/>
  <c r="F1140" i="3" l="1"/>
  <c r="G1140" i="3" s="1"/>
  <c r="B1141" i="3" l="1"/>
  <c r="E1141" i="3" s="1"/>
  <c r="F1141" i="3" l="1"/>
  <c r="G1141" i="3" s="1"/>
  <c r="H1141" i="3" s="1"/>
  <c r="B1142" i="3" s="1"/>
  <c r="C1141" i="3"/>
  <c r="E1142" i="3"/>
  <c r="F1142" i="3"/>
  <c r="G1142" i="3" s="1"/>
  <c r="H1142" i="3" s="1"/>
  <c r="B1143" i="3" s="1"/>
  <c r="C1142" i="3" l="1"/>
  <c r="E1143" i="3"/>
  <c r="F1143" i="3"/>
  <c r="G1143" i="3" s="1"/>
  <c r="H1143" i="3" s="1"/>
  <c r="C1143" i="3"/>
  <c r="B1144" i="3" l="1"/>
  <c r="E1144" i="3" l="1"/>
  <c r="F1144" i="3" s="1"/>
  <c r="G1144" i="3" s="1"/>
  <c r="H1144" i="3" s="1"/>
  <c r="B1145" i="3" s="1"/>
  <c r="C1144" i="3" l="1"/>
  <c r="E1145" i="3"/>
  <c r="C1145" i="3" s="1"/>
  <c r="F1145" i="3"/>
  <c r="G1145" i="3" s="1"/>
  <c r="H1145" i="3" s="1"/>
  <c r="B1146" i="3" l="1"/>
  <c r="E1146" i="3" l="1"/>
  <c r="F1146" i="3" s="1"/>
  <c r="G1146" i="3" l="1"/>
  <c r="H1146" i="3" s="1"/>
  <c r="C1146" i="3"/>
  <c r="B1147" i="3"/>
  <c r="E1147" i="3" s="1"/>
  <c r="F1147" i="3" l="1"/>
  <c r="G1147" i="3" s="1"/>
  <c r="H1147" i="3"/>
  <c r="B1148" i="3" s="1"/>
  <c r="C1147" i="3"/>
  <c r="F1148" i="3" l="1"/>
  <c r="G1148" i="3" s="1"/>
  <c r="H1148" i="3" s="1"/>
  <c r="E1148" i="3"/>
  <c r="C1148" i="3" s="1"/>
  <c r="B1149" i="3"/>
  <c r="E1149" i="3" l="1"/>
  <c r="F1149" i="3"/>
  <c r="G1149" i="3" s="1"/>
  <c r="H1149" i="3" s="1"/>
  <c r="C1149" i="3" l="1"/>
  <c r="B1150" i="3"/>
  <c r="E1150" i="3" s="1"/>
  <c r="F1150" i="3" s="1"/>
  <c r="G1150" i="3" s="1"/>
  <c r="H1150" i="3" s="1"/>
  <c r="B1151" i="3" s="1"/>
  <c r="C1150" i="3" l="1"/>
  <c r="E1151" i="3"/>
  <c r="C1151" i="3" s="1"/>
  <c r="F1151" i="3"/>
  <c r="G1151" i="3" s="1"/>
  <c r="H1151" i="3"/>
  <c r="B1152" i="3" l="1"/>
  <c r="E1152" i="3" s="1"/>
  <c r="F1152" i="3" s="1"/>
  <c r="G1152" i="3" l="1"/>
  <c r="H1152" i="3" s="1"/>
  <c r="B1153" i="3" s="1"/>
  <c r="C1153" i="3" s="1"/>
  <c r="C1152" i="3"/>
  <c r="H1153" i="3"/>
  <c r="F1153" i="3" l="1"/>
  <c r="G1153" i="3" s="1"/>
  <c r="E1153" i="3"/>
  <c r="B1154" i="3"/>
  <c r="F1154" i="3" s="1"/>
  <c r="G1154" i="3" s="1"/>
  <c r="H1154" i="3" s="1"/>
  <c r="E1154" i="3" l="1"/>
  <c r="C1154" i="3"/>
  <c r="B1155" i="3"/>
  <c r="F1155" i="3" l="1"/>
  <c r="G1155" i="3" s="1"/>
  <c r="H1155" i="3" s="1"/>
  <c r="E1155" i="3"/>
  <c r="C1155" i="3" l="1"/>
  <c r="B1156" i="3"/>
  <c r="E1156" i="3" l="1"/>
  <c r="C1156" i="3" s="1"/>
  <c r="F1156" i="3"/>
  <c r="G1156" i="3" s="1"/>
  <c r="H1156" i="3" s="1"/>
  <c r="B1157" i="3" l="1"/>
  <c r="E1157" i="3" l="1"/>
  <c r="C1157" i="3" s="1"/>
  <c r="F1157" i="3"/>
  <c r="G1157" i="3" s="1"/>
  <c r="H1157" i="3"/>
  <c r="B1158" i="3" l="1"/>
  <c r="E1158" i="3" s="1"/>
  <c r="F1158" i="3" l="1"/>
  <c r="G1158" i="3" s="1"/>
  <c r="H1158" i="3" s="1"/>
  <c r="B1159" i="3" s="1"/>
  <c r="E1159" i="3" l="1"/>
  <c r="F1159" i="3" s="1"/>
  <c r="C1158" i="3"/>
  <c r="G1159" i="3" l="1"/>
  <c r="H1159" i="3" s="1"/>
  <c r="B1160" i="3" s="1"/>
  <c r="C1159" i="3"/>
  <c r="E1160" i="3" l="1"/>
  <c r="F1160" i="3" l="1"/>
  <c r="G1160" i="3" s="1"/>
  <c r="H1160" i="3" s="1"/>
  <c r="B1161" i="3" s="1"/>
  <c r="E1161" i="3" l="1"/>
  <c r="F1161" i="3"/>
  <c r="G1161" i="3" s="1"/>
  <c r="H1161" i="3" s="1"/>
  <c r="B1162" i="3" s="1"/>
  <c r="C1161" i="3"/>
  <c r="C1160" i="3"/>
  <c r="E1162" i="3" l="1"/>
  <c r="F1162" i="3" s="1"/>
  <c r="G1162" i="3" s="1"/>
  <c r="H1162" i="3" s="1"/>
  <c r="B1163" i="3" s="1"/>
  <c r="E1163" i="3" l="1"/>
  <c r="F1163" i="3" s="1"/>
  <c r="C1162" i="3"/>
  <c r="G1163" i="3" l="1"/>
  <c r="H1163" i="3" s="1"/>
  <c r="B1164" i="3" s="1"/>
  <c r="C1163" i="3"/>
  <c r="E1164" i="3" l="1"/>
  <c r="F1164" i="3" l="1"/>
  <c r="G1164" i="3" s="1"/>
  <c r="H1164" i="3" s="1"/>
  <c r="B1165" i="3" s="1"/>
  <c r="E1165" i="3" s="1"/>
  <c r="C1165" i="3" s="1"/>
  <c r="F1165" i="3" l="1"/>
  <c r="G1165" i="3" s="1"/>
  <c r="H1165" i="3" s="1"/>
  <c r="C1164" i="3"/>
  <c r="B1166" i="3"/>
  <c r="E1166" i="3" l="1"/>
  <c r="F1166" i="3" s="1"/>
  <c r="G1166" i="3" s="1"/>
  <c r="H1166" i="3" s="1"/>
  <c r="C1166" i="3" l="1"/>
  <c r="B1167" i="3"/>
  <c r="E1167" i="3" l="1"/>
  <c r="C1167" i="3" s="1"/>
  <c r="F1167" i="3"/>
  <c r="G1167" i="3" s="1"/>
  <c r="H1167" i="3" s="1"/>
  <c r="B1168" i="3" l="1"/>
  <c r="E1168" i="3" l="1"/>
  <c r="C1168" i="3" s="1"/>
  <c r="F1168" i="3"/>
  <c r="G1168" i="3" s="1"/>
  <c r="H1168" i="3"/>
  <c r="B1169" i="3" s="1"/>
  <c r="E1169" i="3" l="1"/>
  <c r="F1169" i="3" l="1"/>
  <c r="G1169" i="3" s="1"/>
  <c r="H1169" i="3" s="1"/>
  <c r="B1170" i="3" s="1"/>
  <c r="C1169" i="3" l="1"/>
  <c r="E1170" i="3"/>
  <c r="F1170" i="3" s="1"/>
  <c r="G1170" i="3" l="1"/>
  <c r="H1170" i="3" s="1"/>
  <c r="B1171" i="3" s="1"/>
  <c r="E1171" i="3" s="1"/>
  <c r="C1170" i="3"/>
  <c r="F1171" i="3" l="1"/>
  <c r="G1171" i="3" s="1"/>
  <c r="H1171" i="3" s="1"/>
  <c r="B1172" i="3"/>
  <c r="F1172" i="3" s="1"/>
  <c r="G1172" i="3" s="1"/>
  <c r="H1172" i="3" l="1"/>
  <c r="B1173" i="3" s="1"/>
  <c r="C1172" i="3"/>
  <c r="E1172" i="3"/>
  <c r="C1171" i="3"/>
  <c r="E1173" i="3"/>
  <c r="F1173" i="3" s="1"/>
  <c r="G1173" i="3" l="1"/>
  <c r="H1173" i="3" s="1"/>
  <c r="C1173" i="3"/>
  <c r="B1174" i="3"/>
  <c r="E1174" i="3" s="1"/>
  <c r="F1174" i="3" l="1"/>
  <c r="G1174" i="3" s="1"/>
  <c r="H1174" i="3" s="1"/>
  <c r="B1175" i="3" s="1"/>
  <c r="E1175" i="3" s="1"/>
  <c r="C1175" i="3" s="1"/>
  <c r="C1174" i="3"/>
  <c r="F1175" i="3" l="1"/>
  <c r="G1175" i="3" s="1"/>
  <c r="H1175" i="3" s="1"/>
  <c r="B1176" i="3" s="1"/>
  <c r="E1176" i="3" l="1"/>
  <c r="F1176" i="3"/>
  <c r="G1176" i="3" s="1"/>
  <c r="C1176" i="3"/>
  <c r="H1176" i="3"/>
  <c r="B1177" i="3" l="1"/>
  <c r="E1177" i="3" s="1"/>
  <c r="F1177" i="3"/>
  <c r="G1177" i="3" s="1"/>
  <c r="H1177" i="3"/>
  <c r="C1177" i="3" l="1"/>
  <c r="B1178" i="3"/>
  <c r="E1178" i="3" l="1"/>
  <c r="F1178" i="3" s="1"/>
  <c r="G1178" i="3" l="1"/>
  <c r="H1178" i="3" s="1"/>
  <c r="B1179" i="3" s="1"/>
  <c r="C1178" i="3"/>
  <c r="E1179" i="3" l="1"/>
  <c r="F1179" i="3" s="1"/>
  <c r="G1179" i="3" l="1"/>
  <c r="H1179" i="3" s="1"/>
  <c r="B1180" i="3" s="1"/>
  <c r="E1180" i="3" s="1"/>
  <c r="C1179" i="3"/>
  <c r="F1180" i="3" l="1"/>
  <c r="G1180" i="3" s="1"/>
  <c r="H1180" i="3" s="1"/>
  <c r="B1181" i="3" s="1"/>
  <c r="E1181" i="3" s="1"/>
  <c r="C1180" i="3"/>
  <c r="F1181" i="3" l="1"/>
  <c r="G1181" i="3" s="1"/>
  <c r="H1181" i="3" s="1"/>
  <c r="B1182" i="3" s="1"/>
  <c r="F1182" i="3" s="1"/>
  <c r="G1182" i="3" s="1"/>
  <c r="H1182" i="3" s="1"/>
  <c r="C1181" i="3"/>
  <c r="E1182" i="3" l="1"/>
  <c r="C1182" i="3"/>
  <c r="B1183" i="3"/>
  <c r="E1183" i="3" l="1"/>
  <c r="F1183" i="3" l="1"/>
  <c r="G1183" i="3" s="1"/>
  <c r="H1183" i="3" s="1"/>
  <c r="B1184" i="3" s="1"/>
  <c r="E1184" i="3" l="1"/>
  <c r="C1183" i="3"/>
  <c r="F1184" i="3" l="1"/>
  <c r="G1184" i="3" s="1"/>
  <c r="H1184" i="3" s="1"/>
  <c r="B1185" i="3" s="1"/>
  <c r="E1185" i="3" l="1"/>
  <c r="F1185" i="3" s="1"/>
  <c r="C1184" i="3"/>
  <c r="G1185" i="3" l="1"/>
  <c r="H1185" i="3" s="1"/>
  <c r="B1186" i="3" s="1"/>
  <c r="C1185" i="3"/>
  <c r="E1186" i="3" l="1"/>
  <c r="C1186" i="3" s="1"/>
  <c r="F1186" i="3"/>
  <c r="G1186" i="3" s="1"/>
  <c r="H1186" i="3" s="1"/>
  <c r="B1187" i="3" s="1"/>
  <c r="E1187" i="3" l="1"/>
  <c r="F1187" i="3" s="1"/>
  <c r="G1187" i="3" s="1"/>
  <c r="H1187" i="3" s="1"/>
  <c r="B1188" i="3" s="1"/>
  <c r="E1188" i="3" l="1"/>
  <c r="F1188" i="3"/>
  <c r="G1188" i="3" s="1"/>
  <c r="H1188" i="3"/>
  <c r="B1189" i="3" s="1"/>
  <c r="C1187" i="3"/>
  <c r="E1189" i="3" l="1"/>
  <c r="F1189" i="3" s="1"/>
  <c r="C1188" i="3"/>
  <c r="G1189" i="3" l="1"/>
  <c r="H1189" i="3" s="1"/>
  <c r="B1190" i="3" s="1"/>
  <c r="C1189" i="3"/>
  <c r="E1190" i="3" l="1"/>
  <c r="C1190" i="3" s="1"/>
  <c r="F1190" i="3"/>
  <c r="G1190" i="3" s="1"/>
  <c r="H1190" i="3" s="1"/>
  <c r="B1191" i="3" s="1"/>
  <c r="E1191" i="3" l="1"/>
  <c r="F1191" i="3" s="1"/>
  <c r="G1191" i="3" s="1"/>
  <c r="H1191" i="3" s="1"/>
  <c r="B1192" i="3" s="1"/>
  <c r="E1192" i="3" l="1"/>
  <c r="F1192" i="3"/>
  <c r="G1192" i="3" s="1"/>
  <c r="H1192" i="3" s="1"/>
  <c r="B1193" i="3" s="1"/>
  <c r="C1191" i="3"/>
  <c r="E1193" i="3" l="1"/>
  <c r="F1193" i="3"/>
  <c r="G1193" i="3" s="1"/>
  <c r="H1193" i="3" s="1"/>
  <c r="B1194" i="3" s="1"/>
  <c r="C1193" i="3"/>
  <c r="C1192" i="3"/>
  <c r="E1194" i="3" l="1"/>
  <c r="F1194" i="3" s="1"/>
  <c r="G1194" i="3" l="1"/>
  <c r="H1194" i="3" s="1"/>
  <c r="B1195" i="3" s="1"/>
  <c r="C1194" i="3"/>
  <c r="E1195" i="3" l="1"/>
  <c r="F1195" i="3" l="1"/>
  <c r="G1195" i="3" s="1"/>
  <c r="H1195" i="3" s="1"/>
  <c r="B1196" i="3" s="1"/>
  <c r="E1196" i="3" s="1"/>
  <c r="C1196" i="3" l="1"/>
  <c r="F1196" i="3"/>
  <c r="G1196" i="3" s="1"/>
  <c r="H1196" i="3" s="1"/>
  <c r="B1197" i="3" s="1"/>
  <c r="C1195" i="3"/>
  <c r="E1197" i="3" l="1"/>
  <c r="F1197" i="3" s="1"/>
  <c r="G1197" i="3" l="1"/>
  <c r="H1197" i="3" s="1"/>
  <c r="B1198" i="3" s="1"/>
  <c r="E1198" i="3" s="1"/>
  <c r="C1197" i="3"/>
  <c r="F1198" i="3" l="1"/>
  <c r="G1198" i="3" l="1"/>
  <c r="H1198" i="3" s="1"/>
  <c r="B1199" i="3" s="1"/>
  <c r="E1199" i="3" s="1"/>
  <c r="F1199" i="3" s="1"/>
  <c r="G1199" i="3" s="1"/>
  <c r="H1199" i="3" s="1"/>
  <c r="C1198" i="3"/>
  <c r="C1199" i="3" l="1"/>
  <c r="B1200" i="3"/>
  <c r="E1200" i="3" l="1"/>
  <c r="F1200" i="3" s="1"/>
  <c r="G1200" i="3" s="1"/>
  <c r="H1200" i="3" s="1"/>
  <c r="B1201" i="3" s="1"/>
  <c r="C1200" i="3" l="1"/>
  <c r="E1201" i="3"/>
  <c r="F1201" i="3"/>
  <c r="G1201" i="3" s="1"/>
  <c r="H1201" i="3" s="1"/>
  <c r="C1201" i="3"/>
  <c r="B1202" i="3" l="1"/>
  <c r="E1202" i="3" l="1"/>
  <c r="F1202" i="3" s="1"/>
  <c r="G1202" i="3" s="1"/>
  <c r="H1202" i="3" s="1"/>
  <c r="C1202" i="3" l="1"/>
  <c r="B1203" i="3"/>
  <c r="H1203" i="3" s="1"/>
  <c r="E1203" i="3"/>
  <c r="C1203" i="3" s="1"/>
  <c r="F1203" i="3"/>
  <c r="G1203" i="3" s="1"/>
  <c r="B1204" i="3" l="1"/>
  <c r="C1204" i="3" s="1"/>
  <c r="F1204" i="3" l="1"/>
  <c r="G1204" i="3" s="1"/>
  <c r="E1204" i="3"/>
  <c r="H1204" i="3"/>
  <c r="B1205" i="3" s="1"/>
  <c r="E1205" i="3" s="1"/>
  <c r="F1205" i="3" s="1"/>
  <c r="G1205" i="3" l="1"/>
  <c r="H1205" i="3" s="1"/>
  <c r="B1206" i="3" s="1"/>
  <c r="C1205" i="3"/>
  <c r="E1206" i="3" l="1"/>
  <c r="F1206" i="3"/>
  <c r="G1206" i="3" s="1"/>
  <c r="H1206" i="3"/>
  <c r="C1206" i="3"/>
  <c r="B1207" i="3" l="1"/>
  <c r="E1207" i="3" s="1"/>
  <c r="C1207" i="3" s="1"/>
  <c r="F1207" i="3" l="1"/>
  <c r="G1207" i="3" s="1"/>
  <c r="H1207" i="3" s="1"/>
  <c r="B1208" i="3" s="1"/>
  <c r="E1208" i="3" l="1"/>
  <c r="F1208" i="3" s="1"/>
  <c r="G1208" i="3" s="1"/>
  <c r="H1208" i="3" s="1"/>
  <c r="B1209" i="3" s="1"/>
  <c r="C1208" i="3" l="1"/>
  <c r="E1209" i="3"/>
  <c r="F1209" i="3"/>
  <c r="G1209" i="3" s="1"/>
  <c r="H1209" i="3" s="1"/>
  <c r="C1209" i="3"/>
  <c r="B1210" i="3" l="1"/>
  <c r="E1210" i="3" l="1"/>
  <c r="F1210" i="3"/>
  <c r="G1210" i="3" s="1"/>
  <c r="H1210" i="3" s="1"/>
  <c r="C1210" i="3" l="1"/>
  <c r="B1211" i="3"/>
  <c r="E1211" i="3" l="1"/>
  <c r="F1211" i="3" s="1"/>
  <c r="G1211" i="3" s="1"/>
  <c r="H1211" i="3" s="1"/>
  <c r="B1212" i="3" s="1"/>
  <c r="C1211" i="3" l="1"/>
  <c r="E1212" i="3"/>
  <c r="F1212" i="3" s="1"/>
  <c r="G1212" i="3" s="1"/>
  <c r="H1212" i="3" s="1"/>
  <c r="C1212" i="3" l="1"/>
  <c r="B1213" i="3"/>
  <c r="E1213" i="3" l="1"/>
  <c r="F1213" i="3" l="1"/>
  <c r="G1213" i="3" s="1"/>
  <c r="H1213" i="3" s="1"/>
  <c r="B1214" i="3" s="1"/>
  <c r="C1213" i="3" l="1"/>
  <c r="E1214" i="3"/>
  <c r="C1214" i="3" s="1"/>
  <c r="F1214" i="3"/>
  <c r="G1214" i="3" s="1"/>
  <c r="H1214" i="3" s="1"/>
  <c r="B1215" i="3" l="1"/>
  <c r="E1215" i="3"/>
  <c r="F1215" i="3"/>
  <c r="G1215" i="3" s="1"/>
  <c r="H1215" i="3"/>
  <c r="B1216" i="3" s="1"/>
  <c r="C1215" i="3" l="1"/>
  <c r="E1216" i="3"/>
  <c r="C1216" i="3" s="1"/>
  <c r="F1216" i="3"/>
  <c r="G1216" i="3" s="1"/>
  <c r="H1216" i="3" s="1"/>
  <c r="B1217" i="3" l="1"/>
  <c r="E1217" i="3" l="1"/>
  <c r="F1217" i="3" l="1"/>
  <c r="G1217" i="3" s="1"/>
  <c r="H1217" i="3" s="1"/>
  <c r="B1218" i="3" s="1"/>
  <c r="C1217" i="3" l="1"/>
  <c r="E1218" i="3"/>
  <c r="F1218" i="3" s="1"/>
  <c r="G1218" i="3" l="1"/>
  <c r="H1218" i="3" s="1"/>
  <c r="B1219" i="3" s="1"/>
  <c r="C1218" i="3"/>
  <c r="E1219" i="3" l="1"/>
  <c r="F1219" i="3" s="1"/>
  <c r="G1219" i="3" s="1"/>
  <c r="H1219" i="3" s="1"/>
  <c r="B1220" i="3" s="1"/>
  <c r="C1219" i="3" l="1"/>
  <c r="E1220" i="3"/>
  <c r="F1220" i="3" s="1"/>
  <c r="G1220" i="3" s="1"/>
  <c r="H1220" i="3" s="1"/>
  <c r="C1220" i="3" l="1"/>
  <c r="B1221" i="3"/>
  <c r="E1221" i="3" l="1"/>
  <c r="F1221" i="3" s="1"/>
  <c r="G1221" i="3" l="1"/>
  <c r="H1221" i="3" s="1"/>
  <c r="B1222" i="3" s="1"/>
  <c r="C1221" i="3"/>
  <c r="E1222" i="3" l="1"/>
  <c r="C1222" i="3" s="1"/>
  <c r="F1222" i="3"/>
  <c r="G1222" i="3" s="1"/>
  <c r="H1222" i="3" s="1"/>
  <c r="B1223" i="3" s="1"/>
  <c r="E1223" i="3" l="1"/>
  <c r="F1223" i="3" s="1"/>
  <c r="G1223" i="3" s="1"/>
  <c r="H1223" i="3" s="1"/>
  <c r="C1223" i="3" l="1"/>
  <c r="B1224" i="3"/>
  <c r="E1224" i="3" l="1"/>
  <c r="C1224" i="3" s="1"/>
  <c r="F1224" i="3"/>
  <c r="G1224" i="3" s="1"/>
  <c r="H1224" i="3" s="1"/>
  <c r="B1225" i="3" l="1"/>
  <c r="E1225" i="3" l="1"/>
  <c r="F1225" i="3"/>
  <c r="G1225" i="3" s="1"/>
  <c r="H1225" i="3" s="1"/>
  <c r="C1225" i="3"/>
  <c r="B1226" i="3" l="1"/>
  <c r="E1226" i="3" l="1"/>
  <c r="F1226" i="3" s="1"/>
  <c r="G1226" i="3" l="1"/>
  <c r="H1226" i="3" s="1"/>
  <c r="B1227" i="3" s="1"/>
  <c r="C1226" i="3"/>
  <c r="E1227" i="3" l="1"/>
  <c r="C1227" i="3" s="1"/>
  <c r="F1227" i="3"/>
  <c r="G1227" i="3" s="1"/>
  <c r="H1227" i="3" s="1"/>
  <c r="B1228" i="3" l="1"/>
  <c r="E1228" i="3" s="1"/>
  <c r="F1228" i="3" l="1"/>
  <c r="G1228" i="3" s="1"/>
  <c r="H1228" i="3" s="1"/>
  <c r="B1229" i="3" s="1"/>
  <c r="C1228" i="3" l="1"/>
  <c r="E1229" i="3"/>
  <c r="F1229" i="3" s="1"/>
  <c r="G1229" i="3" l="1"/>
  <c r="H1229" i="3" s="1"/>
  <c r="B1230" i="3" s="1"/>
  <c r="C1229" i="3"/>
  <c r="E1230" i="3" l="1"/>
  <c r="F1230" i="3"/>
  <c r="G1230" i="3" s="1"/>
  <c r="H1230" i="3"/>
  <c r="C1230" i="3" l="1"/>
  <c r="B1231" i="3"/>
  <c r="E1231" i="3" l="1"/>
  <c r="F1231" i="3" s="1"/>
  <c r="G1231" i="3" s="1"/>
  <c r="H1231" i="3" s="1"/>
  <c r="C1231" i="3" l="1"/>
  <c r="B1232" i="3"/>
  <c r="E1232" i="3" l="1"/>
  <c r="C1232" i="3" s="1"/>
  <c r="F1232" i="3"/>
  <c r="G1232" i="3" s="1"/>
  <c r="H1232" i="3" s="1"/>
  <c r="B1233" i="3" l="1"/>
  <c r="E1233" i="3" l="1"/>
  <c r="F1233" i="3" s="1"/>
  <c r="G1233" i="3" l="1"/>
  <c r="H1233" i="3" s="1"/>
  <c r="B1234" i="3" s="1"/>
  <c r="C1233" i="3"/>
  <c r="E1234" i="3" l="1"/>
  <c r="F1234" i="3" s="1"/>
  <c r="G1234" i="3" s="1"/>
  <c r="H1234" i="3" s="1"/>
  <c r="B1235" i="3" s="1"/>
  <c r="C1234" i="3" l="1"/>
  <c r="E1235" i="3"/>
  <c r="F1235" i="3" s="1"/>
  <c r="G1235" i="3" s="1"/>
  <c r="H1235" i="3" s="1"/>
  <c r="C1235" i="3" l="1"/>
  <c r="B1236" i="3"/>
  <c r="E1236" i="3" l="1"/>
  <c r="C1236" i="3" s="1"/>
  <c r="F1236" i="3"/>
  <c r="G1236" i="3" s="1"/>
  <c r="H1236" i="3" s="1"/>
  <c r="B1237" i="3" s="1"/>
  <c r="E1237" i="3" l="1"/>
  <c r="F1237" i="3" s="1"/>
  <c r="G1237" i="3" s="1"/>
  <c r="H1237" i="3" s="1"/>
  <c r="C1237" i="3" l="1"/>
  <c r="B1238" i="3"/>
  <c r="E1238" i="3" s="1"/>
  <c r="C1238" i="3" l="1"/>
  <c r="H1238" i="3"/>
  <c r="F1238" i="3"/>
  <c r="G1238" i="3" s="1"/>
  <c r="B1239" i="3" l="1"/>
  <c r="E1239" i="3" s="1"/>
  <c r="F1239" i="3" l="1"/>
  <c r="G1239" i="3" s="1"/>
  <c r="H1239" i="3" s="1"/>
  <c r="B1240" i="3" s="1"/>
  <c r="F1240" i="3" s="1"/>
  <c r="G1240" i="3" s="1"/>
  <c r="C1239" i="3"/>
  <c r="E1240" i="3"/>
  <c r="C1240" i="3"/>
  <c r="H1240" i="3"/>
  <c r="B1241" i="3" l="1"/>
  <c r="E1241" i="3"/>
  <c r="C1241" i="3" s="1"/>
  <c r="F1241" i="3"/>
  <c r="G1241" i="3" s="1"/>
  <c r="H1241" i="3" s="1"/>
  <c r="B1242" i="3" l="1"/>
  <c r="E1242" i="3" l="1"/>
  <c r="F1242" i="3"/>
  <c r="G1242" i="3" s="1"/>
  <c r="H1242" i="3" s="1"/>
  <c r="C1242" i="3" l="1"/>
  <c r="B1243" i="3"/>
  <c r="E1243" i="3" l="1"/>
  <c r="C1243" i="3" s="1"/>
  <c r="F1243" i="3"/>
  <c r="G1243" i="3" s="1"/>
  <c r="H1243" i="3"/>
  <c r="B1244" i="3" l="1"/>
  <c r="E1244" i="3" l="1"/>
  <c r="F1244" i="3"/>
  <c r="G1244" i="3" s="1"/>
  <c r="C1244" i="3"/>
  <c r="H1244" i="3"/>
  <c r="B1245" i="3" l="1"/>
  <c r="E1245" i="3" l="1"/>
  <c r="F1245" i="3" s="1"/>
  <c r="G1245" i="3" l="1"/>
  <c r="H1245" i="3" s="1"/>
  <c r="C1245" i="3"/>
  <c r="B1246" i="3"/>
  <c r="E1246" i="3" l="1"/>
  <c r="C1246" i="3" s="1"/>
  <c r="F1246" i="3"/>
  <c r="G1246" i="3" s="1"/>
  <c r="H1246" i="3"/>
  <c r="B1247" i="3" s="1"/>
  <c r="E1247" i="3" l="1"/>
  <c r="C1247" i="3" s="1"/>
  <c r="F1247" i="3"/>
  <c r="G1247" i="3" s="1"/>
  <c r="H1247" i="3" s="1"/>
  <c r="B1248" i="3" l="1"/>
  <c r="E1248" i="3" l="1"/>
  <c r="F1248" i="3" s="1"/>
  <c r="G1248" i="3" s="1"/>
  <c r="H1248" i="3" s="1"/>
  <c r="B1249" i="3" s="1"/>
  <c r="C1248" i="3" l="1"/>
  <c r="E1249" i="3"/>
  <c r="F1249" i="3" s="1"/>
  <c r="G1249" i="3" s="1"/>
  <c r="H1249" i="3" s="1"/>
  <c r="C1249" i="3" l="1"/>
  <c r="B1250" i="3"/>
  <c r="E1250" i="3" l="1"/>
  <c r="F1250" i="3" s="1"/>
  <c r="G1250" i="3" s="1"/>
  <c r="H1250" i="3" s="1"/>
  <c r="C1250" i="3" l="1"/>
  <c r="B1251" i="3"/>
  <c r="E1251" i="3" l="1"/>
  <c r="C1251" i="3" s="1"/>
  <c r="F1251" i="3"/>
  <c r="G1251" i="3" s="1"/>
  <c r="H1251" i="3" s="1"/>
  <c r="B1252" i="3" s="1"/>
  <c r="E1252" i="3" l="1"/>
  <c r="F1252" i="3"/>
  <c r="G1252" i="3" s="1"/>
  <c r="C1252" i="3"/>
  <c r="H1252" i="3"/>
  <c r="B1253" i="3" s="1"/>
  <c r="E1253" i="3" l="1"/>
  <c r="F1253" i="3" l="1"/>
  <c r="G1253" i="3" s="1"/>
  <c r="H1253" i="3" s="1"/>
  <c r="B1254" i="3" s="1"/>
  <c r="C1253" i="3" l="1"/>
  <c r="E1254" i="3"/>
  <c r="F1254" i="3" s="1"/>
  <c r="G1254" i="3" s="1"/>
  <c r="H1254" i="3" s="1"/>
  <c r="B1255" i="3" s="1"/>
  <c r="C1254" i="3" l="1"/>
  <c r="E1255" i="3"/>
  <c r="F1255" i="3" s="1"/>
  <c r="G1255" i="3" s="1"/>
  <c r="H1255" i="3" s="1"/>
  <c r="B1256" i="3" s="1"/>
  <c r="C1255" i="3" l="1"/>
  <c r="E1256" i="3"/>
  <c r="F1256" i="3" s="1"/>
  <c r="G1256" i="3" s="1"/>
  <c r="H1256" i="3" s="1"/>
  <c r="B1257" i="3" s="1"/>
  <c r="C1256" i="3" l="1"/>
  <c r="E1257" i="3"/>
  <c r="F1257" i="3" l="1"/>
  <c r="G1257" i="3" s="1"/>
  <c r="H1257" i="3" s="1"/>
  <c r="B1258" i="3" s="1"/>
  <c r="E1258" i="3" s="1"/>
  <c r="F1258" i="3" s="1"/>
  <c r="G1258" i="3" s="1"/>
  <c r="H1258" i="3" s="1"/>
  <c r="B1259" i="3" s="1"/>
  <c r="C1258" i="3" l="1"/>
  <c r="C1257" i="3"/>
  <c r="E1259" i="3"/>
  <c r="C1259" i="3" s="1"/>
  <c r="F1259" i="3"/>
  <c r="G1259" i="3" s="1"/>
  <c r="H1259" i="3" s="1"/>
  <c r="B1260" i="3" l="1"/>
  <c r="E1260" i="3" l="1"/>
  <c r="C1260" i="3" s="1"/>
  <c r="F1260" i="3"/>
  <c r="G1260" i="3" s="1"/>
  <c r="H1260" i="3" s="1"/>
  <c r="B1261" i="3" s="1"/>
  <c r="E1261" i="3" l="1"/>
  <c r="F1261" i="3" s="1"/>
  <c r="G1261" i="3" l="1"/>
  <c r="H1261" i="3" s="1"/>
  <c r="C1261" i="3"/>
  <c r="B1262" i="3"/>
  <c r="E1262" i="3" l="1"/>
  <c r="F1262" i="3"/>
  <c r="G1262" i="3" s="1"/>
  <c r="C1262" i="3"/>
  <c r="H1262" i="3"/>
  <c r="B1263" i="3" l="1"/>
  <c r="E1263" i="3" s="1"/>
  <c r="C1263" i="3" s="1"/>
  <c r="F1263" i="3" l="1"/>
  <c r="G1263" i="3" s="1"/>
  <c r="H1263" i="3" s="1"/>
  <c r="B1264" i="3"/>
  <c r="E1264" i="3" l="1"/>
  <c r="F1264" i="3" s="1"/>
  <c r="G1264" i="3" s="1"/>
  <c r="H1264" i="3" s="1"/>
  <c r="B1265" i="3" s="1"/>
  <c r="C1264" i="3" l="1"/>
  <c r="E1265" i="3"/>
  <c r="F1265" i="3"/>
  <c r="G1265" i="3" s="1"/>
  <c r="H1265" i="3" s="1"/>
  <c r="C1265" i="3"/>
  <c r="B1266" i="3" l="1"/>
  <c r="E1266" i="3" l="1"/>
  <c r="F1266" i="3" l="1"/>
  <c r="G1266" i="3" s="1"/>
  <c r="H1266" i="3" s="1"/>
  <c r="B1267" i="3"/>
  <c r="C1266" i="3" l="1"/>
  <c r="E1267" i="3"/>
  <c r="C1267" i="3" s="1"/>
  <c r="F1267" i="3"/>
  <c r="G1267" i="3" s="1"/>
  <c r="H1267" i="3" s="1"/>
  <c r="B1268" i="3" l="1"/>
  <c r="E1268" i="3" s="1"/>
  <c r="F1268" i="3" s="1"/>
  <c r="G1268" i="3" s="1"/>
  <c r="H1268" i="3" l="1"/>
  <c r="B1269" i="3" s="1"/>
  <c r="C1268" i="3"/>
  <c r="E1269" i="3" l="1"/>
  <c r="F1269" i="3" s="1"/>
  <c r="G1269" i="3" l="1"/>
  <c r="H1269" i="3" s="1"/>
  <c r="B1270" i="3" s="1"/>
  <c r="E1270" i="3" s="1"/>
  <c r="C1270" i="3" s="1"/>
  <c r="C1269" i="3"/>
  <c r="F1270" i="3" l="1"/>
  <c r="G1270" i="3" s="1"/>
  <c r="H1270" i="3" s="1"/>
  <c r="B1271" i="3" s="1"/>
  <c r="E1271" i="3" l="1"/>
  <c r="F1271" i="3" l="1"/>
  <c r="G1271" i="3" s="1"/>
  <c r="H1271" i="3" s="1"/>
  <c r="B1272" i="3" s="1"/>
  <c r="C1271" i="3" l="1"/>
  <c r="E1272" i="3"/>
  <c r="F1272" i="3"/>
  <c r="G1272" i="3" s="1"/>
  <c r="C1272" i="3"/>
  <c r="H1272" i="3"/>
  <c r="B1273" i="3" l="1"/>
  <c r="E1273" i="3" l="1"/>
  <c r="F1273" i="3" l="1"/>
  <c r="G1273" i="3" s="1"/>
  <c r="H1273" i="3" s="1"/>
  <c r="B1274" i="3" s="1"/>
  <c r="E1274" i="3" s="1"/>
  <c r="F1274" i="3" s="1"/>
  <c r="G1274" i="3" l="1"/>
  <c r="H1274" i="3" s="1"/>
  <c r="B1275" i="3" s="1"/>
  <c r="C1274" i="3"/>
  <c r="C1273" i="3"/>
  <c r="E1275" i="3" l="1"/>
  <c r="C1275" i="3" s="1"/>
  <c r="F1275" i="3"/>
  <c r="G1275" i="3" s="1"/>
  <c r="H1275" i="3"/>
  <c r="B1276" i="3" l="1"/>
  <c r="E1276" i="3" s="1"/>
  <c r="F1276" i="3" s="1"/>
  <c r="G1276" i="3" s="1"/>
  <c r="H1276" i="3" s="1"/>
  <c r="B1277" i="3" s="1"/>
  <c r="C1276" i="3" l="1"/>
  <c r="E1277" i="3"/>
  <c r="F1277" i="3"/>
  <c r="G1277" i="3" s="1"/>
  <c r="H1277" i="3" s="1"/>
  <c r="C1277" i="3" l="1"/>
  <c r="B1278" i="3"/>
  <c r="E1278" i="3" l="1"/>
  <c r="F1278" i="3" s="1"/>
  <c r="G1278" i="3" l="1"/>
  <c r="H1278" i="3" s="1"/>
  <c r="B1279" i="3" s="1"/>
  <c r="C1278" i="3"/>
  <c r="E1279" i="3" l="1"/>
  <c r="F1279" i="3"/>
  <c r="G1279" i="3" s="1"/>
  <c r="H1279" i="3" s="1"/>
  <c r="B1280" i="3" s="1"/>
  <c r="C1279" i="3" l="1"/>
  <c r="E1280" i="3"/>
  <c r="F1280" i="3"/>
  <c r="G1280" i="3" s="1"/>
  <c r="C1280" i="3"/>
  <c r="H1280" i="3"/>
  <c r="B1281" i="3" s="1"/>
  <c r="E1281" i="3" l="1"/>
  <c r="F1281" i="3" s="1"/>
  <c r="G1281" i="3" s="1"/>
  <c r="H1281" i="3" s="1"/>
  <c r="C1281" i="3" l="1"/>
  <c r="B1282" i="3"/>
  <c r="E1282" i="3" l="1"/>
  <c r="F1282" i="3" s="1"/>
  <c r="G1282" i="3" l="1"/>
  <c r="H1282" i="3" s="1"/>
  <c r="B1283" i="3" s="1"/>
  <c r="F1283" i="3" s="1"/>
  <c r="G1283" i="3" s="1"/>
  <c r="H1283" i="3" s="1"/>
  <c r="C1282" i="3"/>
  <c r="E1283" i="3" l="1"/>
  <c r="C1283" i="3" s="1"/>
  <c r="B1284" i="3"/>
  <c r="E1284" i="3" l="1"/>
  <c r="C1284" i="3" s="1"/>
  <c r="F1284" i="3"/>
  <c r="G1284" i="3" s="1"/>
  <c r="H1284" i="3" s="1"/>
  <c r="B1285" i="3" l="1"/>
  <c r="E1285" i="3" l="1"/>
  <c r="F1285" i="3" s="1"/>
  <c r="G1285" i="3" l="1"/>
  <c r="H1285" i="3" s="1"/>
  <c r="B1286" i="3" s="1"/>
  <c r="C1285" i="3"/>
  <c r="E1286" i="3" l="1"/>
  <c r="C1286" i="3" s="1"/>
  <c r="F1286" i="3"/>
  <c r="G1286" i="3" s="1"/>
  <c r="H1286" i="3" s="1"/>
  <c r="B1287" i="3" s="1"/>
  <c r="E1287" i="3" l="1"/>
  <c r="C1287" i="3" s="1"/>
  <c r="F1287" i="3"/>
  <c r="G1287" i="3" s="1"/>
  <c r="H1287" i="3" s="1"/>
  <c r="B1288" i="3" l="1"/>
  <c r="E1288" i="3" s="1"/>
  <c r="F1288" i="3" l="1"/>
  <c r="G1288" i="3" s="1"/>
  <c r="H1288" i="3" s="1"/>
  <c r="C1288" i="3" l="1"/>
  <c r="B1289" i="3"/>
  <c r="E1289" i="3" l="1"/>
  <c r="F1289" i="3" l="1"/>
  <c r="G1289" i="3" s="1"/>
  <c r="H1289" i="3" s="1"/>
  <c r="B1290" i="3" s="1"/>
  <c r="E1290" i="3" s="1"/>
  <c r="F1290" i="3" l="1"/>
  <c r="C1289" i="3"/>
  <c r="G1290" i="3" l="1"/>
  <c r="H1290" i="3" s="1"/>
  <c r="B1291" i="3" s="1"/>
  <c r="C1290" i="3"/>
  <c r="E1291" i="3" l="1"/>
  <c r="C1291" i="3" s="1"/>
  <c r="F1291" i="3"/>
  <c r="G1291" i="3" s="1"/>
  <c r="H1291" i="3" s="1"/>
  <c r="B1292" i="3" s="1"/>
  <c r="E1292" i="3" l="1"/>
  <c r="F1292" i="3"/>
  <c r="G1292" i="3" s="1"/>
  <c r="C1292" i="3"/>
  <c r="H1292" i="3"/>
  <c r="B1293" i="3" s="1"/>
  <c r="E1293" i="3" l="1"/>
  <c r="F1293" i="3" s="1"/>
  <c r="G1293" i="3" l="1"/>
  <c r="H1293" i="3" s="1"/>
  <c r="B1294" i="3" s="1"/>
  <c r="C1293" i="3"/>
  <c r="E1294" i="3" l="1"/>
  <c r="F1294" i="3" s="1"/>
  <c r="G1294" i="3" l="1"/>
  <c r="H1294" i="3" s="1"/>
  <c r="B1295" i="3" s="1"/>
  <c r="C1294" i="3"/>
  <c r="E1295" i="3" l="1"/>
  <c r="C1295" i="3" s="1"/>
  <c r="F1295" i="3"/>
  <c r="G1295" i="3" s="1"/>
  <c r="H1295" i="3" s="1"/>
  <c r="B1296" i="3" s="1"/>
  <c r="E1296" i="3" l="1"/>
  <c r="F1296" i="3" s="1"/>
  <c r="G1296" i="3" l="1"/>
  <c r="H1296" i="3" s="1"/>
  <c r="B1297" i="3" s="1"/>
  <c r="C1296" i="3"/>
  <c r="E1297" i="3" l="1"/>
  <c r="F1297" i="3" s="1"/>
  <c r="G1297" i="3" s="1"/>
  <c r="H1297" i="3" s="1"/>
  <c r="B1298" i="3" s="1"/>
  <c r="E1298" i="3" l="1"/>
  <c r="F1298" i="3" s="1"/>
  <c r="G1298" i="3" s="1"/>
  <c r="H1298" i="3" s="1"/>
  <c r="B1299" i="3" s="1"/>
  <c r="C1297" i="3"/>
  <c r="E1299" i="3" l="1"/>
  <c r="C1299" i="3" s="1"/>
  <c r="F1299" i="3"/>
  <c r="G1299" i="3" s="1"/>
  <c r="H1299" i="3" s="1"/>
  <c r="B1300" i="3" s="1"/>
  <c r="C1298" i="3"/>
  <c r="E1300" i="3" l="1"/>
  <c r="C1300" i="3" s="1"/>
  <c r="F1300" i="3"/>
  <c r="G1300" i="3" s="1"/>
  <c r="H1300" i="3" s="1"/>
  <c r="B1301" i="3" s="1"/>
  <c r="E1301" i="3" l="1"/>
  <c r="F1301" i="3" s="1"/>
  <c r="G1301" i="3" l="1"/>
  <c r="H1301" i="3" s="1"/>
  <c r="B1302" i="3" s="1"/>
  <c r="C1301" i="3"/>
  <c r="E1302" i="3" l="1"/>
  <c r="C1302" i="3" s="1"/>
  <c r="F1302" i="3"/>
  <c r="G1302" i="3" s="1"/>
  <c r="H1302" i="3" s="1"/>
  <c r="B1303" i="3" s="1"/>
  <c r="F1303" i="3" l="1"/>
  <c r="G1303" i="3" s="1"/>
  <c r="H1303" i="3" s="1"/>
  <c r="B1304" i="3" s="1"/>
  <c r="E1303" i="3"/>
  <c r="C1303" i="3" s="1"/>
  <c r="E1304" i="3" l="1"/>
  <c r="F1304" i="3"/>
  <c r="G1304" i="3" s="1"/>
  <c r="C1304" i="3"/>
  <c r="H1304" i="3"/>
  <c r="B1305" i="3" s="1"/>
  <c r="E1305" i="3" l="1"/>
  <c r="F1305" i="3" s="1"/>
  <c r="G1305" i="3" s="1"/>
  <c r="H1305" i="3" s="1"/>
  <c r="B1306" i="3" s="1"/>
  <c r="C1305" i="3" l="1"/>
  <c r="E1306" i="3"/>
  <c r="C1306" i="3" s="1"/>
  <c r="F1306" i="3"/>
  <c r="G1306" i="3" s="1"/>
  <c r="H1306" i="3"/>
  <c r="B1307" i="3" l="1"/>
  <c r="E1307" i="3" l="1"/>
  <c r="F1307" i="3"/>
  <c r="G1307" i="3" s="1"/>
  <c r="H1307" i="3"/>
  <c r="B1308" i="3" s="1"/>
  <c r="C1307" i="3" l="1"/>
  <c r="E1308" i="3"/>
  <c r="F1308" i="3"/>
  <c r="G1308" i="3" s="1"/>
  <c r="C1308" i="3"/>
  <c r="H1308" i="3"/>
  <c r="B1309" i="3" l="1"/>
  <c r="E1309" i="3" s="1"/>
  <c r="F1309" i="3" s="1"/>
  <c r="G1309" i="3" l="1"/>
  <c r="H1309" i="3" s="1"/>
  <c r="C1309" i="3"/>
  <c r="B1310" i="3"/>
  <c r="E1310" i="3" l="1"/>
  <c r="F1310" i="3"/>
  <c r="G1310" i="3" s="1"/>
  <c r="H1310" i="3" s="1"/>
  <c r="C1310" i="3" l="1"/>
  <c r="B1311" i="3"/>
  <c r="E1311" i="3" l="1"/>
  <c r="F1311" i="3" s="1"/>
  <c r="G1311" i="3" s="1"/>
  <c r="H1311" i="3" s="1"/>
  <c r="C1311" i="3" l="1"/>
  <c r="B1312" i="3"/>
  <c r="E1312" i="3" s="1"/>
  <c r="F1312" i="3" l="1"/>
  <c r="G1312" i="3" s="1"/>
  <c r="H1312" i="3" s="1"/>
  <c r="C1312" i="3" l="1"/>
  <c r="B1313" i="3"/>
  <c r="E1313" i="3" l="1"/>
  <c r="F1313" i="3" s="1"/>
  <c r="G1313" i="3" s="1"/>
  <c r="H1313" i="3" s="1"/>
  <c r="B1314" i="3" s="1"/>
  <c r="E1314" i="3" l="1"/>
  <c r="F1314" i="3"/>
  <c r="G1314" i="3" s="1"/>
  <c r="C1314" i="3"/>
  <c r="C1313" i="3"/>
  <c r="H1314" i="3"/>
  <c r="B1315" i="3" s="1"/>
  <c r="E1315" i="3" s="1"/>
  <c r="F1315" i="3" l="1"/>
  <c r="G1315" i="3" s="1"/>
  <c r="H1315" i="3" s="1"/>
  <c r="B1316" i="3" s="1"/>
  <c r="C1315" i="3" l="1"/>
  <c r="E1316" i="3"/>
  <c r="F1316" i="3" s="1"/>
  <c r="G1316" i="3" l="1"/>
  <c r="H1316" i="3" s="1"/>
  <c r="B1317" i="3" s="1"/>
  <c r="C1316" i="3"/>
  <c r="E1317" i="3" l="1"/>
  <c r="F1317" i="3" s="1"/>
  <c r="G1317" i="3" s="1"/>
  <c r="H1317" i="3" s="1"/>
  <c r="B1318" i="3" s="1"/>
  <c r="E1318" i="3" l="1"/>
  <c r="F1318" i="3" s="1"/>
  <c r="G1318" i="3" s="1"/>
  <c r="H1318" i="3" s="1"/>
  <c r="B1319" i="3" s="1"/>
  <c r="C1317" i="3"/>
  <c r="E1319" i="3" l="1"/>
  <c r="F1319" i="3" s="1"/>
  <c r="G1319" i="3" s="1"/>
  <c r="H1319" i="3" s="1"/>
  <c r="B1320" i="3" s="1"/>
  <c r="C1318" i="3"/>
  <c r="C1319" i="3" l="1"/>
  <c r="E1320" i="3"/>
  <c r="F1320" i="3" s="1"/>
  <c r="G1320" i="3" s="1"/>
  <c r="H1320" i="3" s="1"/>
  <c r="B1321" i="3" s="1"/>
  <c r="C1320" i="3" l="1"/>
  <c r="E1321" i="3"/>
  <c r="F1321" i="3" l="1"/>
  <c r="G1321" i="3" s="1"/>
  <c r="H1321" i="3" s="1"/>
  <c r="B1322" i="3" s="1"/>
  <c r="C1321" i="3" l="1"/>
  <c r="E1322" i="3"/>
  <c r="F1322" i="3" s="1"/>
  <c r="G1322" i="3" s="1"/>
  <c r="H1322" i="3" s="1"/>
  <c r="C1322" i="3" l="1"/>
  <c r="B1323" i="3"/>
  <c r="E1323" i="3" l="1"/>
  <c r="F1323" i="3"/>
  <c r="G1323" i="3" s="1"/>
  <c r="H1323" i="3" s="1"/>
  <c r="B1324" i="3" s="1"/>
  <c r="C1323" i="3" l="1"/>
  <c r="E1324" i="3"/>
  <c r="F1324" i="3"/>
  <c r="G1324" i="3" s="1"/>
  <c r="H1324" i="3" s="1"/>
  <c r="C1324" i="3"/>
  <c r="B1325" i="3" l="1"/>
  <c r="E1325" i="3" l="1"/>
  <c r="F1325" i="3"/>
  <c r="G1325" i="3" s="1"/>
  <c r="C1325" i="3"/>
  <c r="H1325" i="3"/>
  <c r="B1326" i="3" l="1"/>
  <c r="E1326" i="3" l="1"/>
  <c r="F1326" i="3" s="1"/>
  <c r="G1326" i="3" s="1"/>
  <c r="H1326" i="3" s="1"/>
  <c r="B1327" i="3" s="1"/>
  <c r="C1326" i="3" l="1"/>
  <c r="E1327" i="3"/>
  <c r="F1327" i="3"/>
  <c r="G1327" i="3" s="1"/>
  <c r="H1327" i="3" s="1"/>
  <c r="C1327" i="3"/>
  <c r="B1328" i="3" l="1"/>
  <c r="E1328" i="3" s="1"/>
  <c r="C1328" i="3" l="1"/>
  <c r="F1328" i="3"/>
  <c r="G1328" i="3" s="1"/>
  <c r="H1328" i="3" s="1"/>
  <c r="B1329" i="3" s="1"/>
  <c r="E1329" i="3" l="1"/>
  <c r="C1329" i="3" s="1"/>
  <c r="F1329" i="3"/>
  <c r="G1329" i="3" s="1"/>
  <c r="H1329" i="3" s="1"/>
  <c r="B1330" i="3" l="1"/>
  <c r="E1330" i="3" l="1"/>
  <c r="C1330" i="3" s="1"/>
  <c r="F1330" i="3"/>
  <c r="G1330" i="3" s="1"/>
  <c r="H1330" i="3"/>
  <c r="B1331" i="3" s="1"/>
  <c r="E1331" i="3" l="1"/>
  <c r="C1331" i="3" s="1"/>
  <c r="F1331" i="3"/>
  <c r="G1331" i="3" s="1"/>
  <c r="H1331" i="3" s="1"/>
  <c r="B1332" i="3" l="1"/>
  <c r="E1332" i="3" l="1"/>
  <c r="C1332" i="3" s="1"/>
  <c r="F1332" i="3"/>
  <c r="G1332" i="3" s="1"/>
  <c r="H1332" i="3" s="1"/>
  <c r="B1333" i="3" l="1"/>
  <c r="E1333" i="3" l="1"/>
  <c r="F1333" i="3" s="1"/>
  <c r="G1333" i="3" l="1"/>
  <c r="H1333" i="3" s="1"/>
  <c r="B1334" i="3" s="1"/>
  <c r="C1333" i="3"/>
  <c r="E1334" i="3" l="1"/>
  <c r="C1334" i="3" s="1"/>
  <c r="F1334" i="3"/>
  <c r="G1334" i="3" s="1"/>
  <c r="H1334" i="3"/>
  <c r="B1335" i="3" s="1"/>
  <c r="E1335" i="3" l="1"/>
  <c r="F1335" i="3" s="1"/>
  <c r="G1335" i="3" s="1"/>
  <c r="H1335" i="3" s="1"/>
  <c r="C1335" i="3" l="1"/>
  <c r="B1336" i="3"/>
  <c r="E1336" i="3" l="1"/>
  <c r="F1336" i="3"/>
  <c r="G1336" i="3" s="1"/>
  <c r="H1336" i="3" s="1"/>
  <c r="C1336" i="3" l="1"/>
  <c r="B1337" i="3"/>
  <c r="E1337" i="3" l="1"/>
  <c r="F1337" i="3"/>
  <c r="G1337" i="3" s="1"/>
  <c r="H1337" i="3" s="1"/>
  <c r="C1337" i="3"/>
  <c r="B1338" i="3" l="1"/>
  <c r="E1338" i="3" l="1"/>
  <c r="F1338" i="3"/>
  <c r="G1338" i="3" s="1"/>
  <c r="H1338" i="3" s="1"/>
  <c r="B1339" i="3" s="1"/>
  <c r="C1338" i="3" l="1"/>
  <c r="E1339" i="3"/>
  <c r="F1339" i="3" l="1"/>
  <c r="G1339" i="3" s="1"/>
  <c r="H1339" i="3" s="1"/>
  <c r="B1340" i="3" s="1"/>
  <c r="E1340" i="3" s="1"/>
  <c r="F1340" i="3" s="1"/>
  <c r="G1340" i="3" s="1"/>
  <c r="H1340" i="3" s="1"/>
  <c r="B1341" i="3" s="1"/>
  <c r="C1340" i="3" l="1"/>
  <c r="C1339" i="3"/>
  <c r="E1341" i="3"/>
  <c r="F1341" i="3"/>
  <c r="G1341" i="3" s="1"/>
  <c r="H1341" i="3"/>
  <c r="C1341" i="3"/>
  <c r="B1342" i="3" l="1"/>
  <c r="E1342" i="3" s="1"/>
  <c r="F1342" i="3" s="1"/>
  <c r="G1342" i="3" l="1"/>
  <c r="H1342" i="3" s="1"/>
  <c r="B1343" i="3" s="1"/>
  <c r="E1343" i="3" s="1"/>
  <c r="C1343" i="3" s="1"/>
  <c r="C1342" i="3"/>
  <c r="F1343" i="3" l="1"/>
  <c r="G1343" i="3" s="1"/>
  <c r="H1343" i="3" s="1"/>
  <c r="B1344" i="3" s="1"/>
  <c r="E1344" i="3" l="1"/>
  <c r="C1344" i="3" s="1"/>
  <c r="F1344" i="3"/>
  <c r="G1344" i="3" s="1"/>
  <c r="H1344" i="3" s="1"/>
  <c r="B1345" i="3" l="1"/>
  <c r="E1345" i="3" l="1"/>
  <c r="F1345" i="3" s="1"/>
  <c r="G1345" i="3" s="1"/>
  <c r="H1345" i="3" s="1"/>
  <c r="C1345" i="3" l="1"/>
  <c r="B1346" i="3"/>
  <c r="F1346" i="3" l="1"/>
  <c r="G1346" i="3" s="1"/>
  <c r="H1346" i="3" s="1"/>
  <c r="B1347" i="3" s="1"/>
  <c r="E1346" i="3"/>
  <c r="C1346" i="3" l="1"/>
  <c r="E1347" i="3"/>
  <c r="F1347" i="3" l="1"/>
  <c r="G1347" i="3" s="1"/>
  <c r="H1347" i="3" s="1"/>
  <c r="B1348" i="3" s="1"/>
  <c r="C1347" i="3" l="1"/>
  <c r="E1348" i="3"/>
  <c r="F1348" i="3"/>
  <c r="G1348" i="3" s="1"/>
  <c r="H1348" i="3"/>
  <c r="B1349" i="3" l="1"/>
  <c r="E1349" i="3" s="1"/>
  <c r="F1349" i="3" s="1"/>
  <c r="C1348" i="3"/>
  <c r="G1349" i="3" l="1"/>
  <c r="H1349" i="3" s="1"/>
  <c r="B1350" i="3" s="1"/>
  <c r="F1350" i="3" s="1"/>
  <c r="G1350" i="3" s="1"/>
  <c r="H1350" i="3" s="1"/>
  <c r="C1349" i="3"/>
  <c r="E1350" i="3" l="1"/>
  <c r="C1350" i="3" s="1"/>
  <c r="B1351" i="3"/>
  <c r="E1351" i="3" l="1"/>
  <c r="F1351" i="3" s="1"/>
  <c r="G1351" i="3" s="1"/>
  <c r="H1351" i="3" s="1"/>
  <c r="B1352" i="3" s="1"/>
  <c r="C1351" i="3" l="1"/>
  <c r="E1352" i="3"/>
  <c r="F1352" i="3"/>
  <c r="G1352" i="3" s="1"/>
  <c r="H1352" i="3" s="1"/>
  <c r="C1352" i="3" l="1"/>
  <c r="B1353" i="3"/>
  <c r="E1353" i="3" l="1"/>
  <c r="C1353" i="3" s="1"/>
  <c r="F1353" i="3"/>
  <c r="G1353" i="3" s="1"/>
  <c r="H1353" i="3"/>
  <c r="B1354" i="3" l="1"/>
  <c r="H1354" i="3" s="1"/>
  <c r="F1354" i="3" l="1"/>
  <c r="G1354" i="3" s="1"/>
  <c r="B1355" i="3"/>
  <c r="E1355" i="3" s="1"/>
  <c r="F1355" i="3" s="1"/>
  <c r="G1355" i="3" s="1"/>
  <c r="H1355" i="3" s="1"/>
  <c r="E1354" i="3"/>
  <c r="C1354" i="3"/>
  <c r="C1355" i="3" l="1"/>
  <c r="B1356" i="3"/>
  <c r="E1356" i="3" l="1"/>
  <c r="F1356" i="3" l="1"/>
  <c r="G1356" i="3" s="1"/>
  <c r="H1356" i="3" s="1"/>
  <c r="B1357" i="3" s="1"/>
  <c r="E1357" i="3" l="1"/>
  <c r="C1356" i="3"/>
  <c r="F1357" i="3" l="1"/>
  <c r="G1357" i="3" s="1"/>
  <c r="H1357" i="3" s="1"/>
  <c r="B1358" i="3" s="1"/>
  <c r="E1358" i="3" l="1"/>
  <c r="C1357" i="3"/>
  <c r="F1358" i="3" l="1"/>
  <c r="G1358" i="3" s="1"/>
  <c r="H1358" i="3" s="1"/>
  <c r="B1359" i="3" s="1"/>
  <c r="C1358" i="3" l="1"/>
  <c r="E1359" i="3"/>
  <c r="F1359" i="3" s="1"/>
  <c r="G1359" i="3" s="1"/>
  <c r="H1359" i="3" s="1"/>
  <c r="B1360" i="3" s="1"/>
  <c r="E1360" i="3" l="1"/>
  <c r="C1359" i="3"/>
  <c r="F1360" i="3" l="1"/>
  <c r="G1360" i="3" s="1"/>
  <c r="H1360" i="3" s="1"/>
  <c r="B1361" i="3" s="1"/>
  <c r="E1361" i="3" l="1"/>
  <c r="C1361" i="3" s="1"/>
  <c r="F1361" i="3"/>
  <c r="G1361" i="3" s="1"/>
  <c r="H1361" i="3" s="1"/>
  <c r="B1362" i="3" s="1"/>
  <c r="C1360" i="3"/>
  <c r="E1362" i="3" l="1"/>
  <c r="C1362" i="3" s="1"/>
  <c r="F1362" i="3"/>
  <c r="G1362" i="3" s="1"/>
  <c r="H1362" i="3" s="1"/>
  <c r="B1363" i="3" s="1"/>
  <c r="E1363" i="3" l="1"/>
  <c r="F1363" i="3" s="1"/>
  <c r="G1363" i="3" l="1"/>
  <c r="H1363" i="3" s="1"/>
  <c r="B1364" i="3" s="1"/>
  <c r="E1364" i="3" s="1"/>
  <c r="C1363" i="3"/>
  <c r="F1364" i="3" l="1"/>
  <c r="G1364" i="3" s="1"/>
  <c r="H1364" i="3" s="1"/>
  <c r="B1365" i="3" s="1"/>
  <c r="E1365" i="3" s="1"/>
  <c r="F1365" i="3" l="1"/>
  <c r="G1365" i="3" s="1"/>
  <c r="H1365" i="3"/>
  <c r="B1366" i="3" s="1"/>
  <c r="C1366" i="3" s="1"/>
  <c r="C1364" i="3"/>
  <c r="F1366" i="3" l="1"/>
  <c r="G1366" i="3" s="1"/>
  <c r="E1366" i="3"/>
  <c r="C1365" i="3"/>
  <c r="H1366" i="3"/>
  <c r="B1367" i="3" s="1"/>
  <c r="E1367" i="3" s="1"/>
  <c r="F1367" i="3" l="1"/>
  <c r="G1367" i="3" s="1"/>
  <c r="H1367" i="3" s="1"/>
  <c r="B1368" i="3" s="1"/>
  <c r="C1367" i="3"/>
  <c r="E1368" i="3" l="1"/>
  <c r="F1368" i="3"/>
  <c r="G1368" i="3" s="1"/>
  <c r="H1368" i="3" s="1"/>
  <c r="C1368" i="3" l="1"/>
  <c r="B1369" i="3"/>
  <c r="E1369" i="3" l="1"/>
  <c r="F1369" i="3" s="1"/>
  <c r="G1369" i="3" l="1"/>
  <c r="H1369" i="3" s="1"/>
  <c r="B1370" i="3" s="1"/>
  <c r="E1370" i="3" s="1"/>
  <c r="C1370" i="3" s="1"/>
  <c r="C1369" i="3"/>
  <c r="H1370" i="3" l="1"/>
  <c r="F1370" i="3"/>
  <c r="G1370" i="3" s="1"/>
  <c r="B1371" i="3" l="1"/>
  <c r="E1371" i="3" l="1"/>
  <c r="C1371" i="3" s="1"/>
  <c r="F1371" i="3"/>
  <c r="G1371" i="3" s="1"/>
  <c r="H1371" i="3" s="1"/>
  <c r="B1372" i="3" s="1"/>
  <c r="E1372" i="3" s="1"/>
  <c r="F1372" i="3" s="1"/>
  <c r="G1372" i="3" l="1"/>
  <c r="H1372" i="3" s="1"/>
  <c r="B1373" i="3" s="1"/>
  <c r="C1372" i="3"/>
  <c r="E1373" i="3" l="1"/>
  <c r="F1373" i="3" s="1"/>
  <c r="G1373" i="3" l="1"/>
  <c r="H1373" i="3" s="1"/>
  <c r="B1374" i="3" s="1"/>
  <c r="C1373" i="3"/>
  <c r="E1374" i="3" l="1"/>
  <c r="C1374" i="3" s="1"/>
  <c r="F1374" i="3"/>
  <c r="G1374" i="3" s="1"/>
  <c r="H1374" i="3" s="1"/>
  <c r="B1375" i="3" s="1"/>
  <c r="E1375" i="3" l="1"/>
  <c r="F1375" i="3" s="1"/>
  <c r="G1375" i="3" l="1"/>
  <c r="H1375" i="3" s="1"/>
  <c r="B1376" i="3" s="1"/>
  <c r="C1375" i="3"/>
  <c r="E1376" i="3" l="1"/>
  <c r="F1376" i="3" s="1"/>
  <c r="G1376" i="3" s="1"/>
  <c r="H1376" i="3" s="1"/>
  <c r="B1377" i="3" s="1"/>
  <c r="E1377" i="3" l="1"/>
  <c r="C1377" i="3" s="1"/>
  <c r="F1377" i="3"/>
  <c r="G1377" i="3" s="1"/>
  <c r="H1377" i="3" s="1"/>
  <c r="B1378" i="3" s="1"/>
  <c r="C1376" i="3"/>
  <c r="E1378" i="3" l="1"/>
  <c r="F1378" i="3" l="1"/>
  <c r="G1378" i="3" s="1"/>
  <c r="H1378" i="3" s="1"/>
  <c r="B1379" i="3" s="1"/>
  <c r="E1379" i="3" l="1"/>
  <c r="F1379" i="3" s="1"/>
  <c r="G1379" i="3" s="1"/>
  <c r="H1379" i="3" s="1"/>
  <c r="B1380" i="3" s="1"/>
  <c r="C1378" i="3"/>
  <c r="E1380" i="3" l="1"/>
  <c r="F1380" i="3" s="1"/>
  <c r="G1380" i="3" s="1"/>
  <c r="H1380" i="3" s="1"/>
  <c r="B1381" i="3" s="1"/>
  <c r="C1379" i="3"/>
  <c r="E1381" i="3" l="1"/>
  <c r="C1380" i="3"/>
  <c r="F1381" i="3" l="1"/>
  <c r="G1381" i="3" s="1"/>
  <c r="H1381" i="3" s="1"/>
  <c r="B1382" i="3" s="1"/>
  <c r="E1382" i="3" l="1"/>
  <c r="F1382" i="3"/>
  <c r="G1382" i="3" s="1"/>
  <c r="H1382" i="3" s="1"/>
  <c r="B1383" i="3" s="1"/>
  <c r="C1382" i="3"/>
  <c r="C1381" i="3"/>
  <c r="E1383" i="3" l="1"/>
  <c r="C1383" i="3" s="1"/>
  <c r="F1383" i="3"/>
  <c r="G1383" i="3" s="1"/>
  <c r="H1383" i="3"/>
  <c r="B1384" i="3" s="1"/>
  <c r="E1384" i="3" l="1"/>
  <c r="F1384" i="3"/>
  <c r="G1384" i="3" s="1"/>
  <c r="H1384" i="3" s="1"/>
  <c r="B1385" i="3" s="1"/>
  <c r="C1384" i="3"/>
  <c r="F1385" i="3" l="1"/>
  <c r="G1385" i="3" s="1"/>
  <c r="H1385" i="3" s="1"/>
  <c r="B1386" i="3" s="1"/>
  <c r="E1385" i="3"/>
  <c r="C1385" i="3" s="1"/>
  <c r="E1386" i="3" l="1"/>
  <c r="C1386" i="3" s="1"/>
  <c r="F1386" i="3"/>
  <c r="G1386" i="3" s="1"/>
  <c r="H1386" i="3"/>
  <c r="B1387" i="3" s="1"/>
  <c r="E1387" i="3" l="1"/>
  <c r="F1387" i="3" s="1"/>
  <c r="G1387" i="3" l="1"/>
  <c r="H1387" i="3" s="1"/>
  <c r="B1388" i="3" s="1"/>
  <c r="C1387" i="3"/>
  <c r="E1388" i="3" l="1"/>
  <c r="F1388" i="3"/>
  <c r="G1388" i="3" s="1"/>
  <c r="H1388" i="3" s="1"/>
  <c r="B1389" i="3" s="1"/>
  <c r="E1389" i="3" l="1"/>
  <c r="F1389" i="3" s="1"/>
  <c r="G1389" i="3" s="1"/>
  <c r="H1389" i="3" s="1"/>
  <c r="B1390" i="3" s="1"/>
  <c r="C1388" i="3"/>
  <c r="E1390" i="3" l="1"/>
  <c r="F1390" i="3" s="1"/>
  <c r="G1390" i="3" s="1"/>
  <c r="H1390" i="3" s="1"/>
  <c r="B1391" i="3" s="1"/>
  <c r="C1389" i="3"/>
  <c r="E1391" i="3" l="1"/>
  <c r="F1391" i="3" s="1"/>
  <c r="G1391" i="3" s="1"/>
  <c r="H1391" i="3" s="1"/>
  <c r="B1392" i="3" s="1"/>
  <c r="C1390" i="3"/>
  <c r="E1392" i="3" l="1"/>
  <c r="F1392" i="3"/>
  <c r="G1392" i="3" s="1"/>
  <c r="H1392" i="3" s="1"/>
  <c r="B1393" i="3" s="1"/>
  <c r="C1391" i="3"/>
  <c r="E1393" i="3" l="1"/>
  <c r="C1393" i="3" s="1"/>
  <c r="F1393" i="3"/>
  <c r="G1393" i="3" s="1"/>
  <c r="H1393" i="3" s="1"/>
  <c r="B1394" i="3" s="1"/>
  <c r="C1392" i="3"/>
  <c r="E1394" i="3" l="1"/>
  <c r="F1394" i="3"/>
  <c r="G1394" i="3" s="1"/>
  <c r="H1394" i="3"/>
  <c r="B1395" i="3" l="1"/>
  <c r="C1394" i="3"/>
  <c r="E1395" i="3" l="1"/>
  <c r="F1395" i="3"/>
  <c r="G1395" i="3" s="1"/>
  <c r="H1395" i="3" s="1"/>
  <c r="B1396" i="3" s="1"/>
  <c r="C1395" i="3"/>
  <c r="H1396" i="3"/>
  <c r="E1396" i="3" l="1"/>
  <c r="F1396" i="3"/>
  <c r="G1396" i="3" s="1"/>
  <c r="C1396" i="3"/>
  <c r="B1397" i="3" l="1"/>
  <c r="E1397" i="3" l="1"/>
  <c r="F1397" i="3"/>
  <c r="G1397" i="3" s="1"/>
  <c r="H1397" i="3" s="1"/>
  <c r="B1398" i="3" s="1"/>
  <c r="C1397" i="3"/>
  <c r="F1398" i="3" l="1"/>
  <c r="G1398" i="3" s="1"/>
  <c r="H1398" i="3" s="1"/>
  <c r="B1399" i="3" s="1"/>
  <c r="E1399" i="3" s="1"/>
  <c r="E1398" i="3"/>
  <c r="C1398" i="3" s="1"/>
  <c r="F1399" i="3" l="1"/>
  <c r="G1399" i="3" s="1"/>
  <c r="H1399" i="3" s="1"/>
  <c r="B1400" i="3" s="1"/>
  <c r="C1399" i="3" l="1"/>
  <c r="E1400" i="3"/>
  <c r="C1400" i="3" s="1"/>
  <c r="F1400" i="3"/>
  <c r="G1400" i="3" s="1"/>
  <c r="H1400" i="3" s="1"/>
  <c r="B1401" i="3" s="1"/>
  <c r="E1401" i="3" l="1"/>
  <c r="F1401" i="3"/>
  <c r="G1401" i="3" s="1"/>
  <c r="H1401" i="3" s="1"/>
  <c r="C1401" i="3"/>
  <c r="B1402" i="3" l="1"/>
  <c r="E1402" i="3" l="1"/>
  <c r="C1402" i="3" s="1"/>
  <c r="F1402" i="3"/>
  <c r="G1402" i="3" s="1"/>
  <c r="H1402" i="3" s="1"/>
  <c r="B1403" i="3" l="1"/>
  <c r="E1403" i="3" l="1"/>
  <c r="C1403" i="3" s="1"/>
  <c r="F1403" i="3"/>
  <c r="G1403" i="3" s="1"/>
  <c r="H1403" i="3"/>
  <c r="B1404" i="3" s="1"/>
  <c r="E1404" i="3" l="1"/>
  <c r="F1404" i="3"/>
  <c r="G1404" i="3" s="1"/>
  <c r="H1404" i="3"/>
  <c r="C1404" i="3"/>
  <c r="B1405" i="3" l="1"/>
  <c r="E1405" i="3" s="1"/>
  <c r="C1405" i="3" s="1"/>
  <c r="F1405" i="3" l="1"/>
  <c r="G1405" i="3" s="1"/>
  <c r="H1405" i="3" s="1"/>
  <c r="B1406" i="3" s="1"/>
  <c r="E1406" i="3" l="1"/>
  <c r="C1406" i="3" s="1"/>
  <c r="F1406" i="3"/>
  <c r="G1406" i="3" s="1"/>
  <c r="H1406" i="3" s="1"/>
  <c r="B1407" i="3" l="1"/>
  <c r="E1407" i="3" l="1"/>
  <c r="F1407" i="3" s="1"/>
  <c r="G1407" i="3" l="1"/>
  <c r="H1407" i="3" s="1"/>
  <c r="B1408" i="3" s="1"/>
  <c r="E1408" i="3" s="1"/>
  <c r="C1407" i="3"/>
  <c r="F1408" i="3" l="1"/>
  <c r="G1408" i="3" s="1"/>
  <c r="H1408" i="3" s="1"/>
  <c r="C1408" i="3"/>
  <c r="B1409" i="3"/>
  <c r="E1409" i="3" l="1"/>
  <c r="C1409" i="3" s="1"/>
  <c r="F1409" i="3"/>
  <c r="G1409" i="3" s="1"/>
  <c r="H1409" i="3"/>
  <c r="B1410" i="3" s="1"/>
  <c r="E1410" i="3" l="1"/>
  <c r="F1410" i="3" s="1"/>
  <c r="G1410" i="3" s="1"/>
  <c r="H1410" i="3" s="1"/>
  <c r="B1411" i="3" s="1"/>
  <c r="C1410" i="3" l="1"/>
  <c r="E1411" i="3"/>
  <c r="C1411" i="3" s="1"/>
  <c r="F1411" i="3"/>
  <c r="G1411" i="3" s="1"/>
  <c r="H1411" i="3"/>
  <c r="B1412" i="3" s="1"/>
  <c r="E1412" i="3" l="1"/>
  <c r="F1412" i="3"/>
  <c r="G1412" i="3" s="1"/>
  <c r="H1412" i="3"/>
  <c r="B1413" i="3" s="1"/>
  <c r="C1412" i="3" l="1"/>
  <c r="E1413" i="3"/>
  <c r="F1413" i="3" l="1"/>
  <c r="G1413" i="3" s="1"/>
  <c r="H1413" i="3" s="1"/>
  <c r="B1414" i="3" s="1"/>
  <c r="E1414" i="3" s="1"/>
  <c r="C1414" i="3" s="1"/>
  <c r="F1414" i="3" l="1"/>
  <c r="G1414" i="3" s="1"/>
  <c r="H1414" i="3" s="1"/>
  <c r="B1415" i="3" s="1"/>
  <c r="C1413" i="3"/>
  <c r="E1415" i="3" l="1"/>
  <c r="C1415" i="3" s="1"/>
  <c r="F1415" i="3"/>
  <c r="G1415" i="3" s="1"/>
  <c r="H1415" i="3" s="1"/>
  <c r="B1416" i="3" s="1"/>
  <c r="E1416" i="3" l="1"/>
  <c r="F1416" i="3"/>
  <c r="G1416" i="3" s="1"/>
  <c r="H1416" i="3" s="1"/>
  <c r="C1416" i="3"/>
  <c r="B1417" i="3" l="1"/>
  <c r="E1417" i="3" l="1"/>
  <c r="F1417" i="3" s="1"/>
  <c r="G1417" i="3" s="1"/>
  <c r="H1417" i="3" s="1"/>
  <c r="B1418" i="3" s="1"/>
  <c r="C1417" i="3" l="1"/>
  <c r="E1418" i="3"/>
  <c r="C1418" i="3" s="1"/>
  <c r="F1418" i="3"/>
  <c r="G1418" i="3" s="1"/>
  <c r="H1418" i="3"/>
  <c r="B1419" i="3" l="1"/>
  <c r="E1419" i="3" l="1"/>
  <c r="F1419" i="3" s="1"/>
  <c r="G1419" i="3" s="1"/>
  <c r="H1419" i="3" s="1"/>
  <c r="B1420" i="3"/>
  <c r="C1419" i="3" l="1"/>
  <c r="F1420" i="3"/>
  <c r="G1420" i="3" s="1"/>
  <c r="H1420" i="3" s="1"/>
  <c r="B1421" i="3" s="1"/>
  <c r="E1420" i="3"/>
  <c r="C1420" i="3" s="1"/>
  <c r="E1421" i="3" l="1"/>
  <c r="C1421" i="3" s="1"/>
  <c r="F1421" i="3"/>
  <c r="G1421" i="3" s="1"/>
  <c r="H1421" i="3"/>
  <c r="B1422" i="3" l="1"/>
  <c r="E1422" i="3"/>
  <c r="F1422" i="3" s="1"/>
  <c r="G1422" i="3" s="1"/>
  <c r="H1422" i="3" s="1"/>
  <c r="B1423" i="3" s="1"/>
  <c r="C1422" i="3" l="1"/>
  <c r="E1423" i="3"/>
  <c r="C1423" i="3" s="1"/>
  <c r="F1423" i="3"/>
  <c r="G1423" i="3" s="1"/>
  <c r="H1423" i="3" s="1"/>
  <c r="B1424" i="3" l="1"/>
  <c r="E1424" i="3" l="1"/>
  <c r="F1424" i="3" s="1"/>
  <c r="G1424" i="3" s="1"/>
  <c r="H1424" i="3" s="1"/>
  <c r="B1425" i="3" s="1"/>
  <c r="C1424" i="3" l="1"/>
  <c r="E1425" i="3"/>
  <c r="F1425" i="3" l="1"/>
  <c r="G1425" i="3" s="1"/>
  <c r="H1425" i="3" s="1"/>
  <c r="B1426" i="3" s="1"/>
  <c r="E1426" i="3" l="1"/>
  <c r="C1425" i="3"/>
  <c r="F1426" i="3" l="1"/>
  <c r="G1426" i="3" s="1"/>
  <c r="H1426" i="3" s="1"/>
  <c r="B1427" i="3" s="1"/>
  <c r="E1427" i="3" s="1"/>
  <c r="H1427" i="3" l="1"/>
  <c r="C1427" i="3"/>
  <c r="F1427" i="3"/>
  <c r="G1427" i="3" s="1"/>
  <c r="C1426" i="3"/>
  <c r="B1428" i="3" l="1"/>
  <c r="C1428" i="3" l="1"/>
  <c r="E1428" i="3"/>
  <c r="F1428" i="3"/>
  <c r="G1428" i="3" s="1"/>
  <c r="H1428" i="3" s="1"/>
  <c r="B1429" i="3" s="1"/>
  <c r="E1429" i="3" s="1"/>
  <c r="C1429" i="3" s="1"/>
  <c r="H1429" i="3" l="1"/>
  <c r="F1429" i="3"/>
  <c r="G1429" i="3" s="1"/>
  <c r="B1430" i="3" l="1"/>
  <c r="E1430" i="3" l="1"/>
  <c r="F1430" i="3"/>
  <c r="G1430" i="3" s="1"/>
  <c r="C1430" i="3"/>
  <c r="H1430" i="3"/>
  <c r="B1431" i="3" s="1"/>
  <c r="E1431" i="3" s="1"/>
  <c r="C1431" i="3" s="1"/>
  <c r="F1431" i="3" l="1"/>
  <c r="G1431" i="3" s="1"/>
  <c r="H1431" i="3" s="1"/>
  <c r="B1432" i="3"/>
  <c r="E1432" i="3" l="1"/>
  <c r="F1432" i="3"/>
  <c r="G1432" i="3" s="1"/>
  <c r="H1432" i="3"/>
  <c r="B1433" i="3" s="1"/>
  <c r="C1432" i="3" l="1"/>
  <c r="E1433" i="3"/>
  <c r="F1433" i="3"/>
  <c r="G1433" i="3" s="1"/>
  <c r="H1433" i="3"/>
  <c r="C1433" i="3"/>
  <c r="B1434" i="3" l="1"/>
  <c r="E1434" i="3" s="1"/>
  <c r="F1434" i="3" l="1"/>
  <c r="G1434" i="3" s="1"/>
  <c r="H1434" i="3" s="1"/>
  <c r="B1435" i="3" s="1"/>
  <c r="C1434" i="3"/>
  <c r="E1435" i="3" l="1"/>
  <c r="C1435" i="3" s="1"/>
  <c r="F1435" i="3"/>
  <c r="G1435" i="3" s="1"/>
  <c r="H1435" i="3"/>
  <c r="B1436" i="3" s="1"/>
  <c r="E1436" i="3" l="1"/>
  <c r="F1436" i="3"/>
  <c r="G1436" i="3" s="1"/>
  <c r="H1436" i="3"/>
  <c r="C1436" i="3"/>
  <c r="B1437" i="3" l="1"/>
  <c r="F1437" i="3" s="1"/>
  <c r="G1437" i="3" s="1"/>
  <c r="E1437" i="3" l="1"/>
  <c r="H1437" i="3"/>
  <c r="B1438" i="3" s="1"/>
  <c r="C1437" i="3"/>
  <c r="E1438" i="3" l="1"/>
  <c r="C1438" i="3" s="1"/>
  <c r="F1438" i="3"/>
  <c r="G1438" i="3" s="1"/>
  <c r="H1438" i="3"/>
  <c r="B1439" i="3" l="1"/>
  <c r="E1439" i="3"/>
  <c r="F1439" i="3" s="1"/>
  <c r="G1439" i="3" l="1"/>
  <c r="H1439" i="3" s="1"/>
  <c r="B1440" i="3" s="1"/>
  <c r="E1440" i="3" s="1"/>
  <c r="C1439" i="3"/>
  <c r="F1440" i="3" l="1"/>
  <c r="G1440" i="3" s="1"/>
  <c r="H1440" i="3" s="1"/>
  <c r="B1441" i="3" s="1"/>
  <c r="C1440" i="3"/>
  <c r="E1441" i="3" l="1"/>
  <c r="C1441" i="3" s="1"/>
  <c r="F1441" i="3"/>
  <c r="G1441" i="3" s="1"/>
  <c r="H1441" i="3"/>
  <c r="B1442" i="3" s="1"/>
  <c r="E1442" i="3" l="1"/>
  <c r="F1442" i="3" s="1"/>
  <c r="G1442" i="3" l="1"/>
  <c r="H1442" i="3" s="1"/>
  <c r="B1443" i="3" s="1"/>
  <c r="C1442" i="3"/>
  <c r="E1443" i="3" l="1"/>
  <c r="C1443" i="3" s="1"/>
  <c r="F1443" i="3"/>
  <c r="G1443" i="3" s="1"/>
  <c r="H1443" i="3" s="1"/>
  <c r="B1444" i="3" s="1"/>
  <c r="E1444" i="3" l="1"/>
  <c r="F1444" i="3"/>
  <c r="G1444" i="3" s="1"/>
  <c r="H1444" i="3"/>
  <c r="B1445" i="3" l="1"/>
  <c r="C1444" i="3"/>
  <c r="E1445" i="3"/>
  <c r="F1445" i="3" s="1"/>
  <c r="G1445" i="3" l="1"/>
  <c r="H1445" i="3" s="1"/>
  <c r="B1446" i="3" s="1"/>
  <c r="E1446" i="3" s="1"/>
  <c r="F1446" i="3" s="1"/>
  <c r="G1446" i="3" s="1"/>
  <c r="H1446" i="3" s="1"/>
  <c r="C1445" i="3"/>
  <c r="C1446" i="3" l="1"/>
  <c r="B1447" i="3"/>
  <c r="E1447" i="3" l="1"/>
  <c r="C1447" i="3" s="1"/>
  <c r="F1447" i="3"/>
  <c r="G1447" i="3" s="1"/>
  <c r="H1447" i="3"/>
  <c r="B1448" i="3" l="1"/>
  <c r="E1448" i="3"/>
  <c r="F1448" i="3"/>
  <c r="G1448" i="3" s="1"/>
  <c r="H1448" i="3" s="1"/>
  <c r="C1448" i="3"/>
  <c r="B1449" i="3" l="1"/>
  <c r="E1449" i="3" l="1"/>
  <c r="F1449" i="3" l="1"/>
  <c r="G1449" i="3" s="1"/>
  <c r="H1449" i="3" s="1"/>
  <c r="B1450" i="3" s="1"/>
  <c r="E1450" i="3" l="1"/>
  <c r="C1450" i="3" s="1"/>
  <c r="F1450" i="3"/>
  <c r="G1450" i="3" s="1"/>
  <c r="H1450" i="3"/>
  <c r="B1451" i="3" s="1"/>
  <c r="C1449" i="3"/>
  <c r="E1451" i="3" l="1"/>
  <c r="F1451" i="3" s="1"/>
  <c r="G1451" i="3" s="1"/>
  <c r="H1451" i="3" s="1"/>
  <c r="B1452" i="3" s="1"/>
  <c r="C1451" i="3" l="1"/>
  <c r="E1452" i="3"/>
  <c r="F1452" i="3"/>
  <c r="G1452" i="3" s="1"/>
  <c r="H1452" i="3"/>
  <c r="C1452" i="3"/>
  <c r="B1453" i="3" l="1"/>
  <c r="E1453" i="3"/>
  <c r="C1453" i="3" s="1"/>
  <c r="F1453" i="3"/>
  <c r="G1453" i="3" s="1"/>
  <c r="H1453" i="3"/>
  <c r="B1454" i="3" s="1"/>
  <c r="E1454" i="3" l="1"/>
  <c r="F1454" i="3" s="1"/>
  <c r="G1454" i="3" s="1"/>
  <c r="H1454" i="3" s="1"/>
  <c r="C1454" i="3" l="1"/>
  <c r="B1455" i="3"/>
  <c r="E1455" i="3" l="1"/>
  <c r="C1455" i="3" s="1"/>
  <c r="F1455" i="3"/>
  <c r="G1455" i="3" s="1"/>
  <c r="H1455" i="3"/>
  <c r="B1456" i="3" l="1"/>
  <c r="E1456" i="3"/>
  <c r="F1456" i="3"/>
  <c r="G1456" i="3" s="1"/>
  <c r="H1456" i="3" s="1"/>
  <c r="B1457" i="3" s="1"/>
  <c r="C1456" i="3" l="1"/>
  <c r="E1457" i="3"/>
  <c r="F1457" i="3" s="1"/>
  <c r="G1457" i="3" l="1"/>
  <c r="H1457" i="3" s="1"/>
  <c r="B1458" i="3" s="1"/>
  <c r="C1457" i="3"/>
  <c r="E1458" i="3" l="1"/>
  <c r="F1458" i="3" l="1"/>
  <c r="G1458" i="3" s="1"/>
  <c r="H1458" i="3" s="1"/>
  <c r="B1459" i="3" s="1"/>
  <c r="E1459" i="3" s="1"/>
  <c r="C1458" i="3" l="1"/>
  <c r="F1459" i="3"/>
  <c r="G1459" i="3" s="1"/>
  <c r="H1459" i="3" s="1"/>
  <c r="C1459" i="3" l="1"/>
  <c r="B1460" i="3"/>
  <c r="E1460" i="3" l="1"/>
  <c r="F1460" i="3" l="1"/>
  <c r="G1460" i="3" s="1"/>
  <c r="H1460" i="3" s="1"/>
  <c r="B1461" i="3" s="1"/>
  <c r="E1461" i="3" s="1"/>
  <c r="F1461" i="3" s="1"/>
  <c r="G1461" i="3" s="1"/>
  <c r="H1461" i="3" s="1"/>
  <c r="B1462" i="3" s="1"/>
  <c r="C1460" i="3"/>
  <c r="C1461" i="3" l="1"/>
  <c r="E1462" i="3"/>
  <c r="F1462" i="3"/>
  <c r="G1462" i="3" s="1"/>
  <c r="C1462" i="3"/>
  <c r="H1462" i="3"/>
  <c r="B1463" i="3" s="1"/>
  <c r="E1463" i="3" l="1"/>
  <c r="C1463" i="3" s="1"/>
  <c r="F1463" i="3"/>
  <c r="G1463" i="3" s="1"/>
  <c r="H1463" i="3" s="1"/>
  <c r="B1464" i="3" l="1"/>
  <c r="E1464" i="3" l="1"/>
  <c r="F1464" i="3"/>
  <c r="G1464" i="3" s="1"/>
  <c r="H1464" i="3"/>
  <c r="C1464" i="3" l="1"/>
  <c r="B1465" i="3"/>
  <c r="E1465" i="3" s="1"/>
  <c r="F1465" i="3" l="1"/>
  <c r="G1465" i="3" s="1"/>
  <c r="H1465" i="3" s="1"/>
  <c r="C1465" i="3" l="1"/>
  <c r="B1466" i="3"/>
  <c r="E1466" i="3" l="1"/>
  <c r="F1466" i="3" l="1"/>
  <c r="G1466" i="3" s="1"/>
  <c r="H1466" i="3" s="1"/>
  <c r="B1467" i="3" s="1"/>
  <c r="E1467" i="3" s="1"/>
  <c r="C1466" i="3" l="1"/>
  <c r="F1467" i="3"/>
  <c r="C1467" i="3" s="1"/>
  <c r="G1467" i="3" l="1"/>
  <c r="H1467" i="3" s="1"/>
  <c r="B1468" i="3" s="1"/>
  <c r="E1468" i="3" l="1"/>
  <c r="F1468" i="3"/>
  <c r="G1468" i="3" s="1"/>
  <c r="H1468" i="3"/>
  <c r="B1469" i="3" s="1"/>
  <c r="C1468" i="3"/>
  <c r="E1469" i="3" l="1"/>
  <c r="F1469" i="3" s="1"/>
  <c r="G1469" i="3" s="1"/>
  <c r="H1469" i="3" s="1"/>
  <c r="C1469" i="3" l="1"/>
  <c r="B1470" i="3"/>
  <c r="E1470" i="3" l="1"/>
  <c r="F1470" i="3" s="1"/>
  <c r="G1470" i="3" s="1"/>
  <c r="H1470" i="3" s="1"/>
  <c r="B1471" i="3" s="1"/>
  <c r="C1470" i="3" l="1"/>
  <c r="E1471" i="3"/>
  <c r="F1471" i="3" s="1"/>
  <c r="G1471" i="3" l="1"/>
  <c r="H1471" i="3" s="1"/>
  <c r="B1472" i="3" s="1"/>
  <c r="E1472" i="3" s="1"/>
  <c r="C1471" i="3"/>
  <c r="F1472" i="3" l="1"/>
  <c r="G1472" i="3" s="1"/>
  <c r="H1472" i="3" s="1"/>
  <c r="B1473" i="3" s="1"/>
  <c r="C1472" i="3"/>
  <c r="E1473" i="3" l="1"/>
  <c r="F1473" i="3" l="1"/>
  <c r="G1473" i="3" s="1"/>
  <c r="H1473" i="3" s="1"/>
  <c r="B1474" i="3" s="1"/>
  <c r="E1474" i="3" s="1"/>
  <c r="H1474" i="3"/>
  <c r="F1474" i="3" l="1"/>
  <c r="G1474" i="3" s="1"/>
  <c r="C1474" i="3"/>
  <c r="C1473" i="3"/>
  <c r="B1475" i="3" l="1"/>
  <c r="E1475" i="3" s="1"/>
  <c r="F1475" i="3" l="1"/>
  <c r="G1475" i="3" s="1"/>
  <c r="H1475" i="3" s="1"/>
  <c r="B1476" i="3" s="1"/>
  <c r="C1475" i="3"/>
  <c r="E1476" i="3"/>
  <c r="F1476" i="3"/>
  <c r="G1476" i="3" s="1"/>
  <c r="H1476" i="3"/>
  <c r="B1477" i="3" s="1"/>
  <c r="C1476" i="3" l="1"/>
  <c r="E1477" i="3"/>
  <c r="F1477" i="3" s="1"/>
  <c r="G1477" i="3" l="1"/>
  <c r="H1477" i="3" s="1"/>
  <c r="B1478" i="3" s="1"/>
  <c r="C1477" i="3"/>
  <c r="E1478" i="3" l="1"/>
  <c r="F1478" i="3" l="1"/>
  <c r="G1478" i="3" s="1"/>
  <c r="H1478" i="3" s="1"/>
  <c r="B1479" i="3" s="1"/>
  <c r="E1479" i="3" l="1"/>
  <c r="C1479" i="3" s="1"/>
  <c r="F1479" i="3"/>
  <c r="G1479" i="3" s="1"/>
  <c r="H1479" i="3"/>
  <c r="B1480" i="3" s="1"/>
  <c r="C1478" i="3"/>
  <c r="E1480" i="3" l="1"/>
  <c r="F1480" i="3" s="1"/>
  <c r="G1480" i="3" l="1"/>
  <c r="H1480" i="3" s="1"/>
  <c r="B1481" i="3" s="1"/>
  <c r="C1480" i="3"/>
  <c r="E1481" i="3" l="1"/>
  <c r="C1481" i="3" s="1"/>
  <c r="F1481" i="3"/>
  <c r="G1481" i="3" s="1"/>
  <c r="H1481" i="3" s="1"/>
  <c r="B1482" i="3" s="1"/>
  <c r="E1482" i="3" l="1"/>
  <c r="F1482" i="3" l="1"/>
  <c r="G1482" i="3" s="1"/>
  <c r="H1482" i="3" s="1"/>
  <c r="B1483" i="3" s="1"/>
  <c r="E1483" i="3" l="1"/>
  <c r="C1482" i="3"/>
  <c r="F1483" i="3" l="1"/>
  <c r="G1483" i="3" s="1"/>
  <c r="H1483" i="3" s="1"/>
  <c r="B1484" i="3" s="1"/>
  <c r="E1484" i="3" l="1"/>
  <c r="F1484" i="3"/>
  <c r="G1484" i="3" s="1"/>
  <c r="H1484" i="3"/>
  <c r="C1483" i="3"/>
  <c r="B1485" i="3" l="1"/>
  <c r="E1485" i="3" s="1"/>
  <c r="C1484" i="3"/>
  <c r="F1485" i="3" l="1"/>
  <c r="G1485" i="3" s="1"/>
  <c r="H1485" i="3" s="1"/>
  <c r="B1486" i="3" s="1"/>
  <c r="E1486" i="3" s="1"/>
  <c r="F1486" i="3" s="1"/>
  <c r="G1486" i="3" s="1"/>
  <c r="H1486" i="3" s="1"/>
  <c r="B1487" i="3" s="1"/>
  <c r="C1485" i="3"/>
  <c r="E1487" i="3" l="1"/>
  <c r="F1487" i="3" s="1"/>
  <c r="G1487" i="3" s="1"/>
  <c r="H1487" i="3" s="1"/>
  <c r="B1488" i="3" s="1"/>
  <c r="C1486" i="3"/>
  <c r="E1488" i="3" l="1"/>
  <c r="C1487" i="3"/>
  <c r="F1488" i="3" l="1"/>
  <c r="G1488" i="3" s="1"/>
  <c r="H1488" i="3" s="1"/>
  <c r="B1489" i="3" s="1"/>
  <c r="F1489" i="3" l="1"/>
  <c r="G1489" i="3" s="1"/>
  <c r="H1489" i="3" s="1"/>
  <c r="B1490" i="3" s="1"/>
  <c r="E1489" i="3"/>
  <c r="C1489" i="3" s="1"/>
  <c r="C1488" i="3"/>
  <c r="E1490" i="3" l="1"/>
  <c r="C1490" i="3" s="1"/>
  <c r="F1490" i="3"/>
  <c r="G1490" i="3" s="1"/>
  <c r="H1490" i="3" s="1"/>
  <c r="B1491" i="3" s="1"/>
  <c r="E1491" i="3" l="1"/>
  <c r="C1491" i="3" s="1"/>
  <c r="F1491" i="3"/>
  <c r="G1491" i="3" s="1"/>
  <c r="H1491" i="3" s="1"/>
  <c r="B1492" i="3" s="1"/>
  <c r="E1492" i="3" l="1"/>
  <c r="C1492" i="3" s="1"/>
  <c r="F1492" i="3"/>
  <c r="G1492" i="3" s="1"/>
  <c r="H1492" i="3" s="1"/>
  <c r="B1493" i="3" s="1"/>
  <c r="E1493" i="3" l="1"/>
  <c r="F1493" i="3"/>
  <c r="G1493" i="3" s="1"/>
  <c r="H1493" i="3" s="1"/>
  <c r="B1494" i="3" s="1"/>
  <c r="E1494" i="3" l="1"/>
  <c r="C1494" i="3" s="1"/>
  <c r="F1494" i="3"/>
  <c r="G1494" i="3" s="1"/>
  <c r="H1494" i="3" s="1"/>
  <c r="B1495" i="3" s="1"/>
  <c r="C1493" i="3"/>
  <c r="E1495" i="3" l="1"/>
  <c r="F1495" i="3" s="1"/>
  <c r="G1495" i="3" l="1"/>
  <c r="H1495" i="3" s="1"/>
  <c r="B1496" i="3" s="1"/>
  <c r="E1496" i="3" s="1"/>
  <c r="C1495" i="3"/>
  <c r="H1496" i="3" l="1"/>
  <c r="F1496" i="3"/>
  <c r="G1496" i="3" s="1"/>
  <c r="C1496" i="3"/>
  <c r="B1497" i="3" l="1"/>
  <c r="H1497" i="3" s="1"/>
  <c r="F1497" i="3" l="1"/>
  <c r="G1497" i="3" s="1"/>
  <c r="E1497" i="3"/>
  <c r="C1497" i="3"/>
  <c r="B1498" i="3"/>
  <c r="E1498" i="3" s="1"/>
  <c r="C1498" i="3" s="1"/>
  <c r="F1498" i="3"/>
  <c r="G1498" i="3" s="1"/>
  <c r="H1498" i="3" s="1"/>
  <c r="B1499" i="3" l="1"/>
  <c r="E1499" i="3" l="1"/>
  <c r="C1499" i="3" s="1"/>
  <c r="F1499" i="3"/>
  <c r="G1499" i="3" s="1"/>
  <c r="H1499" i="3"/>
  <c r="B1500" i="3" s="1"/>
  <c r="E1500" i="3" l="1"/>
  <c r="F1500" i="3"/>
  <c r="G1500" i="3" s="1"/>
  <c r="H1500" i="3" s="1"/>
  <c r="B1501" i="3" s="1"/>
  <c r="C1500" i="3" l="1"/>
  <c r="E1501" i="3"/>
  <c r="F1501" i="3" l="1"/>
  <c r="G1501" i="3" s="1"/>
  <c r="H1501" i="3" s="1"/>
  <c r="B1502" i="3" s="1"/>
  <c r="E1502" i="3" s="1"/>
  <c r="C1501" i="3" l="1"/>
  <c r="F1502" i="3"/>
  <c r="G1502" i="3" l="1"/>
  <c r="H1502" i="3" s="1"/>
  <c r="B1503" i="3" s="1"/>
  <c r="C1502" i="3"/>
  <c r="E1503" i="3" l="1"/>
  <c r="F1503" i="3" l="1"/>
  <c r="G1503" i="3" s="1"/>
  <c r="H1503" i="3" s="1"/>
  <c r="B1504" i="3" s="1"/>
  <c r="E1504" i="3" s="1"/>
  <c r="F1504" i="3" l="1"/>
  <c r="G1504" i="3" s="1"/>
  <c r="H1504" i="3" s="1"/>
  <c r="C1504" i="3"/>
  <c r="C1503" i="3"/>
  <c r="B1505" i="3"/>
  <c r="E1505" i="3" l="1"/>
  <c r="F1505" i="3" s="1"/>
  <c r="G1505" i="3" s="1"/>
  <c r="H1505" i="3" s="1"/>
  <c r="B1506" i="3" s="1"/>
  <c r="C1505" i="3" l="1"/>
  <c r="F1506" i="3"/>
  <c r="G1506" i="3" s="1"/>
  <c r="H1506" i="3" s="1"/>
  <c r="B1507" i="3" s="1"/>
  <c r="E1506" i="3"/>
  <c r="C1506" i="3" s="1"/>
  <c r="E1507" i="3" l="1"/>
  <c r="F1507" i="3"/>
  <c r="G1507" i="3" s="1"/>
  <c r="H1507" i="3" s="1"/>
  <c r="C1507" i="3"/>
  <c r="B1508" i="3" l="1"/>
  <c r="E1508" i="3" l="1"/>
  <c r="F1508" i="3" s="1"/>
  <c r="G1508" i="3" l="1"/>
  <c r="H1508" i="3" s="1"/>
  <c r="B1509" i="3" s="1"/>
  <c r="E1509" i="3" s="1"/>
  <c r="F1509" i="3" s="1"/>
  <c r="C1508" i="3"/>
  <c r="G1509" i="3" l="1"/>
  <c r="H1509" i="3" s="1"/>
  <c r="B1510" i="3" s="1"/>
  <c r="E1510" i="3" s="1"/>
  <c r="C1509" i="3"/>
  <c r="F1510" i="3" l="1"/>
  <c r="G1510" i="3" s="1"/>
  <c r="H1510" i="3" s="1"/>
  <c r="B1511" i="3" s="1"/>
  <c r="C1510" i="3" l="1"/>
  <c r="E1511" i="3"/>
  <c r="F1511" i="3" l="1"/>
  <c r="G1511" i="3" s="1"/>
  <c r="H1511" i="3" s="1"/>
  <c r="B1512" i="3" s="1"/>
  <c r="E1512" i="3" s="1"/>
  <c r="C1511" i="3" l="1"/>
  <c r="F1512" i="3"/>
  <c r="G1512" i="3" l="1"/>
  <c r="H1512" i="3" s="1"/>
  <c r="B1513" i="3" s="1"/>
  <c r="C1512" i="3"/>
  <c r="E1513" i="3" l="1"/>
  <c r="F1513" i="3" s="1"/>
  <c r="G1513" i="3" s="1"/>
  <c r="H1513" i="3" s="1"/>
  <c r="B1514" i="3" s="1"/>
  <c r="C1513" i="3" l="1"/>
  <c r="E1514" i="3"/>
  <c r="C1514" i="3" s="1"/>
  <c r="F1514" i="3"/>
  <c r="G1514" i="3" s="1"/>
  <c r="H1514" i="3"/>
  <c r="B1515" i="3" l="1"/>
  <c r="E1515" i="3" l="1"/>
  <c r="F1515" i="3" s="1"/>
  <c r="G1515" i="3" s="1"/>
  <c r="H1515" i="3" s="1"/>
  <c r="B1516" i="3" s="1"/>
  <c r="C1515" i="3" l="1"/>
  <c r="E1516" i="3"/>
  <c r="F1516" i="3"/>
  <c r="G1516" i="3" s="1"/>
  <c r="H1516" i="3"/>
  <c r="B1517" i="3" s="1"/>
  <c r="C1516" i="3"/>
  <c r="E1517" i="3" l="1"/>
  <c r="C1517" i="3" s="1"/>
  <c r="F1517" i="3"/>
  <c r="G1517" i="3" s="1"/>
  <c r="H1517" i="3" s="1"/>
  <c r="B1518" i="3" l="1"/>
  <c r="E1518" i="3" l="1"/>
  <c r="F1518" i="3" s="1"/>
  <c r="G1518" i="3" s="1"/>
  <c r="H1518" i="3" s="1"/>
  <c r="C1518" i="3" l="1"/>
  <c r="B1519" i="3"/>
  <c r="E1519" i="3" s="1"/>
  <c r="F1519" i="3" s="1"/>
  <c r="G1519" i="3" s="1"/>
  <c r="H1519" i="3" s="1"/>
  <c r="C1519" i="3" l="1"/>
  <c r="B1520" i="3"/>
  <c r="E1520" i="3" l="1"/>
  <c r="F1520" i="3"/>
  <c r="G1520" i="3" s="1"/>
  <c r="H1520" i="3"/>
  <c r="C1520" i="3" l="1"/>
  <c r="B1521" i="3"/>
  <c r="E1521" i="3" l="1"/>
  <c r="F1521" i="3" s="1"/>
  <c r="G1521" i="3" l="1"/>
  <c r="H1521" i="3" s="1"/>
  <c r="B1522" i="3" s="1"/>
  <c r="C1521" i="3"/>
  <c r="E1522" i="3" l="1"/>
  <c r="C1522" i="3" s="1"/>
  <c r="F1522" i="3"/>
  <c r="G1522" i="3" s="1"/>
  <c r="H1522" i="3"/>
  <c r="B1523" i="3" l="1"/>
  <c r="E1523" i="3" l="1"/>
  <c r="F1523" i="3"/>
  <c r="G1523" i="3" s="1"/>
  <c r="C1523" i="3"/>
  <c r="H1523" i="3"/>
  <c r="B1524" i="3" l="1"/>
  <c r="E1524" i="3" s="1"/>
  <c r="C1524" i="3" s="1"/>
  <c r="F1524" i="3"/>
  <c r="G1524" i="3" s="1"/>
  <c r="H1524" i="3" s="1"/>
  <c r="B1525" i="3" l="1"/>
  <c r="E1525" i="3" l="1"/>
  <c r="C1525" i="3" s="1"/>
  <c r="F1525" i="3"/>
  <c r="G1525" i="3" s="1"/>
  <c r="H1525" i="3" s="1"/>
  <c r="B1526" i="3" l="1"/>
  <c r="E1526" i="3" l="1"/>
  <c r="F1526" i="3" s="1"/>
  <c r="G1526" i="3" l="1"/>
  <c r="H1526" i="3" s="1"/>
  <c r="B1527" i="3" s="1"/>
  <c r="F1527" i="3" s="1"/>
  <c r="G1527" i="3" s="1"/>
  <c r="H1527" i="3" s="1"/>
  <c r="C1526" i="3"/>
  <c r="E1527" i="3"/>
  <c r="C1527" i="3" s="1"/>
  <c r="B1528" i="3" l="1"/>
  <c r="E1528" i="3" l="1"/>
  <c r="F1528" i="3"/>
  <c r="G1528" i="3" s="1"/>
  <c r="H1528" i="3"/>
  <c r="C1528" i="3" l="1"/>
  <c r="B1529" i="3"/>
  <c r="E1529" i="3" l="1"/>
  <c r="F1529" i="3"/>
  <c r="G1529" i="3" s="1"/>
  <c r="H1529" i="3"/>
  <c r="C1529" i="3"/>
  <c r="B1530" i="3" l="1"/>
  <c r="E1530" i="3" s="1"/>
  <c r="C1530" i="3" s="1"/>
  <c r="F1530" i="3"/>
  <c r="G1530" i="3" s="1"/>
  <c r="H1530" i="3" s="1"/>
  <c r="B1531" i="3" s="1"/>
  <c r="E1531" i="3" l="1"/>
  <c r="F1531" i="3"/>
  <c r="G1531" i="3" s="1"/>
  <c r="H1531" i="3" s="1"/>
  <c r="C1531" i="3" l="1"/>
  <c r="B1532" i="3"/>
  <c r="E1532" i="3" l="1"/>
  <c r="F1532" i="3" s="1"/>
  <c r="G1532" i="3" s="1"/>
  <c r="H1532" i="3" s="1"/>
  <c r="B1533" i="3" s="1"/>
  <c r="C1532" i="3" l="1"/>
  <c r="E1533" i="3"/>
  <c r="C1533" i="3" s="1"/>
  <c r="F1533" i="3"/>
  <c r="G1533" i="3" s="1"/>
  <c r="H1533" i="3" s="1"/>
  <c r="B1534" i="3" l="1"/>
  <c r="E1534" i="3" l="1"/>
  <c r="C1534" i="3" s="1"/>
  <c r="F1534" i="3"/>
  <c r="G1534" i="3" s="1"/>
  <c r="H1534" i="3" s="1"/>
  <c r="B1535" i="3" l="1"/>
  <c r="E1535" i="3" l="1"/>
  <c r="F1535" i="3" s="1"/>
  <c r="G1535" i="3" s="1"/>
  <c r="H1535" i="3" s="1"/>
  <c r="B1536" i="3" s="1"/>
  <c r="C1535" i="3" l="1"/>
  <c r="E1536" i="3"/>
  <c r="F1536" i="3" l="1"/>
  <c r="G1536" i="3" s="1"/>
  <c r="H1536" i="3" s="1"/>
  <c r="B1537" i="3" s="1"/>
  <c r="C1536" i="3" l="1"/>
  <c r="E1537" i="3"/>
  <c r="C1537" i="3" s="1"/>
  <c r="F1537" i="3"/>
  <c r="G1537" i="3" s="1"/>
  <c r="H1537" i="3"/>
  <c r="B1538" i="3" l="1"/>
  <c r="E1538" i="3" s="1"/>
  <c r="F1538" i="3"/>
  <c r="G1538" i="3" s="1"/>
  <c r="H1538" i="3" s="1"/>
  <c r="C1538" i="3" l="1"/>
  <c r="B1539" i="3"/>
  <c r="E1539" i="3" l="1"/>
  <c r="F1539" i="3" l="1"/>
  <c r="G1539" i="3" s="1"/>
  <c r="H1539" i="3" s="1"/>
  <c r="B1540" i="3" s="1"/>
  <c r="C1539" i="3" l="1"/>
  <c r="E1540" i="3"/>
  <c r="F1540" i="3"/>
  <c r="G1540" i="3" s="1"/>
  <c r="H1540" i="3"/>
  <c r="B1541" i="3" l="1"/>
  <c r="E1541" i="3" s="1"/>
  <c r="C1540" i="3"/>
  <c r="F1541" i="3" l="1"/>
  <c r="G1541" i="3" s="1"/>
  <c r="H1541" i="3" s="1"/>
  <c r="B1542" i="3" s="1"/>
  <c r="E1542" i="3" l="1"/>
  <c r="F1542" i="3" s="1"/>
  <c r="C1541" i="3"/>
  <c r="G1542" i="3" l="1"/>
  <c r="H1542" i="3" s="1"/>
  <c r="B1543" i="3" s="1"/>
  <c r="C1542" i="3"/>
  <c r="E1543" i="3" l="1"/>
  <c r="F1543" i="3" s="1"/>
  <c r="G1543" i="3" s="1"/>
  <c r="H1543" i="3" s="1"/>
  <c r="B1544" i="3" s="1"/>
  <c r="E1544" i="3" l="1"/>
  <c r="F1544" i="3" s="1"/>
  <c r="C1543" i="3"/>
  <c r="G1544" i="3" l="1"/>
  <c r="H1544" i="3" s="1"/>
  <c r="B1545" i="3" s="1"/>
  <c r="C1544" i="3"/>
  <c r="E1545" i="3" l="1"/>
  <c r="C1545" i="3" s="1"/>
  <c r="F1545" i="3"/>
  <c r="G1545" i="3" s="1"/>
  <c r="H1545" i="3" s="1"/>
  <c r="B1546" i="3" s="1"/>
  <c r="E1546" i="3" l="1"/>
  <c r="F1546" i="3"/>
  <c r="G1546" i="3" s="1"/>
  <c r="H1546" i="3"/>
  <c r="B1547" i="3" l="1"/>
  <c r="E1547" i="3" s="1"/>
  <c r="F1547" i="3" s="1"/>
  <c r="G1547" i="3" s="1"/>
  <c r="H1547" i="3" s="1"/>
  <c r="B1548" i="3" s="1"/>
  <c r="C1546" i="3"/>
  <c r="E1548" i="3" l="1"/>
  <c r="F1548" i="3" s="1"/>
  <c r="C1547" i="3"/>
  <c r="G1548" i="3" l="1"/>
  <c r="H1548" i="3" s="1"/>
  <c r="B1549" i="3" s="1"/>
  <c r="C1548" i="3"/>
  <c r="E1549" i="3" l="1"/>
  <c r="C1549" i="3" s="1"/>
  <c r="F1549" i="3"/>
  <c r="G1549" i="3" s="1"/>
  <c r="H1549" i="3" s="1"/>
  <c r="B1550" i="3" s="1"/>
  <c r="E1550" i="3" l="1"/>
  <c r="F1550" i="3" s="1"/>
  <c r="G1550" i="3" s="1"/>
  <c r="H1550" i="3" s="1"/>
  <c r="B1551" i="3" s="1"/>
  <c r="E1551" i="3" l="1"/>
  <c r="C1550" i="3"/>
  <c r="F1551" i="3" l="1"/>
  <c r="G1551" i="3" s="1"/>
  <c r="H1551" i="3" s="1"/>
  <c r="B1552" i="3" s="1"/>
  <c r="E1552" i="3" l="1"/>
  <c r="C1552" i="3" s="1"/>
  <c r="F1552" i="3"/>
  <c r="G1552" i="3" s="1"/>
  <c r="H1552" i="3" s="1"/>
  <c r="B1553" i="3" s="1"/>
  <c r="C1551" i="3"/>
  <c r="E1553" i="3" l="1"/>
  <c r="C1553" i="3" s="1"/>
  <c r="F1553" i="3"/>
  <c r="G1553" i="3" s="1"/>
  <c r="H1553" i="3" s="1"/>
  <c r="B1554" i="3" s="1"/>
  <c r="E1554" i="3" l="1"/>
  <c r="C1554" i="3" s="1"/>
  <c r="F1554" i="3"/>
  <c r="G1554" i="3" s="1"/>
  <c r="H1554" i="3" s="1"/>
  <c r="B1555" i="3" s="1"/>
  <c r="E1555" i="3" l="1"/>
  <c r="F1555" i="3"/>
  <c r="G1555" i="3" s="1"/>
  <c r="H1555" i="3" s="1"/>
  <c r="B1556" i="3" s="1"/>
  <c r="C1555" i="3"/>
  <c r="E1556" i="3" l="1"/>
  <c r="F1556" i="3"/>
  <c r="G1556" i="3" s="1"/>
  <c r="H1556" i="3" s="1"/>
  <c r="C1556" i="3" l="1"/>
  <c r="B1557" i="3"/>
  <c r="E1557" i="3" l="1"/>
  <c r="C1557" i="3" s="1"/>
  <c r="F1557" i="3"/>
  <c r="G1557" i="3" s="1"/>
  <c r="H1557" i="3" s="1"/>
  <c r="B1558" i="3" l="1"/>
  <c r="E1558" i="3" s="1"/>
  <c r="F1558" i="3" l="1"/>
  <c r="G1558" i="3" s="1"/>
  <c r="H1558" i="3" s="1"/>
  <c r="B1559" i="3" s="1"/>
  <c r="E1559" i="3" l="1"/>
  <c r="C1558" i="3"/>
  <c r="F1559" i="3" l="1"/>
  <c r="G1559" i="3" s="1"/>
  <c r="H1559" i="3" s="1"/>
  <c r="B1560" i="3" s="1"/>
  <c r="E1560" i="3" s="1"/>
  <c r="H1560" i="3" l="1"/>
  <c r="F1560" i="3"/>
  <c r="G1560" i="3" s="1"/>
  <c r="C1560" i="3"/>
  <c r="C1559" i="3"/>
  <c r="B1561" i="3" l="1"/>
  <c r="E1561" i="3" s="1"/>
  <c r="F1561" i="3" s="1"/>
  <c r="G1561" i="3" s="1"/>
  <c r="H1561" i="3" s="1"/>
  <c r="D3" i="1"/>
  <c r="A2" i="7" l="1" a="1"/>
  <c r="A2" i="7" s="1"/>
  <c r="C1561" i="3"/>
  <c r="G3" i="1"/>
  <c r="H3" i="1" s="1"/>
  <c r="B4" i="1" s="1"/>
  <c r="E4" i="1" s="1"/>
  <c r="C3" i="1"/>
  <c r="F4" i="1" l="1"/>
  <c r="D4" i="1"/>
  <c r="G4" i="1" l="1"/>
  <c r="H4" i="1" s="1"/>
  <c r="B5" i="1" s="1"/>
  <c r="E5" i="1" s="1"/>
  <c r="F5" i="1" s="1"/>
  <c r="D5" i="1" s="1"/>
  <c r="C4" i="1"/>
  <c r="G5" i="1" l="1"/>
  <c r="H5" i="1" s="1"/>
  <c r="B6" i="1" s="1"/>
  <c r="E6" i="1" s="1"/>
  <c r="C5" i="1"/>
  <c r="F6" i="1" l="1"/>
  <c r="D6" i="1" l="1"/>
  <c r="G6" i="1" s="1"/>
  <c r="H6" i="1" s="1"/>
  <c r="B7" i="1" s="1"/>
  <c r="E7" i="1" s="1"/>
  <c r="F7" i="1" s="1"/>
  <c r="D7" i="1" l="1"/>
  <c r="G7" i="1" s="1"/>
  <c r="H7" i="1" s="1"/>
  <c r="B8" i="1" s="1"/>
  <c r="C6" i="1"/>
  <c r="C7" i="1" l="1"/>
  <c r="E8" i="1"/>
  <c r="F8" i="1" s="1"/>
  <c r="D8" i="1"/>
  <c r="G8" i="1" l="1"/>
  <c r="H8" i="1" s="1"/>
  <c r="B9" i="1" s="1"/>
  <c r="C8" i="1"/>
  <c r="E9" i="1" l="1"/>
  <c r="F9" i="1" s="1"/>
  <c r="D9" i="1" s="1"/>
  <c r="G9" i="1" l="1"/>
  <c r="H9" i="1" s="1"/>
  <c r="B10" i="1" s="1"/>
  <c r="C9" i="1"/>
  <c r="E10" i="1" l="1"/>
  <c r="F10" i="1" s="1"/>
  <c r="D10" i="1" s="1"/>
  <c r="G10" i="1" l="1"/>
  <c r="H10" i="1" s="1"/>
  <c r="B11" i="1" s="1"/>
  <c r="E11" i="1" s="1"/>
  <c r="C10" i="1"/>
  <c r="F11" i="1" l="1"/>
  <c r="D11" i="1" l="1"/>
  <c r="C11" i="1" s="1"/>
  <c r="G11" i="1" l="1"/>
  <c r="H11" i="1" s="1"/>
  <c r="B12" i="1" s="1"/>
  <c r="E12" i="1" s="1"/>
  <c r="F12" i="1" s="1"/>
  <c r="D12" i="1" s="1"/>
  <c r="G12" i="1" l="1"/>
  <c r="H12" i="1" s="1"/>
  <c r="B13" i="1" s="1"/>
  <c r="C12" i="1"/>
  <c r="E13" i="1" l="1"/>
  <c r="F13" i="1" s="1"/>
  <c r="D13" i="1" s="1"/>
  <c r="G13" i="1" l="1"/>
  <c r="H13" i="1" s="1"/>
  <c r="B14" i="1" s="1"/>
  <c r="C13" i="1"/>
  <c r="E14" i="1" l="1"/>
  <c r="F14" i="1" s="1"/>
  <c r="D14" i="1" s="1"/>
  <c r="G14" i="1" l="1"/>
  <c r="H14" i="1" s="1"/>
  <c r="B15" i="1" s="1"/>
  <c r="C14" i="1"/>
  <c r="E15" i="1" l="1"/>
  <c r="F15" i="1" s="1"/>
  <c r="D15" i="1"/>
  <c r="G15" i="1" l="1"/>
  <c r="H15" i="1" s="1"/>
  <c r="B16" i="1" s="1"/>
  <c r="C15" i="1"/>
  <c r="E16" i="1" l="1"/>
  <c r="F16" i="1" s="1"/>
  <c r="D16" i="1" s="1"/>
  <c r="G16" i="1" l="1"/>
  <c r="H16" i="1" s="1"/>
  <c r="B17" i="1" s="1"/>
  <c r="C16" i="1"/>
  <c r="E17" i="1" l="1"/>
  <c r="F17" i="1" s="1"/>
  <c r="D17" i="1" s="1"/>
  <c r="G17" i="1" l="1"/>
  <c r="H17" i="1" s="1"/>
  <c r="B18" i="1" s="1"/>
  <c r="C17" i="1"/>
  <c r="E18" i="1" l="1"/>
  <c r="F18" i="1" s="1"/>
  <c r="D18" i="1" s="1"/>
  <c r="G18" i="1" l="1"/>
  <c r="H18" i="1" s="1"/>
  <c r="B19" i="1" s="1"/>
  <c r="C18" i="1"/>
  <c r="E19" i="1" l="1"/>
  <c r="F19" i="1" s="1"/>
  <c r="D19" i="1" s="1"/>
  <c r="G19" i="1" l="1"/>
  <c r="H19" i="1" s="1"/>
  <c r="B20" i="1" s="1"/>
  <c r="C19" i="1"/>
  <c r="D20" i="1"/>
  <c r="E20" i="1" l="1"/>
  <c r="F20" i="1" s="1"/>
  <c r="G20" i="1" s="1"/>
  <c r="H20" i="1" s="1"/>
  <c r="B21" i="1" s="1"/>
  <c r="E21" i="1" l="1"/>
  <c r="F21" i="1"/>
  <c r="D21" i="1" s="1"/>
  <c r="G21" i="1" s="1"/>
  <c r="H21" i="1" s="1"/>
  <c r="B22" i="1" s="1"/>
  <c r="C20" i="1"/>
  <c r="C21" i="1" l="1"/>
  <c r="E22" i="1"/>
  <c r="F22" i="1" s="1"/>
  <c r="D22" i="1" s="1"/>
  <c r="G22" i="1" l="1"/>
  <c r="H22" i="1" s="1"/>
  <c r="B23" i="1" s="1"/>
  <c r="C22" i="1"/>
  <c r="E23" i="1"/>
  <c r="F23" i="1"/>
  <c r="D23" i="1" s="1"/>
  <c r="G23" i="1" s="1"/>
  <c r="H23" i="1" s="1"/>
  <c r="C23" i="1" l="1"/>
  <c r="B24" i="1"/>
  <c r="E24" i="1" l="1"/>
  <c r="F24" i="1" s="1"/>
  <c r="D24" i="1" s="1"/>
  <c r="G24" i="1" l="1"/>
  <c r="H24" i="1" s="1"/>
  <c r="B25" i="1" s="1"/>
  <c r="C24" i="1"/>
  <c r="E25" i="1" l="1"/>
  <c r="F25" i="1" s="1"/>
  <c r="D25" i="1" s="1"/>
  <c r="G25" i="1" l="1"/>
  <c r="H25" i="1" s="1"/>
  <c r="B26" i="1" s="1"/>
  <c r="C25" i="1"/>
  <c r="E26" i="1" l="1"/>
  <c r="F26" i="1"/>
  <c r="D26" i="1" s="1"/>
  <c r="G26" i="1" s="1"/>
  <c r="H26" i="1" s="1"/>
  <c r="B27" i="1" s="1"/>
  <c r="E27" i="1" l="1"/>
  <c r="F27" i="1" s="1"/>
  <c r="D27" i="1" s="1"/>
  <c r="C26" i="1"/>
  <c r="G27" i="1" l="1"/>
  <c r="H27" i="1" s="1"/>
  <c r="B28" i="1" s="1"/>
  <c r="C27" i="1"/>
  <c r="E28" i="1"/>
  <c r="F28" i="1"/>
  <c r="D28" i="1" s="1"/>
  <c r="G28" i="1" s="1"/>
  <c r="H28" i="1" s="1"/>
  <c r="C28" i="1" l="1"/>
  <c r="B29" i="1"/>
  <c r="E29" i="1" l="1"/>
  <c r="F29" i="1"/>
  <c r="D29" i="1" s="1"/>
  <c r="G29" i="1" s="1"/>
  <c r="H29" i="1" s="1"/>
  <c r="C29" i="1" l="1"/>
  <c r="B30" i="1"/>
  <c r="D30" i="1" l="1"/>
  <c r="E30" i="1"/>
  <c r="F30" i="1" s="1"/>
  <c r="G30" i="1" l="1"/>
  <c r="H30" i="1" s="1"/>
  <c r="B31" i="1" s="1"/>
  <c r="C30" i="1"/>
  <c r="E31" i="1"/>
  <c r="F31" i="1" s="1"/>
  <c r="D31" i="1" s="1"/>
  <c r="G31" i="1" l="1"/>
  <c r="H31" i="1" s="1"/>
  <c r="B32" i="1" s="1"/>
  <c r="C31" i="1"/>
  <c r="E32" i="1" l="1"/>
  <c r="F32" i="1"/>
  <c r="D32" i="1" s="1"/>
  <c r="G32" i="1" s="1"/>
  <c r="H32" i="1" s="1"/>
  <c r="B33" i="1" s="1"/>
  <c r="E33" i="1" l="1"/>
  <c r="F33" i="1"/>
  <c r="C32" i="1"/>
  <c r="D33" i="1"/>
  <c r="C33" i="1" l="1"/>
  <c r="G33" i="1"/>
  <c r="H33" i="1" s="1"/>
  <c r="B34" i="1" s="1"/>
  <c r="E34" i="1" l="1"/>
  <c r="F34" i="1" s="1"/>
  <c r="D34" i="1" s="1"/>
  <c r="G34" i="1" l="1"/>
  <c r="H34" i="1" s="1"/>
  <c r="B35" i="1" s="1"/>
  <c r="C34" i="1"/>
  <c r="E35" i="1" l="1"/>
  <c r="F35" i="1"/>
  <c r="D35" i="1" s="1"/>
  <c r="G35" i="1" s="1"/>
  <c r="H35" i="1" s="1"/>
  <c r="B36" i="1" s="1"/>
  <c r="E36" i="1" l="1"/>
  <c r="F36" i="1"/>
  <c r="D36" i="1" s="1"/>
  <c r="G36" i="1" s="1"/>
  <c r="H36" i="1" s="1"/>
  <c r="B37" i="1" s="1"/>
  <c r="C35" i="1"/>
  <c r="E37" i="1" l="1"/>
  <c r="F37" i="1" s="1"/>
  <c r="D37" i="1" s="1"/>
  <c r="C36" i="1"/>
  <c r="D38" i="1"/>
  <c r="G37" i="1" l="1"/>
  <c r="H37" i="1" s="1"/>
  <c r="B38" i="1" s="1"/>
  <c r="C37" i="1"/>
  <c r="E38" i="1" l="1"/>
  <c r="F38" i="1"/>
  <c r="G38" i="1" s="1"/>
  <c r="H38" i="1" s="1"/>
  <c r="B39" i="1" s="1"/>
  <c r="C38" i="1" l="1"/>
  <c r="E39" i="1"/>
  <c r="F39" i="1"/>
  <c r="D39" i="1" s="1"/>
  <c r="G39" i="1" s="1"/>
  <c r="H39" i="1" s="1"/>
  <c r="B40" i="1" s="1"/>
  <c r="C39" i="1"/>
  <c r="E40" i="1" l="1"/>
  <c r="F40" i="1" s="1"/>
  <c r="D40" i="1" s="1"/>
  <c r="G40" i="1" l="1"/>
  <c r="H40" i="1" s="1"/>
  <c r="B41" i="1" s="1"/>
  <c r="C40" i="1"/>
  <c r="E41" i="1"/>
  <c r="F41" i="1"/>
  <c r="D41" i="1" s="1"/>
  <c r="G41" i="1" s="1"/>
  <c r="H41" i="1" s="1"/>
  <c r="C41" i="1" l="1"/>
  <c r="B42" i="1"/>
  <c r="F42" i="1" l="1"/>
  <c r="D42" i="1" s="1"/>
  <c r="G42" i="1" s="1"/>
  <c r="H42" i="1" s="1"/>
  <c r="B43" i="1" s="1"/>
  <c r="E42" i="1"/>
  <c r="C42" i="1" l="1"/>
  <c r="E43" i="1"/>
  <c r="F43" i="1"/>
  <c r="D43" i="1" s="1"/>
  <c r="G43" i="1" s="1"/>
  <c r="H43" i="1" s="1"/>
  <c r="C43" i="1" l="1"/>
  <c r="B44" i="1"/>
  <c r="E44" i="1" l="1"/>
  <c r="F44" i="1" s="1"/>
  <c r="D44" i="1" s="1"/>
  <c r="G44" i="1" l="1"/>
  <c r="H44" i="1" s="1"/>
  <c r="B45" i="1" s="1"/>
  <c r="C44" i="1"/>
  <c r="E45" i="1" l="1"/>
  <c r="F45" i="1" s="1"/>
  <c r="D45" i="1" s="1"/>
  <c r="G45" i="1" l="1"/>
  <c r="H45" i="1" s="1"/>
  <c r="B46" i="1" s="1"/>
  <c r="E46" i="1" s="1"/>
  <c r="C45" i="1"/>
  <c r="F46" i="1" l="1"/>
  <c r="D46" i="1" s="1"/>
  <c r="G46" i="1" s="1"/>
  <c r="H46" i="1" s="1"/>
  <c r="B47" i="1" s="1"/>
  <c r="C46" i="1"/>
  <c r="E47" i="1" l="1"/>
  <c r="F47" i="1" s="1"/>
  <c r="D47" i="1" s="1"/>
  <c r="G47" i="1" l="1"/>
  <c r="H47" i="1" s="1"/>
  <c r="B48" i="1" s="1"/>
  <c r="C47" i="1"/>
  <c r="D48" i="1"/>
  <c r="E48" i="1"/>
  <c r="F48" i="1" s="1"/>
  <c r="C48" i="1" s="1"/>
  <c r="G48" i="1" l="1"/>
  <c r="H48" i="1" s="1"/>
  <c r="B49" i="1" s="1"/>
  <c r="E49" i="1" l="1"/>
  <c r="F49" i="1" s="1"/>
  <c r="D49" i="1" s="1"/>
  <c r="D50" i="1"/>
  <c r="G49" i="1" l="1"/>
  <c r="H49" i="1" s="1"/>
  <c r="B50" i="1" s="1"/>
  <c r="C49" i="1"/>
  <c r="E50" i="1" l="1"/>
  <c r="F50" i="1" l="1"/>
  <c r="G50" i="1" s="1"/>
  <c r="H50" i="1" s="1"/>
  <c r="B51" i="1" s="1"/>
  <c r="E51" i="1" l="1"/>
  <c r="F51" i="1"/>
  <c r="D51" i="1" s="1"/>
  <c r="G51" i="1" s="1"/>
  <c r="H51" i="1" s="1"/>
  <c r="B52" i="1" s="1"/>
  <c r="C50" i="1"/>
  <c r="C51" i="1" l="1"/>
  <c r="E52" i="1"/>
  <c r="F52" i="1"/>
  <c r="D52" i="1" s="1"/>
  <c r="G52" i="1" s="1"/>
  <c r="H52" i="1" s="1"/>
  <c r="B53" i="1" s="1"/>
  <c r="E53" i="1" l="1"/>
  <c r="F53" i="1"/>
  <c r="D53" i="1" s="1"/>
  <c r="G53" i="1" s="1"/>
  <c r="H53" i="1" s="1"/>
  <c r="B54" i="1" s="1"/>
  <c r="C52" i="1"/>
  <c r="C53" i="1" l="1"/>
  <c r="E54" i="1"/>
  <c r="F54" i="1"/>
  <c r="D54" i="1" s="1"/>
  <c r="G54" i="1" s="1"/>
  <c r="H54" i="1" s="1"/>
  <c r="C54" i="1" l="1"/>
  <c r="B55" i="1"/>
  <c r="E55" i="1" l="1"/>
  <c r="F55" i="1" s="1"/>
  <c r="D55" i="1" s="1"/>
  <c r="G55" i="1" l="1"/>
  <c r="H55" i="1" s="1"/>
  <c r="B56" i="1" s="1"/>
  <c r="C55" i="1"/>
  <c r="E56" i="1" l="1"/>
  <c r="F56" i="1" s="1"/>
  <c r="D56" i="1" s="1"/>
  <c r="G56" i="1" l="1"/>
  <c r="H56" i="1" s="1"/>
  <c r="B57" i="1" s="1"/>
  <c r="C56" i="1"/>
  <c r="E57" i="1" l="1"/>
  <c r="F57" i="1"/>
  <c r="D57" i="1" s="1"/>
  <c r="G57" i="1" s="1"/>
  <c r="H57" i="1" s="1"/>
  <c r="B58" i="1" s="1"/>
  <c r="E58" i="1" l="1"/>
  <c r="F58" i="1"/>
  <c r="D58" i="1" s="1"/>
  <c r="G58" i="1" s="1"/>
  <c r="H58" i="1" s="1"/>
  <c r="B59" i="1" s="1"/>
  <c r="C57" i="1"/>
  <c r="C58" i="1" l="1"/>
  <c r="E59" i="1"/>
  <c r="F59" i="1" s="1"/>
  <c r="D59" i="1" s="1"/>
  <c r="G59" i="1" l="1"/>
  <c r="H59" i="1" s="1"/>
  <c r="B60" i="1" s="1"/>
  <c r="C59" i="1"/>
  <c r="D60" i="1" l="1"/>
  <c r="E60" i="1"/>
  <c r="F60" i="1" s="1"/>
  <c r="G60" i="1" l="1"/>
  <c r="H60" i="1" s="1"/>
  <c r="B61" i="1" s="1"/>
  <c r="C60" i="1"/>
  <c r="E61" i="1"/>
  <c r="F61" i="1"/>
  <c r="D61" i="1" s="1"/>
  <c r="G61" i="1" s="1"/>
  <c r="H61" i="1" s="1"/>
  <c r="C61" i="1" l="1"/>
  <c r="B62" i="1"/>
  <c r="E62" i="1" l="1"/>
  <c r="F62" i="1"/>
  <c r="D62" i="1"/>
  <c r="G62" i="1" l="1"/>
  <c r="H62" i="1" s="1"/>
  <c r="C62" i="1"/>
  <c r="B63" i="1"/>
  <c r="E63" i="1"/>
  <c r="F63" i="1" s="1"/>
  <c r="D63" i="1"/>
  <c r="G63" i="1" l="1"/>
  <c r="H63" i="1" s="1"/>
  <c r="B64" i="1" s="1"/>
  <c r="C63" i="1"/>
  <c r="F64" i="1" l="1"/>
  <c r="D64" i="1" s="1"/>
  <c r="G64" i="1" s="1"/>
  <c r="H64" i="1" s="1"/>
  <c r="B65" i="1" s="1"/>
  <c r="E64" i="1"/>
  <c r="E65" i="1" l="1"/>
  <c r="F65" i="1"/>
  <c r="D65" i="1" s="1"/>
  <c r="G65" i="1" s="1"/>
  <c r="H65" i="1" s="1"/>
  <c r="B66" i="1" s="1"/>
  <c r="C64" i="1"/>
  <c r="C65" i="1" l="1"/>
  <c r="E66" i="1"/>
  <c r="F66" i="1" s="1"/>
  <c r="D66" i="1" s="1"/>
  <c r="G66" i="1" l="1"/>
  <c r="H66" i="1" s="1"/>
  <c r="B67" i="1" s="1"/>
  <c r="C66" i="1"/>
  <c r="E67" i="1"/>
  <c r="F67" i="1"/>
  <c r="D67" i="1"/>
  <c r="C67" i="1" l="1"/>
  <c r="G67" i="1"/>
  <c r="H67" i="1" s="1"/>
  <c r="B68" i="1" s="1"/>
  <c r="E68" i="1" l="1"/>
  <c r="F68" i="1" s="1"/>
  <c r="D68" i="1" s="1"/>
  <c r="G68" i="1" l="1"/>
  <c r="H68" i="1" s="1"/>
  <c r="B69" i="1" s="1"/>
  <c r="C68" i="1"/>
  <c r="E69" i="1"/>
  <c r="F69" i="1"/>
  <c r="D69" i="1" s="1"/>
  <c r="G69" i="1" s="1"/>
  <c r="H69" i="1" s="1"/>
  <c r="C69" i="1" l="1"/>
  <c r="B70" i="1"/>
  <c r="E70" i="1"/>
  <c r="F70" i="1" s="1"/>
  <c r="D70" i="1" s="1"/>
  <c r="G70" i="1" l="1"/>
  <c r="H70" i="1" s="1"/>
  <c r="B71" i="1" s="1"/>
  <c r="C70" i="1"/>
  <c r="E71" i="1" l="1"/>
  <c r="F71" i="1"/>
  <c r="D71" i="1" s="1"/>
  <c r="G71" i="1" s="1"/>
  <c r="H71" i="1" s="1"/>
  <c r="C71" i="1" l="1"/>
  <c r="B72" i="1"/>
  <c r="D72" i="1" l="1"/>
  <c r="E72" i="1"/>
  <c r="F72" i="1" s="1"/>
  <c r="C72" i="1" l="1"/>
  <c r="G72" i="1"/>
  <c r="H72" i="1" s="1"/>
  <c r="B73" i="1"/>
  <c r="E73" i="1"/>
  <c r="F73" i="1" s="1"/>
  <c r="D73" i="1" s="1"/>
  <c r="G73" i="1" s="1"/>
  <c r="H73" i="1" s="1"/>
  <c r="C73" i="1" l="1"/>
  <c r="B74" i="1"/>
  <c r="E74" i="1" l="1"/>
  <c r="F74" i="1"/>
  <c r="D74" i="1" s="1"/>
  <c r="G74" i="1" s="1"/>
  <c r="H74" i="1" s="1"/>
  <c r="B75" i="1" s="1"/>
  <c r="C74" i="1" l="1"/>
  <c r="C75" i="1"/>
  <c r="F75" i="1"/>
  <c r="D75" i="1" s="1"/>
  <c r="G75" i="1" s="1"/>
  <c r="E75" i="1"/>
  <c r="H75" i="1"/>
  <c r="B76" i="1" l="1"/>
  <c r="C76" i="1" l="1"/>
  <c r="H76" i="1"/>
  <c r="E76" i="1"/>
  <c r="F76" i="1"/>
  <c r="D76" i="1" s="1"/>
  <c r="G76" i="1" s="1"/>
  <c r="B77" i="1" l="1"/>
  <c r="E77" i="1" l="1"/>
  <c r="F77" i="1"/>
  <c r="D77" i="1" s="1"/>
  <c r="G77" i="1" s="1"/>
  <c r="C77" i="1"/>
  <c r="H77" i="1"/>
  <c r="B78" i="1" s="1"/>
  <c r="H78" i="1" l="1"/>
  <c r="C78" i="1"/>
  <c r="F78" i="1"/>
  <c r="D78" i="1"/>
  <c r="G78" i="1" s="1"/>
  <c r="E78" i="1"/>
  <c r="B79" i="1" l="1"/>
  <c r="E79" i="1" l="1"/>
  <c r="C79" i="1"/>
  <c r="H79" i="1"/>
  <c r="F79" i="1"/>
  <c r="D79" i="1" s="1"/>
  <c r="G79" i="1" s="1"/>
  <c r="B80" i="1" l="1"/>
  <c r="C80" i="1" l="1"/>
  <c r="H80" i="1"/>
  <c r="F80" i="1"/>
  <c r="D80" i="1" s="1"/>
  <c r="G80" i="1" s="1"/>
  <c r="E80" i="1"/>
  <c r="B81" i="1" l="1"/>
  <c r="F81" i="1" l="1"/>
  <c r="D81" i="1" s="1"/>
  <c r="G81" i="1" s="1"/>
  <c r="C81" i="1"/>
  <c r="H81" i="1"/>
  <c r="B82" i="1" s="1"/>
  <c r="E81" i="1"/>
  <c r="H82" i="1" l="1"/>
  <c r="E82" i="1"/>
  <c r="C82" i="1"/>
  <c r="F82" i="1"/>
  <c r="D82" i="1" s="1"/>
  <c r="G82" i="1" s="1"/>
  <c r="B83" i="1" l="1"/>
  <c r="H83" i="1" l="1"/>
  <c r="E83" i="1"/>
  <c r="F83" i="1"/>
  <c r="D83" i="1" s="1"/>
  <c r="G83" i="1" s="1"/>
  <c r="C83" i="1"/>
  <c r="B84" i="1" l="1"/>
  <c r="E84" i="1" l="1"/>
  <c r="C84" i="1"/>
  <c r="F84" i="1"/>
  <c r="D84" i="1" s="1"/>
  <c r="G84" i="1" s="1"/>
  <c r="H84" i="1"/>
  <c r="B85" i="1" l="1"/>
  <c r="C85" i="1" s="1"/>
  <c r="F85" i="1"/>
  <c r="E85" i="1"/>
  <c r="D85" i="1"/>
  <c r="G85" i="1" l="1"/>
  <c r="H85" i="1"/>
  <c r="B86" i="1"/>
  <c r="F86" i="1" l="1"/>
  <c r="D86" i="1" s="1"/>
  <c r="G86" i="1" s="1"/>
  <c r="C86" i="1"/>
  <c r="E86" i="1"/>
  <c r="H86" i="1"/>
  <c r="B87" i="1" s="1"/>
  <c r="H87" i="1" l="1"/>
  <c r="C87" i="1"/>
  <c r="F87" i="1"/>
  <c r="D87" i="1" s="1"/>
  <c r="G87" i="1" s="1"/>
  <c r="E87" i="1"/>
  <c r="B88" i="1" l="1"/>
  <c r="C88" i="1" l="1"/>
  <c r="E88" i="1"/>
  <c r="F88" i="1"/>
  <c r="D88" i="1" s="1"/>
  <c r="G88" i="1" s="1"/>
  <c r="H88" i="1"/>
  <c r="B89" i="1" s="1"/>
  <c r="C89" i="1" l="1"/>
  <c r="F89" i="1"/>
  <c r="D89" i="1" s="1"/>
  <c r="G89" i="1" s="1"/>
  <c r="H89" i="1"/>
  <c r="E89" i="1"/>
  <c r="B90" i="1" l="1"/>
  <c r="H90" i="1"/>
  <c r="C90" i="1"/>
  <c r="F90" i="1"/>
  <c r="D90" i="1" s="1"/>
  <c r="G90" i="1" s="1"/>
  <c r="E90" i="1"/>
  <c r="B91" i="1" l="1"/>
  <c r="F91" i="1" l="1"/>
  <c r="D91" i="1" s="1"/>
  <c r="G91" i="1" s="1"/>
  <c r="H91" i="1"/>
  <c r="B92" i="1" s="1"/>
  <c r="E91" i="1"/>
  <c r="C91" i="1"/>
  <c r="C92" i="1" l="1"/>
  <c r="F92" i="1"/>
  <c r="D92" i="1" s="1"/>
  <c r="G92" i="1" s="1"/>
  <c r="E92" i="1"/>
  <c r="H92" i="1"/>
  <c r="B93" i="1" s="1"/>
  <c r="E93" i="1" l="1"/>
  <c r="C93" i="1"/>
  <c r="F93" i="1"/>
  <c r="D93" i="1" s="1"/>
  <c r="G93" i="1" s="1"/>
  <c r="H93" i="1"/>
  <c r="B94" i="1" s="1"/>
  <c r="H94" i="1" l="1"/>
  <c r="F94" i="1"/>
  <c r="D94" i="1" s="1"/>
  <c r="G94" i="1" s="1"/>
  <c r="E94" i="1"/>
  <c r="C94" i="1"/>
  <c r="B95" i="1" l="1"/>
  <c r="E95" i="1" l="1"/>
  <c r="F95" i="1"/>
  <c r="D95" i="1" s="1"/>
  <c r="G95" i="1" s="1"/>
  <c r="H95" i="1"/>
  <c r="B96" i="1" s="1"/>
  <c r="C95" i="1"/>
  <c r="E96" i="1" l="1"/>
  <c r="C96" i="1"/>
  <c r="H96" i="1"/>
  <c r="F96" i="1"/>
  <c r="D96" i="1" s="1"/>
  <c r="G96" i="1" s="1"/>
  <c r="B97" i="1" l="1"/>
  <c r="E97" i="1" l="1"/>
  <c r="F97" i="1"/>
  <c r="D97" i="1" s="1"/>
  <c r="G97" i="1" s="1"/>
  <c r="C97" i="1"/>
  <c r="H97" i="1"/>
  <c r="B98" i="1" s="1"/>
  <c r="H98" i="1" l="1"/>
  <c r="F98" i="1"/>
  <c r="C98" i="1"/>
  <c r="D98" i="1"/>
  <c r="G98" i="1" s="1"/>
  <c r="E98" i="1"/>
  <c r="B99" i="1" l="1"/>
  <c r="C99" i="1" l="1"/>
  <c r="F99" i="1"/>
  <c r="D99" i="1" s="1"/>
  <c r="G99" i="1" s="1"/>
  <c r="E99" i="1"/>
  <c r="H99" i="1"/>
  <c r="B100" i="1" l="1"/>
  <c r="C100" i="1" l="1"/>
  <c r="H100" i="1"/>
  <c r="F100" i="1"/>
  <c r="D100" i="1" s="1"/>
  <c r="G100" i="1" s="1"/>
  <c r="E100" i="1"/>
  <c r="B101" i="1" l="1"/>
  <c r="C101" i="1" l="1"/>
  <c r="F101" i="1"/>
  <c r="D101" i="1" s="1"/>
  <c r="G101" i="1" s="1"/>
  <c r="E101" i="1"/>
  <c r="H101" i="1"/>
  <c r="B102" i="1" s="1"/>
  <c r="E102" i="1" l="1"/>
  <c r="C102" i="1"/>
  <c r="F102" i="1"/>
  <c r="D102" i="1" s="1"/>
  <c r="G102" i="1" s="1"/>
  <c r="H102" i="1"/>
  <c r="B103" i="1" s="1"/>
  <c r="F103" i="1" l="1"/>
  <c r="D103" i="1" s="1"/>
  <c r="G103" i="1" s="1"/>
  <c r="E103" i="1"/>
  <c r="H103" i="1"/>
  <c r="C103" i="1"/>
  <c r="B104" i="1" l="1"/>
  <c r="E104" i="1" l="1"/>
  <c r="H104" i="1"/>
  <c r="F104" i="1"/>
  <c r="D104" i="1" s="1"/>
  <c r="G104" i="1" s="1"/>
  <c r="C104" i="1"/>
  <c r="B105" i="1" l="1"/>
  <c r="C105" i="1" s="1"/>
  <c r="E105" i="1" l="1"/>
  <c r="H105" i="1"/>
  <c r="F105" i="1"/>
  <c r="D105" i="1" s="1"/>
  <c r="G105" i="1" s="1"/>
  <c r="B106" i="1" l="1"/>
  <c r="C106" i="1" l="1"/>
  <c r="F106" i="1"/>
  <c r="D106" i="1" s="1"/>
  <c r="G106" i="1" s="1"/>
  <c r="H106" i="1"/>
  <c r="E106" i="1"/>
  <c r="B107" i="1" l="1"/>
  <c r="H107" i="1" s="1"/>
  <c r="F107" i="1" l="1"/>
  <c r="D107" i="1" s="1"/>
  <c r="G107" i="1" s="1"/>
  <c r="C107" i="1"/>
  <c r="E107" i="1"/>
  <c r="B108" i="1"/>
  <c r="H108" i="1" l="1"/>
  <c r="F108" i="1"/>
  <c r="D108" i="1" s="1"/>
  <c r="G108" i="1" s="1"/>
  <c r="C108" i="1"/>
  <c r="E108" i="1"/>
  <c r="B109" i="1" l="1"/>
  <c r="E109" i="1" l="1"/>
  <c r="H109" i="1"/>
  <c r="F109" i="1"/>
  <c r="D109" i="1" s="1"/>
  <c r="G109" i="1" s="1"/>
  <c r="C109" i="1"/>
  <c r="B110" i="1" l="1"/>
  <c r="H110" i="1" l="1"/>
  <c r="E110" i="1"/>
  <c r="F110" i="1"/>
  <c r="D110" i="1" s="1"/>
  <c r="G110" i="1" s="1"/>
  <c r="C110" i="1"/>
  <c r="B111" i="1" l="1"/>
  <c r="E111" i="1" l="1"/>
  <c r="C111" i="1"/>
  <c r="F111" i="1"/>
  <c r="D111" i="1" s="1"/>
  <c r="G111" i="1" s="1"/>
  <c r="H111" i="1"/>
  <c r="B112" i="1" s="1"/>
  <c r="H112" i="1" l="1"/>
  <c r="F112" i="1"/>
  <c r="C112" i="1"/>
  <c r="D112" i="1"/>
  <c r="G112" i="1" s="1"/>
  <c r="E112" i="1"/>
  <c r="B113" i="1" l="1"/>
  <c r="C113" i="1" l="1"/>
  <c r="H113" i="1"/>
  <c r="F113" i="1"/>
  <c r="D113" i="1" s="1"/>
  <c r="G113" i="1" s="1"/>
  <c r="E113" i="1"/>
  <c r="B114" i="1" l="1"/>
  <c r="H114" i="1" l="1"/>
  <c r="C114" i="1"/>
  <c r="F114" i="1"/>
  <c r="D114" i="1" s="1"/>
  <c r="G114" i="1" s="1"/>
  <c r="E114" i="1"/>
  <c r="B115" i="1" l="1"/>
  <c r="H115" i="1" l="1"/>
  <c r="F115" i="1"/>
  <c r="D115" i="1" s="1"/>
  <c r="G115" i="1" s="1"/>
  <c r="E115" i="1"/>
  <c r="C115" i="1"/>
  <c r="B116" i="1" l="1"/>
  <c r="F116" i="1" l="1"/>
  <c r="D116" i="1" s="1"/>
  <c r="G116" i="1" s="1"/>
  <c r="C116" i="1"/>
  <c r="E116" i="1"/>
  <c r="H116" i="1"/>
  <c r="B117" i="1" s="1"/>
  <c r="H117" i="1" l="1"/>
  <c r="C117" i="1"/>
  <c r="E117" i="1"/>
  <c r="F117" i="1"/>
  <c r="D117" i="1" s="1"/>
  <c r="G117" i="1" s="1"/>
  <c r="B118" i="1" l="1"/>
  <c r="E118" i="1" l="1"/>
  <c r="H118" i="1"/>
  <c r="C118" i="1"/>
  <c r="F118" i="1"/>
  <c r="D118" i="1" s="1"/>
  <c r="G118" i="1" s="1"/>
  <c r="B119" i="1" l="1"/>
  <c r="C119" i="1" l="1"/>
  <c r="F119" i="1"/>
  <c r="D119" i="1" s="1"/>
  <c r="G119" i="1" s="1"/>
  <c r="H119" i="1"/>
  <c r="B120" i="1" s="1"/>
  <c r="E119" i="1"/>
  <c r="F120" i="1" l="1"/>
  <c r="D120" i="1" s="1"/>
  <c r="G120" i="1" s="1"/>
  <c r="E120" i="1"/>
  <c r="C120" i="1"/>
  <c r="H120" i="1"/>
  <c r="B121" i="1" l="1"/>
  <c r="C121" i="1"/>
  <c r="F121" i="1"/>
  <c r="D121" i="1" s="1"/>
  <c r="G121" i="1" s="1"/>
  <c r="E121" i="1"/>
  <c r="H121" i="1"/>
  <c r="B122" i="1" s="1"/>
  <c r="C122" i="1" l="1"/>
  <c r="E122" i="1"/>
  <c r="H122" i="1"/>
  <c r="F122" i="1"/>
  <c r="D122" i="1" s="1"/>
  <c r="G122" i="1" s="1"/>
  <c r="B123" i="1" l="1"/>
  <c r="E123" i="1" l="1"/>
  <c r="C123" i="1"/>
  <c r="H123" i="1"/>
  <c r="F123" i="1"/>
  <c r="D123" i="1" s="1"/>
  <c r="G123" i="1" s="1"/>
  <c r="B124" i="1" l="1"/>
  <c r="F124" i="1" l="1"/>
  <c r="D124" i="1" s="1"/>
  <c r="G124" i="1" s="1"/>
  <c r="H124" i="1"/>
  <c r="B125" i="1" s="1"/>
  <c r="E124" i="1"/>
  <c r="C124" i="1"/>
  <c r="H125" i="1" l="1"/>
  <c r="F125" i="1"/>
  <c r="D125" i="1" s="1"/>
  <c r="G125" i="1" s="1"/>
  <c r="C125" i="1"/>
  <c r="E125" i="1"/>
  <c r="B126" i="1" l="1"/>
  <c r="E126" i="1" s="1"/>
  <c r="F126" i="1"/>
  <c r="D126" i="1" s="1"/>
  <c r="G126" i="1" s="1"/>
  <c r="C126" i="1"/>
  <c r="H126" i="1"/>
  <c r="B127" i="1" l="1"/>
  <c r="E127" i="1"/>
  <c r="C127" i="1"/>
  <c r="F127" i="1"/>
  <c r="D127" i="1" s="1"/>
  <c r="G127" i="1" s="1"/>
  <c r="H127" i="1"/>
  <c r="B128" i="1" s="1"/>
  <c r="C128" i="1" l="1"/>
  <c r="F128" i="1"/>
  <c r="D128" i="1" s="1"/>
  <c r="G128" i="1" s="1"/>
  <c r="E128" i="1"/>
  <c r="H128" i="1"/>
  <c r="B129" i="1" l="1"/>
  <c r="E129" i="1" l="1"/>
  <c r="H129" i="1"/>
  <c r="F129" i="1"/>
  <c r="D129" i="1" s="1"/>
  <c r="G129" i="1" s="1"/>
  <c r="C129" i="1"/>
  <c r="B130" i="1" l="1"/>
  <c r="E130" i="1" l="1"/>
  <c r="F130" i="1"/>
  <c r="D130" i="1" s="1"/>
  <c r="G130" i="1" s="1"/>
  <c r="H130" i="1"/>
  <c r="B131" i="1" s="1"/>
  <c r="C130" i="1"/>
  <c r="F131" i="1" l="1"/>
  <c r="D131" i="1" s="1"/>
  <c r="G131" i="1" s="1"/>
  <c r="H131" i="1"/>
  <c r="B132" i="1" s="1"/>
  <c r="C131" i="1"/>
  <c r="E131" i="1"/>
  <c r="F132" i="1" l="1"/>
  <c r="D132" i="1" s="1"/>
  <c r="G132" i="1" s="1"/>
  <c r="E132" i="1"/>
  <c r="H132" i="1"/>
  <c r="B133" i="1" s="1"/>
  <c r="C132" i="1"/>
  <c r="C133" i="1" l="1"/>
  <c r="E133" i="1"/>
  <c r="F133" i="1"/>
  <c r="D133" i="1" s="1"/>
  <c r="G133" i="1" s="1"/>
  <c r="H133" i="1"/>
  <c r="B134" i="1" l="1"/>
  <c r="C134" i="1"/>
  <c r="F134" i="1"/>
  <c r="D134" i="1" s="1"/>
  <c r="G134" i="1" s="1"/>
  <c r="E134" i="1"/>
  <c r="H134" i="1"/>
  <c r="B135" i="1" s="1"/>
  <c r="H135" i="1" l="1"/>
  <c r="C135" i="1"/>
  <c r="F135" i="1"/>
  <c r="D135" i="1" s="1"/>
  <c r="G135" i="1" s="1"/>
  <c r="E135" i="1"/>
  <c r="B136" i="1" l="1"/>
  <c r="H136" i="1" l="1"/>
  <c r="E136" i="1"/>
  <c r="F136" i="1"/>
  <c r="D136" i="1" s="1"/>
  <c r="G136" i="1" s="1"/>
  <c r="C136" i="1"/>
  <c r="B137" i="1" l="1"/>
  <c r="H137" i="1" l="1"/>
  <c r="C137" i="1"/>
  <c r="F137" i="1"/>
  <c r="D137" i="1" s="1"/>
  <c r="G137" i="1" s="1"/>
  <c r="E137" i="1"/>
  <c r="B138" i="1" l="1"/>
  <c r="H138" i="1" l="1"/>
  <c r="E138" i="1"/>
  <c r="C138" i="1"/>
  <c r="F138" i="1"/>
  <c r="D138" i="1" s="1"/>
  <c r="G138" i="1" s="1"/>
  <c r="B139" i="1" l="1"/>
  <c r="E139" i="1" l="1"/>
  <c r="F139" i="1"/>
  <c r="D139" i="1" s="1"/>
  <c r="G139" i="1" s="1"/>
  <c r="H139" i="1"/>
  <c r="B140" i="1" s="1"/>
  <c r="C139" i="1"/>
  <c r="E140" i="1" l="1"/>
  <c r="H140" i="1"/>
  <c r="C140" i="1"/>
  <c r="F140" i="1"/>
  <c r="D140" i="1" s="1"/>
  <c r="G140" i="1" s="1"/>
  <c r="B141" i="1" l="1"/>
  <c r="H141" i="1" l="1"/>
  <c r="F141" i="1"/>
  <c r="D141" i="1" s="1"/>
  <c r="G141" i="1" s="1"/>
  <c r="E141" i="1"/>
  <c r="C141" i="1"/>
  <c r="B142" i="1" l="1"/>
  <c r="E142" i="1" l="1"/>
  <c r="H142" i="1"/>
  <c r="F142" i="1"/>
  <c r="D142" i="1" s="1"/>
  <c r="G142" i="1" s="1"/>
  <c r="C142" i="1"/>
  <c r="B143" i="1" l="1"/>
  <c r="E143" i="1" l="1"/>
  <c r="H143" i="1"/>
  <c r="C143" i="1"/>
  <c r="F143" i="1"/>
  <c r="D143" i="1" s="1"/>
  <c r="G143" i="1" s="1"/>
  <c r="B144" i="1" l="1"/>
  <c r="E144" i="1" l="1"/>
  <c r="F144" i="1"/>
  <c r="D144" i="1" s="1"/>
  <c r="G144" i="1" s="1"/>
  <c r="C144" i="1"/>
  <c r="H144" i="1"/>
  <c r="B145" i="1" s="1"/>
  <c r="E145" i="1" l="1"/>
  <c r="H145" i="1"/>
  <c r="C145" i="1"/>
  <c r="F145" i="1"/>
  <c r="D145" i="1" s="1"/>
  <c r="G145" i="1" s="1"/>
  <c r="B146" i="1" l="1"/>
  <c r="E146" i="1" l="1"/>
  <c r="H146" i="1"/>
  <c r="F146" i="1"/>
  <c r="D146" i="1" s="1"/>
  <c r="G146" i="1" s="1"/>
  <c r="C146" i="1"/>
  <c r="B147" i="1" l="1"/>
  <c r="E147" i="1" l="1"/>
  <c r="C147" i="1"/>
  <c r="H147" i="1"/>
  <c r="F147" i="1"/>
  <c r="D147" i="1" s="1"/>
  <c r="G147" i="1" s="1"/>
  <c r="B148" i="1" l="1"/>
  <c r="C148" i="1" l="1"/>
  <c r="H148" i="1"/>
  <c r="E148" i="1"/>
  <c r="F148" i="1"/>
  <c r="D148" i="1" s="1"/>
  <c r="G148" i="1" s="1"/>
  <c r="B149" i="1" l="1"/>
  <c r="H149" i="1" l="1"/>
  <c r="E149" i="1"/>
  <c r="C149" i="1"/>
  <c r="F149" i="1"/>
  <c r="D149" i="1" s="1"/>
  <c r="G149" i="1" s="1"/>
  <c r="B150" i="1" l="1"/>
  <c r="F150" i="1" s="1"/>
  <c r="D150" i="1" s="1"/>
  <c r="G150" i="1" s="1"/>
  <c r="C150" i="1" l="1"/>
  <c r="E150" i="1"/>
  <c r="H150" i="1"/>
  <c r="B151" i="1"/>
  <c r="C151" i="1" l="1"/>
  <c r="H151" i="1"/>
  <c r="E151" i="1"/>
  <c r="F151" i="1"/>
  <c r="D151" i="1" s="1"/>
  <c r="G151" i="1" s="1"/>
  <c r="B152" i="1" l="1"/>
  <c r="F152" i="1" l="1"/>
  <c r="D152" i="1" s="1"/>
  <c r="G152" i="1" s="1"/>
  <c r="H152" i="1"/>
  <c r="B153" i="1" s="1"/>
  <c r="C152" i="1"/>
  <c r="E152" i="1"/>
  <c r="E153" i="1" l="1"/>
  <c r="F153" i="1"/>
  <c r="D153" i="1" s="1"/>
  <c r="G153" i="1" s="1"/>
  <c r="C153" i="1"/>
  <c r="H153" i="1"/>
  <c r="B154" i="1" l="1"/>
  <c r="F154" i="1"/>
  <c r="D154" i="1" s="1"/>
  <c r="G154" i="1" s="1"/>
  <c r="H154" i="1"/>
  <c r="B155" i="1" s="1"/>
  <c r="E154" i="1"/>
  <c r="C154" i="1"/>
  <c r="E155" i="1" l="1"/>
  <c r="C155" i="1"/>
  <c r="F155" i="1"/>
  <c r="D155" i="1" s="1"/>
  <c r="G155" i="1" s="1"/>
  <c r="H155" i="1"/>
  <c r="B156" i="1" s="1"/>
  <c r="H156" i="1" l="1"/>
  <c r="E156" i="1"/>
  <c r="C156" i="1"/>
  <c r="F156" i="1"/>
  <c r="D156" i="1" s="1"/>
  <c r="G156" i="1" s="1"/>
  <c r="B157" i="1" l="1"/>
  <c r="E157" i="1" l="1"/>
  <c r="H157" i="1"/>
  <c r="F157" i="1"/>
  <c r="D157" i="1" s="1"/>
  <c r="G157" i="1" s="1"/>
  <c r="C157" i="1"/>
  <c r="B158" i="1" l="1"/>
  <c r="F158" i="1" l="1"/>
  <c r="D158" i="1" s="1"/>
  <c r="G158" i="1" s="1"/>
  <c r="H158" i="1"/>
  <c r="B159" i="1" s="1"/>
  <c r="C158" i="1"/>
  <c r="E158" i="1"/>
  <c r="F159" i="1" l="1"/>
  <c r="D159" i="1" s="1"/>
  <c r="G159" i="1" s="1"/>
  <c r="H159" i="1"/>
  <c r="B160" i="1" s="1"/>
  <c r="E159" i="1"/>
  <c r="C159" i="1"/>
  <c r="E160" i="1" l="1"/>
  <c r="C160" i="1"/>
  <c r="H160" i="1"/>
  <c r="F160" i="1"/>
  <c r="D160" i="1" s="1"/>
  <c r="G160" i="1" s="1"/>
  <c r="B161" i="1" l="1"/>
  <c r="H161" i="1" l="1"/>
  <c r="E161" i="1"/>
  <c r="F161" i="1"/>
  <c r="D161" i="1" s="1"/>
  <c r="G161" i="1" s="1"/>
  <c r="C161" i="1"/>
  <c r="B162" i="1" l="1"/>
  <c r="C162" i="1" l="1"/>
  <c r="E162" i="1"/>
  <c r="F162" i="1"/>
  <c r="D162" i="1" s="1"/>
  <c r="G162" i="1" s="1"/>
  <c r="H162" i="1"/>
  <c r="B163" i="1" l="1"/>
  <c r="C163" i="1" s="1"/>
  <c r="H163" i="1"/>
  <c r="F163" i="1"/>
  <c r="D163" i="1" s="1"/>
  <c r="G163" i="1" s="1"/>
  <c r="E163" i="1" l="1"/>
  <c r="B164" i="1"/>
  <c r="E164" i="1" l="1"/>
  <c r="H164" i="1"/>
  <c r="F164" i="1"/>
  <c r="D164" i="1" s="1"/>
  <c r="G164" i="1" s="1"/>
  <c r="C164" i="1"/>
  <c r="B165" i="1" l="1"/>
  <c r="E165" i="1" l="1"/>
  <c r="H165" i="1"/>
  <c r="C165" i="1"/>
  <c r="F165" i="1"/>
  <c r="D165" i="1" s="1"/>
  <c r="G165" i="1" s="1"/>
  <c r="B166" i="1" l="1"/>
  <c r="H166" i="1" l="1"/>
  <c r="E166" i="1"/>
  <c r="C166" i="1"/>
  <c r="F166" i="1"/>
  <c r="D166" i="1" s="1"/>
  <c r="G166" i="1" s="1"/>
  <c r="B167" i="1" l="1"/>
  <c r="E167" i="1" l="1"/>
  <c r="F167" i="1"/>
  <c r="D167" i="1" s="1"/>
  <c r="G167" i="1" s="1"/>
  <c r="H167" i="1"/>
  <c r="C167" i="1"/>
  <c r="B168" i="1" l="1"/>
  <c r="F168" i="1"/>
  <c r="D168" i="1" s="1"/>
  <c r="G168" i="1" s="1"/>
  <c r="H168" i="1"/>
  <c r="C168" i="1"/>
  <c r="E168" i="1"/>
  <c r="B169" i="1" l="1"/>
  <c r="F169" i="1"/>
  <c r="D169" i="1" s="1"/>
  <c r="G169" i="1" s="1"/>
  <c r="H169" i="1"/>
  <c r="B170" i="1" s="1"/>
  <c r="E169" i="1"/>
  <c r="C169" i="1"/>
  <c r="C170" i="1" l="1"/>
  <c r="E170" i="1"/>
  <c r="F170" i="1"/>
  <c r="D170" i="1" s="1"/>
  <c r="G170" i="1" s="1"/>
  <c r="H170" i="1"/>
  <c r="B171" i="1" l="1"/>
  <c r="H171" i="1"/>
  <c r="E171" i="1"/>
  <c r="F171" i="1"/>
  <c r="D171" i="1" s="1"/>
  <c r="G171" i="1" s="1"/>
  <c r="C171" i="1"/>
  <c r="B172" i="1" l="1"/>
  <c r="C172" i="1" l="1"/>
  <c r="E172" i="1"/>
  <c r="F172" i="1"/>
  <c r="D172" i="1" s="1"/>
  <c r="G172" i="1" s="1"/>
  <c r="H172" i="1"/>
  <c r="B173" i="1" l="1"/>
  <c r="C173" i="1" l="1"/>
  <c r="F173" i="1"/>
  <c r="D173" i="1" s="1"/>
  <c r="G173" i="1" s="1"/>
  <c r="H173" i="1"/>
  <c r="E173" i="1"/>
  <c r="B174" i="1" l="1"/>
  <c r="C174" i="1"/>
  <c r="E174" i="1"/>
  <c r="F174" i="1"/>
  <c r="D174" i="1" s="1"/>
  <c r="G174" i="1" s="1"/>
  <c r="H174" i="1"/>
  <c r="B175" i="1" l="1"/>
  <c r="E175" i="1"/>
  <c r="C175" i="1"/>
  <c r="F175" i="1"/>
  <c r="D175" i="1" s="1"/>
  <c r="G175" i="1" s="1"/>
  <c r="H175" i="1"/>
  <c r="B176" i="1" s="1"/>
  <c r="C176" i="1" l="1"/>
  <c r="F176" i="1"/>
  <c r="D176" i="1" s="1"/>
  <c r="G176" i="1" s="1"/>
  <c r="H176" i="1"/>
  <c r="E176" i="1"/>
  <c r="B177" i="1" l="1"/>
  <c r="H177" i="1" s="1"/>
  <c r="E177" i="1"/>
  <c r="F177" i="1" l="1"/>
  <c r="D177" i="1" s="1"/>
  <c r="G177" i="1" s="1"/>
  <c r="C177" i="1"/>
  <c r="B178" i="1" l="1"/>
  <c r="E178" i="1" l="1"/>
  <c r="H178" i="1"/>
  <c r="C178" i="1"/>
  <c r="F178" i="1"/>
  <c r="D178" i="1" s="1"/>
  <c r="G178" i="1" s="1"/>
  <c r="B179" i="1" l="1"/>
  <c r="F179" i="1" l="1"/>
  <c r="D179" i="1" s="1"/>
  <c r="G179" i="1" s="1"/>
  <c r="C179" i="1"/>
  <c r="E179" i="1"/>
  <c r="H179" i="1"/>
  <c r="B180" i="1" s="1"/>
  <c r="H180" i="1" l="1"/>
  <c r="C180" i="1"/>
  <c r="F180" i="1"/>
  <c r="D180" i="1" s="1"/>
  <c r="G180" i="1" s="1"/>
  <c r="E180" i="1"/>
  <c r="B181" i="1" l="1"/>
  <c r="C181" i="1" l="1"/>
  <c r="E181" i="1"/>
  <c r="F181" i="1"/>
  <c r="D181" i="1" s="1"/>
  <c r="G181" i="1" s="1"/>
  <c r="H181" i="1"/>
  <c r="B182" i="1" s="1"/>
  <c r="C182" i="1" s="1"/>
  <c r="F182" i="1" l="1"/>
  <c r="D182" i="1" s="1"/>
  <c r="G182" i="1" s="1"/>
  <c r="H182" i="1"/>
  <c r="E182" i="1"/>
  <c r="B183" i="1"/>
  <c r="F183" i="1" l="1"/>
  <c r="D183" i="1" s="1"/>
  <c r="G183" i="1" s="1"/>
  <c r="H183" i="1"/>
  <c r="B184" i="1" s="1"/>
  <c r="E183" i="1"/>
  <c r="C183" i="1"/>
  <c r="F184" i="1" l="1"/>
  <c r="D184" i="1" s="1"/>
  <c r="G184" i="1" s="1"/>
  <c r="E184" i="1"/>
  <c r="H184" i="1"/>
  <c r="B185" i="1" s="1"/>
  <c r="C184" i="1"/>
  <c r="C185" i="1" l="1"/>
  <c r="E185" i="1"/>
  <c r="H185" i="1"/>
  <c r="F185" i="1"/>
  <c r="D185" i="1" s="1"/>
  <c r="G185" i="1" s="1"/>
  <c r="B186" i="1" l="1"/>
  <c r="E186" i="1" l="1"/>
  <c r="F186" i="1"/>
  <c r="D186" i="1" s="1"/>
  <c r="G186" i="1" s="1"/>
  <c r="H186" i="1"/>
  <c r="C186" i="1"/>
  <c r="B187" i="1" l="1"/>
  <c r="F187" i="1"/>
  <c r="D187" i="1" s="1"/>
  <c r="G187" i="1" s="1"/>
  <c r="C187" i="1"/>
  <c r="E187" i="1"/>
  <c r="H187" i="1"/>
  <c r="B188" i="1" s="1"/>
  <c r="H188" i="1" l="1"/>
  <c r="F188" i="1"/>
  <c r="D188" i="1" s="1"/>
  <c r="G188" i="1" s="1"/>
  <c r="E188" i="1"/>
  <c r="C188" i="1"/>
  <c r="B189" i="1" l="1"/>
  <c r="H189" i="1" l="1"/>
  <c r="F189" i="1"/>
  <c r="D189" i="1" s="1"/>
  <c r="G189" i="1" s="1"/>
  <c r="C189" i="1"/>
  <c r="E189" i="1"/>
  <c r="B190" i="1" l="1"/>
  <c r="H190" i="1" l="1"/>
  <c r="E190" i="1"/>
  <c r="C190" i="1"/>
  <c r="F190" i="1"/>
  <c r="D190" i="1" s="1"/>
  <c r="G190" i="1" s="1"/>
  <c r="B191" i="1" l="1"/>
  <c r="C191" i="1" l="1"/>
  <c r="F191" i="1"/>
  <c r="D191" i="1" s="1"/>
  <c r="G191" i="1" s="1"/>
  <c r="H191" i="1"/>
  <c r="E191" i="1"/>
  <c r="B192" i="1" l="1"/>
  <c r="H192" i="1" s="1"/>
  <c r="F192" i="1"/>
  <c r="D192" i="1" s="1"/>
  <c r="G192" i="1" s="1"/>
  <c r="C192" i="1" l="1"/>
  <c r="E192" i="1"/>
  <c r="B193" i="1"/>
  <c r="F193" i="1" l="1"/>
  <c r="D193" i="1" s="1"/>
  <c r="G193" i="1" s="1"/>
  <c r="H193" i="1"/>
  <c r="B194" i="1" s="1"/>
  <c r="C193" i="1"/>
  <c r="E193" i="1"/>
  <c r="H194" i="1" l="1"/>
  <c r="C194" i="1"/>
  <c r="E194" i="1"/>
  <c r="F194" i="1"/>
  <c r="D194" i="1" s="1"/>
  <c r="G194" i="1" s="1"/>
  <c r="B195" i="1" l="1"/>
  <c r="H195" i="1" l="1"/>
  <c r="E195" i="1"/>
  <c r="C195" i="1"/>
  <c r="F195" i="1"/>
  <c r="D195" i="1" s="1"/>
  <c r="G195" i="1" s="1"/>
  <c r="B196" i="1" l="1"/>
  <c r="F196" i="1" l="1"/>
  <c r="D196" i="1" s="1"/>
  <c r="G196" i="1" s="1"/>
  <c r="H196" i="1"/>
  <c r="C196" i="1"/>
  <c r="E196" i="1"/>
  <c r="B197" i="1" l="1"/>
  <c r="H197" i="1" s="1"/>
  <c r="C197" i="1"/>
  <c r="E197" i="1"/>
  <c r="F197" i="1" l="1"/>
  <c r="D197" i="1" s="1"/>
  <c r="G197" i="1" s="1"/>
  <c r="B198" i="1"/>
  <c r="E198" i="1" l="1"/>
  <c r="F198" i="1"/>
  <c r="D198" i="1" s="1"/>
  <c r="G198" i="1" s="1"/>
  <c r="H198" i="1"/>
  <c r="B199" i="1" s="1"/>
  <c r="C198" i="1"/>
  <c r="H199" i="1" l="1"/>
  <c r="E199" i="1"/>
  <c r="F199" i="1"/>
  <c r="D199" i="1" s="1"/>
  <c r="G199" i="1" s="1"/>
  <c r="C199" i="1"/>
  <c r="B200" i="1" l="1"/>
  <c r="C200" i="1" l="1"/>
  <c r="E200" i="1"/>
  <c r="F200" i="1"/>
  <c r="D200" i="1" s="1"/>
  <c r="G200" i="1" s="1"/>
  <c r="H200" i="1"/>
  <c r="B201" i="1" s="1"/>
  <c r="C201" i="1" l="1"/>
  <c r="E201" i="1"/>
  <c r="H201" i="1"/>
  <c r="F201" i="1"/>
  <c r="D201" i="1" s="1"/>
  <c r="G201" i="1" s="1"/>
  <c r="B202" i="1" l="1"/>
  <c r="E202" i="1" l="1"/>
  <c r="H202" i="1"/>
  <c r="C202" i="1"/>
  <c r="F202" i="1"/>
  <c r="D202" i="1" s="1"/>
  <c r="G202" i="1" s="1"/>
  <c r="B203" i="1" l="1"/>
  <c r="H203" i="1" l="1"/>
  <c r="C203" i="1"/>
  <c r="E203" i="1"/>
  <c r="F203" i="1"/>
  <c r="D203" i="1" s="1"/>
  <c r="G203" i="1" s="1"/>
  <c r="B204" i="1" l="1"/>
  <c r="E204" i="1" l="1"/>
  <c r="F204" i="1"/>
  <c r="D204" i="1" s="1"/>
  <c r="G204" i="1" s="1"/>
  <c r="H204" i="1"/>
  <c r="B205" i="1" s="1"/>
  <c r="C204" i="1"/>
  <c r="H205" i="1" l="1"/>
  <c r="F205" i="1"/>
  <c r="D205" i="1" s="1"/>
  <c r="G205" i="1" s="1"/>
  <c r="E205" i="1"/>
  <c r="C205" i="1"/>
  <c r="B206" i="1" l="1"/>
  <c r="C206" i="1" l="1"/>
  <c r="E206" i="1"/>
  <c r="F206" i="1"/>
  <c r="D206" i="1" s="1"/>
  <c r="G206" i="1" s="1"/>
  <c r="H206" i="1"/>
  <c r="B207" i="1" s="1"/>
  <c r="H207" i="1" l="1"/>
  <c r="F207" i="1"/>
  <c r="D207" i="1" s="1"/>
  <c r="G207" i="1" s="1"/>
  <c r="E207" i="1"/>
  <c r="C207" i="1"/>
  <c r="B208" i="1" l="1"/>
  <c r="E208" i="1" l="1"/>
  <c r="F208" i="1"/>
  <c r="D208" i="1" s="1"/>
  <c r="G208" i="1" s="1"/>
  <c r="C208" i="1"/>
  <c r="H208" i="1"/>
  <c r="B209" i="1" l="1"/>
  <c r="F209" i="1" l="1"/>
  <c r="D209" i="1" s="1"/>
  <c r="G209" i="1" s="1"/>
  <c r="C209" i="1"/>
  <c r="E209" i="1"/>
  <c r="H209" i="1"/>
  <c r="B210" i="1" s="1"/>
  <c r="F210" i="1" l="1"/>
  <c r="D210" i="1" s="1"/>
  <c r="G210" i="1" s="1"/>
  <c r="H210" i="1"/>
  <c r="B211" i="1" s="1"/>
  <c r="E210" i="1"/>
  <c r="C210" i="1"/>
  <c r="E211" i="1" l="1"/>
  <c r="C211" i="1"/>
  <c r="F211" i="1"/>
  <c r="D211" i="1" s="1"/>
  <c r="G211" i="1" s="1"/>
  <c r="H211" i="1"/>
  <c r="B212" i="1" l="1"/>
  <c r="C212" i="1" s="1"/>
  <c r="F212" i="1" l="1"/>
  <c r="D212" i="1" s="1"/>
  <c r="G212" i="1" s="1"/>
  <c r="H212" i="1"/>
  <c r="E212" i="1"/>
  <c r="B213" i="1"/>
  <c r="F213" i="1" l="1"/>
  <c r="D213" i="1" s="1"/>
  <c r="G213" i="1" s="1"/>
  <c r="E213" i="1"/>
  <c r="C213" i="1"/>
  <c r="H213" i="1"/>
  <c r="B214" i="1" s="1"/>
  <c r="F214" i="1" l="1"/>
  <c r="D214" i="1" s="1"/>
  <c r="G214" i="1" s="1"/>
  <c r="H214" i="1"/>
  <c r="B215" i="1" s="1"/>
  <c r="E214" i="1"/>
  <c r="C214" i="1"/>
  <c r="C215" i="1" l="1"/>
  <c r="H215" i="1"/>
  <c r="F215" i="1"/>
  <c r="D215" i="1" s="1"/>
  <c r="G215" i="1" s="1"/>
  <c r="E215" i="1"/>
  <c r="B216" i="1" l="1"/>
  <c r="E216" i="1" l="1"/>
  <c r="C216" i="1"/>
  <c r="F216" i="1"/>
  <c r="D216" i="1" s="1"/>
  <c r="G216" i="1" s="1"/>
  <c r="H216" i="1"/>
  <c r="B217" i="1" s="1"/>
  <c r="E217" i="1" l="1"/>
  <c r="F217" i="1"/>
  <c r="H217" i="1"/>
  <c r="C217" i="1"/>
  <c r="D217" i="1"/>
  <c r="B218" i="1" l="1"/>
  <c r="H218" i="1" s="1"/>
  <c r="G217" i="1"/>
  <c r="D218" i="1"/>
  <c r="C218" i="1" l="1"/>
  <c r="F218" i="1"/>
  <c r="G218" i="1" s="1"/>
  <c r="E218" i="1"/>
  <c r="B219" i="1" l="1"/>
  <c r="C219" i="1" s="1"/>
  <c r="F219" i="1" l="1"/>
  <c r="D219" i="1" s="1"/>
  <c r="G219" i="1" s="1"/>
  <c r="H219" i="1"/>
  <c r="B220" i="1" s="1"/>
  <c r="E219" i="1"/>
  <c r="E220" i="1"/>
  <c r="F220" i="1"/>
  <c r="D220" i="1" s="1"/>
  <c r="G220" i="1" s="1"/>
  <c r="H220" i="1"/>
  <c r="C220" i="1"/>
  <c r="B221" i="1" l="1"/>
  <c r="H221" i="1" s="1"/>
  <c r="F221" i="1" l="1"/>
  <c r="D221" i="1" s="1"/>
  <c r="G221" i="1" s="1"/>
  <c r="C221" i="1"/>
  <c r="E221" i="1"/>
  <c r="B222" i="1" l="1"/>
  <c r="H222" i="1"/>
  <c r="E222" i="1"/>
  <c r="C222" i="1"/>
  <c r="F222" i="1"/>
  <c r="D222" i="1" s="1"/>
  <c r="G222" i="1" s="1"/>
  <c r="B223" i="1" l="1"/>
  <c r="F223" i="1" l="1"/>
  <c r="D223" i="1" s="1"/>
  <c r="G223" i="1" s="1"/>
  <c r="H223" i="1"/>
  <c r="E223" i="1"/>
  <c r="C223" i="1"/>
  <c r="B224" i="1" l="1"/>
  <c r="H224" i="1"/>
  <c r="F224" i="1"/>
  <c r="D224" i="1" s="1"/>
  <c r="G224" i="1" s="1"/>
  <c r="E224" i="1"/>
  <c r="C224" i="1"/>
  <c r="B225" i="1" l="1"/>
  <c r="C225" i="1" l="1"/>
  <c r="H225" i="1"/>
  <c r="F225" i="1"/>
  <c r="D225" i="1" s="1"/>
  <c r="G225" i="1" s="1"/>
  <c r="E225" i="1"/>
  <c r="B226" i="1" l="1"/>
  <c r="C226" i="1" l="1"/>
  <c r="F226" i="1"/>
  <c r="D226" i="1" s="1"/>
  <c r="G226" i="1" s="1"/>
  <c r="E226" i="1"/>
  <c r="H226" i="1"/>
  <c r="B227" i="1" s="1"/>
  <c r="C227" i="1" l="1"/>
  <c r="E227" i="1"/>
  <c r="H227" i="1"/>
  <c r="F227" i="1"/>
  <c r="D227" i="1" s="1"/>
  <c r="G227" i="1" s="1"/>
  <c r="B228" i="1" l="1"/>
  <c r="F228" i="1" s="1"/>
  <c r="D228" i="1" s="1"/>
  <c r="G228" i="1" s="1"/>
  <c r="E228" i="1"/>
  <c r="C228" i="1"/>
  <c r="H228" i="1" l="1"/>
  <c r="B229" i="1"/>
  <c r="H229" i="1" s="1"/>
  <c r="F229" i="1" l="1"/>
  <c r="D229" i="1" s="1"/>
  <c r="G229" i="1" s="1"/>
  <c r="E229" i="1"/>
  <c r="C229" i="1"/>
  <c r="B230" i="1" l="1"/>
  <c r="E230" i="1" l="1"/>
  <c r="F230" i="1"/>
  <c r="D230" i="1" s="1"/>
  <c r="G230" i="1" s="1"/>
  <c r="C230" i="1"/>
  <c r="H230" i="1"/>
  <c r="B231" i="1" s="1"/>
  <c r="F231" i="1" l="1"/>
  <c r="D231" i="1" s="1"/>
  <c r="G231" i="1" s="1"/>
  <c r="E231" i="1"/>
  <c r="H231" i="1"/>
  <c r="B232" i="1" s="1"/>
  <c r="C231" i="1"/>
  <c r="F232" i="1" l="1"/>
  <c r="D232" i="1" s="1"/>
  <c r="G232" i="1" s="1"/>
  <c r="C232" i="1"/>
  <c r="E232" i="1"/>
  <c r="H232" i="1"/>
  <c r="B233" i="1" s="1"/>
  <c r="H233" i="1" l="1"/>
  <c r="F233" i="1"/>
  <c r="D233" i="1" s="1"/>
  <c r="G233" i="1" s="1"/>
  <c r="E233" i="1"/>
  <c r="C233" i="1"/>
  <c r="B234" i="1" l="1"/>
  <c r="E234" i="1" l="1"/>
  <c r="C234" i="1"/>
  <c r="F234" i="1"/>
  <c r="D234" i="1" s="1"/>
  <c r="G234" i="1" s="1"/>
  <c r="H234" i="1"/>
  <c r="B235" i="1" s="1"/>
  <c r="E235" i="1" l="1"/>
  <c r="C235" i="1"/>
  <c r="F235" i="1"/>
  <c r="D235" i="1" s="1"/>
  <c r="G235" i="1" s="1"/>
  <c r="H235" i="1"/>
  <c r="B236" i="1" l="1"/>
  <c r="F236" i="1"/>
  <c r="D236" i="1" s="1"/>
  <c r="G236" i="1" s="1"/>
  <c r="E236" i="1" l="1"/>
  <c r="C236" i="1"/>
  <c r="H236" i="1"/>
  <c r="B237" i="1" s="1"/>
  <c r="C237" i="1"/>
  <c r="F237" i="1"/>
  <c r="D237" i="1" s="1"/>
  <c r="G237" i="1" s="1"/>
  <c r="H237" i="1"/>
  <c r="E237" i="1"/>
  <c r="B238" i="1" l="1"/>
  <c r="C238" i="1"/>
  <c r="H238" i="1"/>
  <c r="F238" i="1"/>
  <c r="D238" i="1" s="1"/>
  <c r="G238" i="1" s="1"/>
  <c r="E238" i="1"/>
  <c r="B239" i="1" l="1"/>
  <c r="H239" i="1" l="1"/>
  <c r="C239" i="1"/>
  <c r="E239" i="1"/>
  <c r="F239" i="1"/>
  <c r="D239" i="1" s="1"/>
  <c r="G239" i="1" s="1"/>
  <c r="B240" i="1" l="1"/>
  <c r="H240" i="1" l="1"/>
  <c r="C240" i="1"/>
  <c r="F240" i="1"/>
  <c r="D240" i="1" s="1"/>
  <c r="G240" i="1" s="1"/>
  <c r="E240" i="1"/>
  <c r="B241" i="1" l="1"/>
  <c r="C241" i="1" l="1"/>
  <c r="E241" i="1"/>
  <c r="F241" i="1"/>
  <c r="D241" i="1" s="1"/>
  <c r="G241" i="1" s="1"/>
  <c r="H241" i="1"/>
  <c r="B242" i="1" s="1"/>
  <c r="E242" i="1" l="1"/>
  <c r="H242" i="1"/>
  <c r="F242" i="1"/>
  <c r="D242" i="1" s="1"/>
  <c r="G242" i="1" s="1"/>
  <c r="C242" i="1"/>
  <c r="B243" i="1" l="1"/>
  <c r="C243" i="1" l="1"/>
  <c r="F243" i="1"/>
  <c r="D243" i="1" s="1"/>
  <c r="G243" i="1" s="1"/>
  <c r="E243" i="1"/>
  <c r="H243" i="1"/>
  <c r="B244" i="1" s="1"/>
  <c r="H244" i="1" l="1"/>
  <c r="E244" i="1"/>
  <c r="C244" i="1"/>
  <c r="F244" i="1"/>
  <c r="D244" i="1" s="1"/>
  <c r="G244" i="1" s="1"/>
  <c r="B245" i="1" l="1"/>
  <c r="C245" i="1" l="1"/>
  <c r="F245" i="1"/>
  <c r="D245" i="1" s="1"/>
  <c r="G245" i="1" s="1"/>
  <c r="H245" i="1"/>
  <c r="B246" i="1" s="1"/>
  <c r="E245" i="1"/>
  <c r="H246" i="1" l="1"/>
  <c r="F246" i="1"/>
  <c r="D246" i="1" s="1"/>
  <c r="G246" i="1" s="1"/>
  <c r="E246" i="1"/>
  <c r="C246" i="1"/>
  <c r="B247" i="1" l="1"/>
  <c r="F247" i="1" l="1"/>
  <c r="H247" i="1"/>
  <c r="B248" i="1" s="1"/>
  <c r="D247" i="1"/>
  <c r="G247" i="1" s="1"/>
  <c r="C247" i="1"/>
  <c r="E247" i="1"/>
  <c r="F248" i="1" l="1"/>
  <c r="D248" i="1" s="1"/>
  <c r="G248" i="1" s="1"/>
  <c r="H248" i="1"/>
  <c r="B249" i="1" s="1"/>
  <c r="E248" i="1"/>
  <c r="C248" i="1"/>
  <c r="E249" i="1" l="1"/>
  <c r="H249" i="1"/>
  <c r="C249" i="1"/>
  <c r="F249" i="1"/>
  <c r="D249" i="1" s="1"/>
  <c r="G249" i="1" s="1"/>
  <c r="B250" i="1" l="1"/>
  <c r="C250" i="1" l="1"/>
  <c r="F250" i="1"/>
  <c r="D250" i="1" s="1"/>
  <c r="G250" i="1" s="1"/>
  <c r="H250" i="1"/>
  <c r="E250" i="1"/>
  <c r="B251" i="1" l="1"/>
  <c r="H251" i="1" s="1"/>
  <c r="C251" i="1"/>
  <c r="E251" i="1"/>
  <c r="F251" i="1"/>
  <c r="D251" i="1" s="1"/>
  <c r="G251" i="1" s="1"/>
  <c r="B252" i="1" l="1"/>
  <c r="H252" i="1"/>
  <c r="E252" i="1"/>
  <c r="C252" i="1"/>
  <c r="F252" i="1"/>
  <c r="D252" i="1" s="1"/>
  <c r="G252" i="1" s="1"/>
  <c r="B253" i="1" l="1"/>
  <c r="F253" i="1" l="1"/>
  <c r="D253" i="1" s="1"/>
  <c r="G253" i="1" s="1"/>
  <c r="H253" i="1"/>
  <c r="B254" i="1" s="1"/>
  <c r="E253" i="1"/>
  <c r="C253" i="1"/>
  <c r="E254" i="1" l="1"/>
  <c r="F254" i="1"/>
  <c r="D254" i="1" s="1"/>
  <c r="G254" i="1" s="1"/>
  <c r="H254" i="1"/>
  <c r="B255" i="1" s="1"/>
  <c r="C254" i="1"/>
  <c r="E255" i="1" l="1"/>
  <c r="F255" i="1"/>
  <c r="D255" i="1" s="1"/>
  <c r="G255" i="1" s="1"/>
  <c r="C255" i="1"/>
  <c r="H255" i="1"/>
  <c r="B256" i="1" s="1"/>
  <c r="E256" i="1" l="1"/>
  <c r="C256" i="1"/>
  <c r="F256" i="1"/>
  <c r="D256" i="1" s="1"/>
  <c r="G256" i="1" s="1"/>
  <c r="H256" i="1"/>
  <c r="B257" i="1" s="1"/>
  <c r="C257" i="1" l="1"/>
  <c r="E257" i="1"/>
  <c r="H257" i="1"/>
  <c r="F257" i="1"/>
  <c r="D257" i="1" s="1"/>
  <c r="G257" i="1" s="1"/>
  <c r="B258" i="1" l="1"/>
  <c r="E258" i="1" l="1"/>
  <c r="H258" i="1"/>
  <c r="F258" i="1"/>
  <c r="D258" i="1" s="1"/>
  <c r="G258" i="1" s="1"/>
  <c r="C258" i="1"/>
  <c r="B259" i="1" l="1"/>
  <c r="E259" i="1" l="1"/>
  <c r="H259" i="1"/>
  <c r="C259" i="1"/>
  <c r="F259" i="1"/>
  <c r="D259" i="1" s="1"/>
  <c r="G259" i="1" s="1"/>
  <c r="B260" i="1" l="1"/>
  <c r="F260" i="1" l="1"/>
  <c r="D260" i="1" s="1"/>
  <c r="G260" i="1" s="1"/>
  <c r="E260" i="1"/>
  <c r="C260" i="1"/>
  <c r="H260" i="1"/>
  <c r="B261" i="1" l="1"/>
  <c r="C261" i="1" s="1"/>
  <c r="E261" i="1"/>
  <c r="F261" i="1"/>
  <c r="D261" i="1" s="1"/>
  <c r="G261" i="1" s="1"/>
  <c r="H261" i="1"/>
  <c r="B262" i="1" l="1"/>
  <c r="F262" i="1"/>
  <c r="D262" i="1" s="1"/>
  <c r="G262" i="1" s="1"/>
  <c r="H262" i="1"/>
  <c r="B263" i="1" s="1"/>
  <c r="C262" i="1"/>
  <c r="E262" i="1"/>
  <c r="E263" i="1" l="1"/>
  <c r="H263" i="1"/>
  <c r="C263" i="1"/>
  <c r="F263" i="1"/>
  <c r="D263" i="1" s="1"/>
  <c r="G263" i="1" s="1"/>
  <c r="B264" i="1" l="1"/>
  <c r="F264" i="1" s="1"/>
  <c r="D264" i="1" s="1"/>
  <c r="G264" i="1" s="1"/>
  <c r="H264" i="1" l="1"/>
  <c r="C264" i="1"/>
  <c r="E264" i="1"/>
  <c r="B265" i="1"/>
  <c r="H265" i="1" l="1"/>
  <c r="C265" i="1"/>
  <c r="E265" i="1"/>
  <c r="F265" i="1"/>
  <c r="D265" i="1" s="1"/>
  <c r="G265" i="1" s="1"/>
  <c r="B266" i="1" l="1"/>
  <c r="F266" i="1" l="1"/>
  <c r="D266" i="1" s="1"/>
  <c r="G266" i="1" s="1"/>
  <c r="H266" i="1"/>
  <c r="B267" i="1" s="1"/>
  <c r="E266" i="1"/>
  <c r="C266" i="1"/>
  <c r="F267" i="1" l="1"/>
  <c r="D267" i="1" s="1"/>
  <c r="G267" i="1" s="1"/>
  <c r="C267" i="1"/>
  <c r="E267" i="1"/>
  <c r="H267" i="1"/>
  <c r="B268" i="1" l="1"/>
  <c r="H268" i="1" s="1"/>
  <c r="C268" i="1"/>
  <c r="E268" i="1"/>
  <c r="F268" i="1" l="1"/>
  <c r="D268" i="1" s="1"/>
  <c r="G268" i="1" s="1"/>
  <c r="B269" i="1"/>
  <c r="H269" i="1" l="1"/>
  <c r="E269" i="1"/>
  <c r="F269" i="1"/>
  <c r="D269" i="1" s="1"/>
  <c r="G269" i="1" s="1"/>
  <c r="C269" i="1"/>
  <c r="B270" i="1" l="1"/>
  <c r="H270" i="1" l="1"/>
  <c r="C270" i="1"/>
  <c r="E270" i="1"/>
  <c r="F270" i="1"/>
  <c r="D270" i="1" s="1"/>
  <c r="G270" i="1" s="1"/>
  <c r="B271" i="1" l="1"/>
  <c r="F271" i="1" l="1"/>
  <c r="D271" i="1" s="1"/>
  <c r="G271" i="1" s="1"/>
  <c r="H271" i="1"/>
  <c r="B272" i="1" s="1"/>
  <c r="E271" i="1"/>
  <c r="C271" i="1"/>
  <c r="F272" i="1" l="1"/>
  <c r="D272" i="1" s="1"/>
  <c r="G272" i="1" s="1"/>
  <c r="H272" i="1"/>
  <c r="E272" i="1"/>
  <c r="C272" i="1"/>
  <c r="B273" i="1" l="1"/>
  <c r="C273" i="1"/>
  <c r="E273" i="1"/>
  <c r="F273" i="1"/>
  <c r="D273" i="1" s="1"/>
  <c r="G273" i="1" s="1"/>
  <c r="H273" i="1"/>
  <c r="B274" i="1" l="1"/>
  <c r="E274" i="1" s="1"/>
  <c r="C274" i="1"/>
  <c r="H274" i="1"/>
  <c r="F274" i="1"/>
  <c r="D274" i="1" s="1"/>
  <c r="G274" i="1" s="1"/>
  <c r="B275" i="1" l="1"/>
  <c r="H275" i="1" l="1"/>
  <c r="E275" i="1"/>
  <c r="C275" i="1"/>
  <c r="F275" i="1"/>
  <c r="D275" i="1" s="1"/>
  <c r="G275" i="1" s="1"/>
  <c r="B276" i="1" l="1"/>
  <c r="C276" i="1" l="1"/>
  <c r="E276" i="1"/>
  <c r="F276" i="1"/>
  <c r="D276" i="1" s="1"/>
  <c r="G276" i="1" s="1"/>
  <c r="H276" i="1"/>
  <c r="B277" i="1" l="1"/>
  <c r="C277" i="1" l="1"/>
  <c r="F277" i="1"/>
  <c r="D277" i="1" s="1"/>
  <c r="G277" i="1" s="1"/>
  <c r="E277" i="1"/>
  <c r="H277" i="1"/>
  <c r="B278" i="1" s="1"/>
  <c r="H278" i="1" l="1"/>
  <c r="E278" i="1"/>
  <c r="F278" i="1"/>
  <c r="D278" i="1" s="1"/>
  <c r="G278" i="1" s="1"/>
  <c r="C278" i="1"/>
  <c r="B279" i="1" l="1"/>
  <c r="F279" i="1" l="1"/>
  <c r="D279" i="1" s="1"/>
  <c r="G279" i="1" s="1"/>
  <c r="E279" i="1"/>
  <c r="C279" i="1"/>
  <c r="H279" i="1"/>
  <c r="B280" i="1" s="1"/>
  <c r="E280" i="1" l="1"/>
  <c r="C280" i="1"/>
  <c r="F280" i="1"/>
  <c r="D280" i="1" s="1"/>
  <c r="G280" i="1" s="1"/>
  <c r="H280" i="1"/>
  <c r="B281" i="1" s="1"/>
  <c r="C281" i="1" l="1"/>
  <c r="E281" i="1"/>
  <c r="F281" i="1"/>
  <c r="D281" i="1" s="1"/>
  <c r="G281" i="1" s="1"/>
  <c r="H281" i="1"/>
  <c r="B282" i="1" s="1"/>
  <c r="F282" i="1" l="1"/>
  <c r="C282" i="1"/>
  <c r="D282" i="1"/>
  <c r="G282" i="1" s="1"/>
  <c r="E282" i="1"/>
  <c r="H282" i="1"/>
  <c r="B283" i="1" l="1"/>
  <c r="H283" i="1"/>
  <c r="E283" i="1"/>
  <c r="F283" i="1"/>
  <c r="D283" i="1" s="1"/>
  <c r="G283" i="1" s="1"/>
  <c r="C283" i="1"/>
  <c r="B284" i="1" l="1"/>
  <c r="E284" i="1" l="1"/>
  <c r="C284" i="1"/>
  <c r="F284" i="1"/>
  <c r="D284" i="1" s="1"/>
  <c r="G284" i="1" s="1"/>
  <c r="H284" i="1"/>
  <c r="B285" i="1" l="1"/>
  <c r="H285" i="1"/>
  <c r="C285" i="1"/>
  <c r="E285" i="1"/>
  <c r="F285" i="1"/>
  <c r="D285" i="1" s="1"/>
  <c r="G285" i="1" s="1"/>
  <c r="B286" i="1" l="1"/>
  <c r="H286" i="1" l="1"/>
  <c r="F286" i="1"/>
  <c r="D286" i="1" s="1"/>
  <c r="G286" i="1" s="1"/>
  <c r="C286" i="1"/>
  <c r="E286" i="1"/>
  <c r="B287" i="1" l="1"/>
  <c r="C287" i="1" l="1"/>
  <c r="E287" i="1"/>
  <c r="F287" i="1"/>
  <c r="D287" i="1" s="1"/>
  <c r="G287" i="1" s="1"/>
  <c r="H287" i="1"/>
  <c r="B288" i="1" s="1"/>
  <c r="H288" i="1" l="1"/>
  <c r="C288" i="1"/>
  <c r="E288" i="1"/>
  <c r="F288" i="1"/>
  <c r="D288" i="1" s="1"/>
  <c r="G288" i="1" s="1"/>
  <c r="B289" i="1" l="1"/>
  <c r="F289" i="1" l="1"/>
  <c r="D289" i="1" s="1"/>
  <c r="G289" i="1" s="1"/>
  <c r="H289" i="1"/>
  <c r="B290" i="1" s="1"/>
  <c r="E289" i="1"/>
  <c r="C289" i="1"/>
  <c r="F290" i="1" l="1"/>
  <c r="D290" i="1" s="1"/>
  <c r="G290" i="1" s="1"/>
  <c r="E290" i="1"/>
  <c r="C290" i="1"/>
  <c r="H290" i="1"/>
  <c r="B291" i="1" s="1"/>
  <c r="H291" i="1" l="1"/>
  <c r="F291" i="1"/>
  <c r="C291" i="1"/>
  <c r="E291" i="1"/>
  <c r="D291" i="1"/>
  <c r="G291" i="1" l="1"/>
  <c r="B292" i="1"/>
  <c r="F292" i="1" l="1"/>
  <c r="D292" i="1" s="1"/>
  <c r="G292" i="1" s="1"/>
  <c r="H292" i="1"/>
  <c r="E292" i="1"/>
  <c r="C292" i="1"/>
  <c r="B293" i="1" l="1"/>
  <c r="F293" i="1" s="1"/>
  <c r="D293" i="1" s="1"/>
  <c r="G293" i="1" s="1"/>
  <c r="H293" i="1"/>
  <c r="E293" i="1"/>
  <c r="C293" i="1" l="1"/>
  <c r="B294" i="1"/>
  <c r="H294" i="1" s="1"/>
  <c r="F294" i="1" l="1"/>
  <c r="D294" i="1" s="1"/>
  <c r="G294" i="1" s="1"/>
  <c r="C294" i="1"/>
  <c r="E294" i="1"/>
  <c r="B295" i="1"/>
  <c r="F295" i="1" l="1"/>
  <c r="D295" i="1" s="1"/>
  <c r="G295" i="1" s="1"/>
  <c r="H295" i="1"/>
  <c r="B296" i="1" s="1"/>
  <c r="C295" i="1"/>
  <c r="E295" i="1"/>
  <c r="F296" i="1" l="1"/>
  <c r="D296" i="1" s="1"/>
  <c r="G296" i="1" s="1"/>
  <c r="E296" i="1"/>
  <c r="C296" i="1"/>
  <c r="H296" i="1"/>
  <c r="B297" i="1" l="1"/>
  <c r="C297" i="1"/>
  <c r="F297" i="1"/>
  <c r="D297" i="1" s="1"/>
  <c r="G297" i="1" s="1"/>
  <c r="H297" i="1"/>
  <c r="B298" i="1" s="1"/>
  <c r="E297" i="1"/>
  <c r="F298" i="1" l="1"/>
  <c r="D298" i="1" s="1"/>
  <c r="G298" i="1" s="1"/>
  <c r="C298" i="1"/>
  <c r="H298" i="1"/>
  <c r="B299" i="1" s="1"/>
  <c r="E298" i="1"/>
  <c r="C299" i="1" l="1"/>
  <c r="E299" i="1"/>
  <c r="F299" i="1"/>
  <c r="D299" i="1" s="1"/>
  <c r="G299" i="1" s="1"/>
  <c r="H299" i="1"/>
  <c r="B300" i="1" l="1"/>
  <c r="E300" i="1" s="1"/>
  <c r="C300" i="1" l="1"/>
  <c r="H300" i="1"/>
  <c r="F300" i="1"/>
  <c r="D300" i="1" s="1"/>
  <c r="G300" i="1" s="1"/>
  <c r="B301" i="1" l="1"/>
  <c r="F301" i="1" l="1"/>
  <c r="D301" i="1" s="1"/>
  <c r="G301" i="1" s="1"/>
  <c r="H301" i="1"/>
  <c r="B302" i="1" s="1"/>
  <c r="H302" i="1" s="1"/>
  <c r="E301" i="1"/>
  <c r="C301" i="1"/>
  <c r="F302" i="1"/>
  <c r="D302" i="1" s="1"/>
  <c r="G302" i="1" s="1"/>
  <c r="E302" i="1"/>
  <c r="C302" i="1"/>
  <c r="B303" i="1" l="1"/>
  <c r="C303" i="1" s="1"/>
  <c r="F303" i="1"/>
  <c r="D303" i="1" s="1"/>
  <c r="G303" i="1" s="1"/>
  <c r="E303" i="1" l="1"/>
  <c r="H303" i="1"/>
  <c r="B304" i="1" s="1"/>
  <c r="E304" i="1" l="1"/>
  <c r="H304" i="1"/>
  <c r="C304" i="1"/>
  <c r="F304" i="1"/>
  <c r="D304" i="1" s="1"/>
  <c r="G304" i="1" s="1"/>
  <c r="B305" i="1" l="1"/>
  <c r="C305" i="1" l="1"/>
  <c r="H305" i="1"/>
  <c r="F305" i="1"/>
  <c r="D305" i="1" s="1"/>
  <c r="G305" i="1" s="1"/>
  <c r="E305" i="1"/>
  <c r="B306" i="1" l="1"/>
  <c r="E306" i="1" l="1"/>
  <c r="F306" i="1"/>
  <c r="D306" i="1" s="1"/>
  <c r="G306" i="1" s="1"/>
  <c r="H306" i="1"/>
  <c r="C306" i="1"/>
  <c r="B307" i="1" l="1"/>
  <c r="F307" i="1"/>
  <c r="D307" i="1" s="1"/>
  <c r="G307" i="1" s="1"/>
  <c r="E307" i="1"/>
  <c r="H307" i="1"/>
  <c r="B308" i="1" s="1"/>
  <c r="C307" i="1"/>
  <c r="C308" i="1" l="1"/>
  <c r="E308" i="1"/>
  <c r="H308" i="1"/>
  <c r="F308" i="1"/>
  <c r="D308" i="1" s="1"/>
  <c r="G308" i="1" s="1"/>
  <c r="B309" i="1" l="1"/>
  <c r="F309" i="1" l="1"/>
  <c r="D309" i="1" s="1"/>
  <c r="G309" i="1" s="1"/>
  <c r="E309" i="1"/>
  <c r="H309" i="1"/>
  <c r="B310" i="1" s="1"/>
  <c r="C309" i="1"/>
  <c r="E310" i="1" l="1"/>
  <c r="F310" i="1"/>
  <c r="D310" i="1" s="1"/>
  <c r="G310" i="1" s="1"/>
  <c r="C310" i="1"/>
  <c r="H310" i="1"/>
  <c r="B311" i="1" l="1"/>
  <c r="H311" i="1" s="1"/>
  <c r="C311" i="1"/>
  <c r="F311" i="1"/>
  <c r="D311" i="1" s="1"/>
  <c r="G311" i="1" s="1"/>
  <c r="E311" i="1"/>
  <c r="B312" i="1" l="1"/>
  <c r="E312" i="1" s="1"/>
  <c r="H312" i="1"/>
  <c r="C312" i="1"/>
  <c r="F312" i="1"/>
  <c r="D312" i="1" s="1"/>
  <c r="G312" i="1" s="1"/>
  <c r="B313" i="1" l="1"/>
  <c r="C313" i="1" l="1"/>
  <c r="H313" i="1"/>
  <c r="E313" i="1"/>
  <c r="F313" i="1"/>
  <c r="D313" i="1" s="1"/>
  <c r="G313" i="1" s="1"/>
  <c r="B314" i="1" l="1"/>
  <c r="F314" i="1" l="1"/>
  <c r="D314" i="1" s="1"/>
  <c r="G314" i="1" s="1"/>
  <c r="H314" i="1"/>
  <c r="B315" i="1" s="1"/>
  <c r="C314" i="1"/>
  <c r="E314" i="1"/>
  <c r="H315" i="1" l="1"/>
  <c r="E315" i="1"/>
  <c r="C315" i="1"/>
  <c r="F315" i="1"/>
  <c r="D315" i="1" s="1"/>
  <c r="G315" i="1" s="1"/>
  <c r="B316" i="1" l="1"/>
  <c r="F316" i="1" l="1"/>
  <c r="D316" i="1" s="1"/>
  <c r="G316" i="1" s="1"/>
  <c r="H316" i="1"/>
  <c r="B317" i="1" s="1"/>
  <c r="E316" i="1"/>
  <c r="C316" i="1"/>
  <c r="C317" i="1" l="1"/>
  <c r="H317" i="1"/>
  <c r="E317" i="1"/>
  <c r="F317" i="1"/>
  <c r="D317" i="1" s="1"/>
  <c r="G317" i="1" s="1"/>
  <c r="B318" i="1" l="1"/>
  <c r="C318" i="1" l="1"/>
  <c r="E318" i="1"/>
  <c r="H318" i="1"/>
  <c r="F318" i="1"/>
  <c r="D318" i="1" s="1"/>
  <c r="G318" i="1" s="1"/>
  <c r="B319" i="1" l="1"/>
  <c r="C319" i="1" l="1"/>
  <c r="H319" i="1"/>
  <c r="F319" i="1"/>
  <c r="D319" i="1" s="1"/>
  <c r="G319" i="1" s="1"/>
  <c r="E319" i="1"/>
  <c r="B320" i="1" l="1"/>
  <c r="H320" i="1" l="1"/>
  <c r="C320" i="1"/>
  <c r="E320" i="1"/>
  <c r="F320" i="1"/>
  <c r="D320" i="1" s="1"/>
  <c r="G320" i="1" s="1"/>
  <c r="B321" i="1" l="1"/>
  <c r="C321" i="1" l="1"/>
  <c r="E321" i="1"/>
  <c r="F321" i="1"/>
  <c r="D321" i="1" s="1"/>
  <c r="G321" i="1" s="1"/>
  <c r="H321" i="1"/>
  <c r="B322" i="1" s="1"/>
  <c r="E322" i="1" l="1"/>
  <c r="H322" i="1"/>
  <c r="C322" i="1"/>
  <c r="F322" i="1"/>
  <c r="D322" i="1" s="1"/>
  <c r="G322" i="1" s="1"/>
  <c r="B323" i="1" l="1"/>
  <c r="F323" i="1" l="1"/>
  <c r="D323" i="1" s="1"/>
  <c r="G323" i="1" s="1"/>
  <c r="C323" i="1"/>
  <c r="H323" i="1"/>
  <c r="B324" i="1" s="1"/>
  <c r="E323" i="1"/>
  <c r="C324" i="1" l="1"/>
  <c r="H324" i="1"/>
  <c r="F324" i="1"/>
  <c r="D324" i="1" s="1"/>
  <c r="G324" i="1" s="1"/>
  <c r="E324" i="1"/>
  <c r="B325" i="1" l="1"/>
  <c r="E325" i="1" l="1"/>
  <c r="C325" i="1"/>
  <c r="H325" i="1"/>
  <c r="F325" i="1"/>
  <c r="D325" i="1" s="1"/>
  <c r="G325" i="1" s="1"/>
  <c r="B326" i="1" l="1"/>
  <c r="C326" i="1" l="1"/>
  <c r="F326" i="1"/>
  <c r="D326" i="1" s="1"/>
  <c r="G326" i="1" s="1"/>
  <c r="H326" i="1"/>
  <c r="E326" i="1"/>
  <c r="B327" i="1" l="1"/>
  <c r="E327" i="1"/>
  <c r="C327" i="1"/>
  <c r="H327" i="1"/>
  <c r="F327" i="1"/>
  <c r="D327" i="1" s="1"/>
  <c r="G327" i="1" s="1"/>
  <c r="B328" i="1" l="1"/>
  <c r="C328" i="1" l="1"/>
  <c r="F328" i="1"/>
  <c r="D328" i="1" s="1"/>
  <c r="G328" i="1" s="1"/>
  <c r="H328" i="1"/>
  <c r="E328" i="1"/>
  <c r="B329" i="1" l="1"/>
  <c r="C329" i="1"/>
  <c r="E329" i="1"/>
  <c r="F329" i="1"/>
  <c r="D329" i="1" s="1"/>
  <c r="G329" i="1" s="1"/>
  <c r="H329" i="1"/>
  <c r="B330" i="1" s="1"/>
  <c r="H330" i="1" l="1"/>
  <c r="E330" i="1"/>
  <c r="C330" i="1"/>
  <c r="F330" i="1"/>
  <c r="D330" i="1" s="1"/>
  <c r="G330" i="1" s="1"/>
  <c r="B331" i="1" l="1"/>
  <c r="C331" i="1" l="1"/>
  <c r="F331" i="1"/>
  <c r="D331" i="1" s="1"/>
  <c r="G331" i="1" s="1"/>
  <c r="H331" i="1"/>
  <c r="E331" i="1"/>
  <c r="B332" i="1" l="1"/>
  <c r="H332" i="1" s="1"/>
  <c r="E332" i="1"/>
  <c r="F332" i="1" l="1"/>
  <c r="D332" i="1" s="1"/>
  <c r="G332" i="1" s="1"/>
  <c r="C332" i="1"/>
  <c r="B333" i="1" l="1"/>
  <c r="F333" i="1" l="1"/>
  <c r="D333" i="1" s="1"/>
  <c r="G333" i="1" s="1"/>
  <c r="H333" i="1"/>
  <c r="B334" i="1" s="1"/>
  <c r="C333" i="1"/>
  <c r="E333" i="1"/>
  <c r="F334" i="1" l="1"/>
  <c r="D334" i="1" s="1"/>
  <c r="G334" i="1" s="1"/>
  <c r="C334" i="1"/>
  <c r="E334" i="1"/>
  <c r="H334" i="1"/>
  <c r="B335" i="1" s="1"/>
  <c r="F335" i="1"/>
  <c r="D335" i="1" s="1"/>
  <c r="G335" i="1" s="1"/>
  <c r="H335" i="1"/>
  <c r="B336" i="1" s="1"/>
  <c r="C335" i="1"/>
  <c r="E335" i="1"/>
  <c r="C336" i="1" l="1"/>
  <c r="E336" i="1"/>
  <c r="H336" i="1"/>
  <c r="F336" i="1"/>
  <c r="D336" i="1" s="1"/>
  <c r="G336" i="1" s="1"/>
  <c r="B337" i="1" l="1"/>
  <c r="E337" i="1" l="1"/>
  <c r="C337" i="1"/>
  <c r="H337" i="1"/>
  <c r="F337" i="1"/>
  <c r="D337" i="1" s="1"/>
  <c r="G337" i="1" s="1"/>
  <c r="B338" i="1" l="1"/>
  <c r="C338" i="1" l="1"/>
  <c r="H338" i="1"/>
  <c r="F338" i="1"/>
  <c r="D338" i="1" s="1"/>
  <c r="G338" i="1" s="1"/>
  <c r="E338" i="1"/>
  <c r="B339" i="1" l="1"/>
  <c r="F339" i="1" l="1"/>
  <c r="D339" i="1" s="1"/>
  <c r="G339" i="1" s="1"/>
  <c r="C339" i="1"/>
  <c r="E339" i="1"/>
  <c r="H339" i="1"/>
  <c r="B340" i="1" l="1"/>
  <c r="E340" i="1" s="1"/>
  <c r="H340" i="1" l="1"/>
  <c r="F340" i="1"/>
  <c r="D340" i="1" s="1"/>
  <c r="G340" i="1" s="1"/>
  <c r="C340" i="1"/>
  <c r="B341" i="1" l="1"/>
  <c r="E341" i="1" l="1"/>
  <c r="F341" i="1"/>
  <c r="D341" i="1" s="1"/>
  <c r="G341" i="1" s="1"/>
  <c r="H341" i="1"/>
  <c r="C341" i="1"/>
  <c r="B342" i="1" l="1"/>
  <c r="F342" i="1"/>
  <c r="D342" i="1" s="1"/>
  <c r="G342" i="1" s="1"/>
  <c r="E342" i="1"/>
  <c r="H342" i="1"/>
  <c r="B343" i="1" s="1"/>
  <c r="C342" i="1"/>
  <c r="E343" i="1" l="1"/>
  <c r="C343" i="1"/>
  <c r="F343" i="1"/>
  <c r="D343" i="1" s="1"/>
  <c r="G343" i="1" s="1"/>
  <c r="H343" i="1"/>
  <c r="B344" i="1" s="1"/>
  <c r="F344" i="1" l="1"/>
  <c r="D344" i="1" s="1"/>
  <c r="G344" i="1" s="1"/>
  <c r="C344" i="1"/>
  <c r="H344" i="1"/>
  <c r="B345" i="1" s="1"/>
  <c r="E344" i="1"/>
  <c r="C345" i="1" l="1"/>
  <c r="F345" i="1"/>
  <c r="D345" i="1" s="1"/>
  <c r="G345" i="1" s="1"/>
  <c r="H345" i="1"/>
  <c r="B346" i="1" s="1"/>
  <c r="H346" i="1" s="1"/>
  <c r="E345" i="1"/>
  <c r="C346" i="1"/>
  <c r="F346" i="1"/>
  <c r="D346" i="1" s="1"/>
  <c r="G346" i="1" s="1"/>
  <c r="E346" i="1" l="1"/>
  <c r="B347" i="1"/>
  <c r="C347" i="1" l="1"/>
  <c r="H347" i="1"/>
  <c r="F347" i="1"/>
  <c r="D347" i="1" s="1"/>
  <c r="G347" i="1" s="1"/>
  <c r="E347" i="1"/>
  <c r="B348" i="1" l="1"/>
  <c r="H348" i="1" l="1"/>
  <c r="E348" i="1"/>
  <c r="C348" i="1"/>
  <c r="F348" i="1"/>
  <c r="D348" i="1" s="1"/>
  <c r="G348" i="1" s="1"/>
  <c r="B349" i="1" l="1"/>
  <c r="E349" i="1" l="1"/>
  <c r="C349" i="1"/>
  <c r="F349" i="1"/>
  <c r="D349" i="1" s="1"/>
  <c r="G349" i="1" s="1"/>
  <c r="H349" i="1"/>
  <c r="B350" i="1" s="1"/>
  <c r="H350" i="1" l="1"/>
  <c r="E350" i="1"/>
  <c r="C350" i="1"/>
  <c r="F350" i="1"/>
  <c r="D350" i="1" s="1"/>
  <c r="G350" i="1" s="1"/>
  <c r="B351" i="1" l="1"/>
  <c r="F351" i="1" l="1"/>
  <c r="D351" i="1" s="1"/>
  <c r="G351" i="1" s="1"/>
  <c r="C351" i="1"/>
  <c r="H351" i="1"/>
  <c r="E351" i="1"/>
  <c r="B352" i="1" l="1"/>
  <c r="H352" i="1" l="1"/>
  <c r="C352" i="1"/>
  <c r="F352" i="1"/>
  <c r="D352" i="1" s="1"/>
  <c r="G352" i="1" s="1"/>
  <c r="E352" i="1"/>
  <c r="B353" i="1" l="1"/>
  <c r="E353" i="1" l="1"/>
  <c r="C353" i="1"/>
  <c r="F353" i="1"/>
  <c r="D353" i="1" s="1"/>
  <c r="G353" i="1" s="1"/>
  <c r="H353" i="1"/>
  <c r="B354" i="1" s="1"/>
  <c r="E354" i="1" l="1"/>
  <c r="F354" i="1"/>
  <c r="D354" i="1" s="1"/>
  <c r="G354" i="1" s="1"/>
  <c r="H354" i="1"/>
  <c r="C354" i="1"/>
  <c r="B355" i="1" l="1"/>
  <c r="E355" i="1" l="1"/>
  <c r="C355" i="1"/>
  <c r="F355" i="1"/>
  <c r="D355" i="1" s="1"/>
  <c r="G355" i="1" s="1"/>
  <c r="H355" i="1"/>
  <c r="B356" i="1" l="1"/>
  <c r="C356" i="1"/>
  <c r="F356" i="1"/>
  <c r="D356" i="1" s="1"/>
  <c r="G356" i="1" s="1"/>
  <c r="H356" i="1"/>
  <c r="B357" i="1" s="1"/>
  <c r="E356" i="1"/>
  <c r="F357" i="1" l="1"/>
  <c r="D357" i="1" s="1"/>
  <c r="G357" i="1" s="1"/>
  <c r="E357" i="1"/>
  <c r="H357" i="1"/>
  <c r="B358" i="1" s="1"/>
  <c r="C357" i="1"/>
  <c r="E358" i="1" l="1"/>
  <c r="H358" i="1"/>
  <c r="C358" i="1"/>
  <c r="F358" i="1"/>
  <c r="D358" i="1" s="1"/>
  <c r="G358" i="1" s="1"/>
  <c r="B359" i="1" l="1"/>
  <c r="F359" i="1" l="1"/>
  <c r="D359" i="1" s="1"/>
  <c r="G359" i="1" s="1"/>
  <c r="H359" i="1"/>
  <c r="E359" i="1"/>
  <c r="C359" i="1"/>
  <c r="B360" i="1" l="1"/>
  <c r="E360" i="1" l="1"/>
  <c r="C360" i="1"/>
  <c r="F360" i="1"/>
  <c r="D360" i="1" s="1"/>
  <c r="G360" i="1" s="1"/>
  <c r="H360" i="1"/>
  <c r="B361" i="1" s="1"/>
  <c r="F361" i="1" l="1"/>
  <c r="D361" i="1" s="1"/>
  <c r="G361" i="1" s="1"/>
  <c r="H361" i="1"/>
  <c r="B362" i="1" s="1"/>
  <c r="C361" i="1"/>
  <c r="E361" i="1"/>
  <c r="C362" i="1" l="1"/>
  <c r="E362" i="1"/>
  <c r="H362" i="1"/>
  <c r="F362" i="1"/>
  <c r="D362" i="1" s="1"/>
  <c r="G362" i="1" s="1"/>
  <c r="B363" i="1" l="1"/>
  <c r="H363" i="1" l="1"/>
  <c r="F363" i="1"/>
  <c r="D363" i="1" s="1"/>
  <c r="G363" i="1" s="1"/>
  <c r="C363" i="1"/>
  <c r="E363" i="1"/>
  <c r="B364" i="1" l="1"/>
  <c r="C364" i="1" l="1"/>
  <c r="F364" i="1"/>
  <c r="D364" i="1" s="1"/>
  <c r="G364" i="1" s="1"/>
  <c r="E364" i="1"/>
  <c r="H364" i="1"/>
  <c r="B365" i="1" l="1"/>
  <c r="H365" i="1"/>
  <c r="C365" i="1"/>
  <c r="E365" i="1"/>
  <c r="F365" i="1"/>
  <c r="D365" i="1" s="1"/>
  <c r="G365" i="1" s="1"/>
  <c r="B366" i="1" l="1"/>
  <c r="F366" i="1" l="1"/>
  <c r="D366" i="1" s="1"/>
  <c r="G366" i="1" s="1"/>
  <c r="H366" i="1"/>
  <c r="C366" i="1"/>
  <c r="E366" i="1"/>
  <c r="B367" i="1" l="1"/>
  <c r="E367" i="1" l="1"/>
  <c r="F367" i="1"/>
  <c r="D367" i="1" s="1"/>
  <c r="G367" i="1" s="1"/>
  <c r="H367" i="1"/>
  <c r="B368" i="1" s="1"/>
  <c r="C367" i="1"/>
  <c r="F368" i="1" l="1"/>
  <c r="D368" i="1" s="1"/>
  <c r="G368" i="1" s="1"/>
  <c r="C368" i="1"/>
  <c r="E368" i="1"/>
  <c r="H368" i="1"/>
  <c r="B369" i="1" s="1"/>
  <c r="C369" i="1" l="1"/>
  <c r="H369" i="1"/>
  <c r="E369" i="1"/>
  <c r="F369" i="1"/>
  <c r="D369" i="1" s="1"/>
  <c r="G369" i="1" s="1"/>
  <c r="B370" i="1" l="1"/>
  <c r="F370" i="1" l="1"/>
  <c r="D370" i="1" s="1"/>
  <c r="G370" i="1" s="1"/>
  <c r="C370" i="1"/>
  <c r="E370" i="1"/>
  <c r="H370" i="1"/>
  <c r="B371" i="1" s="1"/>
  <c r="C371" i="1" l="1"/>
  <c r="H371" i="1"/>
  <c r="F371" i="1"/>
  <c r="D371" i="1" s="1"/>
  <c r="G371" i="1" s="1"/>
  <c r="E371" i="1"/>
  <c r="B372" i="1" l="1"/>
  <c r="C372" i="1" l="1"/>
  <c r="E372" i="1"/>
  <c r="H372" i="1"/>
  <c r="F372" i="1"/>
  <c r="D372" i="1" s="1"/>
  <c r="G372" i="1" s="1"/>
  <c r="B373" i="1" l="1"/>
  <c r="C373" i="1" l="1"/>
  <c r="F373" i="1"/>
  <c r="D373" i="1" s="1"/>
  <c r="G373" i="1" s="1"/>
  <c r="E373" i="1"/>
  <c r="H373" i="1"/>
  <c r="B374" i="1" l="1"/>
  <c r="E374" i="1"/>
  <c r="H374" i="1"/>
  <c r="C374" i="1"/>
  <c r="F374" i="1"/>
  <c r="D374" i="1" s="1"/>
  <c r="G374" i="1" s="1"/>
  <c r="B375" i="1" l="1"/>
  <c r="F375" i="1"/>
  <c r="D375" i="1" s="1"/>
  <c r="G375" i="1" s="1"/>
  <c r="H375" i="1"/>
  <c r="B376" i="1" s="1"/>
  <c r="C375" i="1"/>
  <c r="E375" i="1"/>
  <c r="H376" i="1" l="1"/>
  <c r="E376" i="1"/>
  <c r="F376" i="1"/>
  <c r="D376" i="1" s="1"/>
  <c r="G376" i="1" s="1"/>
  <c r="C376" i="1"/>
  <c r="B377" i="1" l="1"/>
  <c r="F377" i="1" l="1"/>
  <c r="D377" i="1" s="1"/>
  <c r="G377" i="1" s="1"/>
  <c r="E377" i="1"/>
  <c r="C377" i="1"/>
  <c r="H377" i="1"/>
  <c r="B378" i="1" l="1"/>
  <c r="C378" i="1"/>
  <c r="H378" i="1"/>
  <c r="E378" i="1"/>
  <c r="F378" i="1"/>
  <c r="D378" i="1" s="1"/>
  <c r="G378" i="1" s="1"/>
  <c r="B379" i="1" l="1"/>
  <c r="H379" i="1" l="1"/>
  <c r="C379" i="1"/>
  <c r="F379" i="1"/>
  <c r="D379" i="1" s="1"/>
  <c r="G379" i="1" s="1"/>
  <c r="E379" i="1"/>
  <c r="B380" i="1" l="1"/>
  <c r="H380" i="1" l="1"/>
  <c r="E380" i="1"/>
  <c r="F380" i="1"/>
  <c r="D380" i="1" s="1"/>
  <c r="G380" i="1" s="1"/>
  <c r="C380" i="1"/>
  <c r="B381" i="1" l="1"/>
  <c r="C381" i="1" l="1"/>
  <c r="F381" i="1"/>
  <c r="D381" i="1" s="1"/>
  <c r="G381" i="1" s="1"/>
  <c r="E381" i="1"/>
  <c r="H381" i="1"/>
  <c r="B382" i="1" l="1"/>
  <c r="E382" i="1" s="1"/>
  <c r="F382" i="1"/>
  <c r="D382" i="1" s="1"/>
  <c r="G382" i="1" s="1"/>
  <c r="H382" i="1"/>
  <c r="B383" i="1" s="1"/>
  <c r="C382" i="1"/>
  <c r="E383" i="1" l="1"/>
  <c r="C383" i="1"/>
  <c r="H383" i="1"/>
  <c r="F383" i="1"/>
  <c r="D383" i="1" s="1"/>
  <c r="G383" i="1" s="1"/>
  <c r="B384" i="1" l="1"/>
  <c r="H384" i="1" l="1"/>
  <c r="E384" i="1"/>
  <c r="F384" i="1"/>
  <c r="D384" i="1" s="1"/>
  <c r="G384" i="1" s="1"/>
  <c r="C384" i="1"/>
  <c r="B385" i="1" l="1"/>
  <c r="H385" i="1" l="1"/>
  <c r="C385" i="1"/>
  <c r="F385" i="1"/>
  <c r="D385" i="1" s="1"/>
  <c r="G385" i="1" s="1"/>
  <c r="E385" i="1"/>
  <c r="B386" i="1" l="1"/>
  <c r="E386" i="1" l="1"/>
  <c r="C386" i="1"/>
  <c r="H386" i="1"/>
  <c r="F386" i="1"/>
  <c r="D386" i="1" s="1"/>
  <c r="G386" i="1" s="1"/>
  <c r="B387" i="1" l="1"/>
  <c r="F387" i="1" l="1"/>
  <c r="D387" i="1" s="1"/>
  <c r="G387" i="1" s="1"/>
  <c r="C387" i="1"/>
  <c r="H387" i="1"/>
  <c r="B388" i="1" s="1"/>
  <c r="E387" i="1"/>
  <c r="H388" i="1" l="1"/>
  <c r="F388" i="1"/>
  <c r="D388" i="1" s="1"/>
  <c r="G388" i="1" s="1"/>
  <c r="C388" i="1"/>
  <c r="E388" i="1"/>
  <c r="B389" i="1" l="1"/>
  <c r="E389" i="1" l="1"/>
  <c r="H389" i="1"/>
  <c r="C389" i="1"/>
  <c r="F389" i="1"/>
  <c r="D389" i="1" s="1"/>
  <c r="G389" i="1" s="1"/>
  <c r="B390" i="1" l="1"/>
  <c r="H390" i="1" l="1"/>
  <c r="C390" i="1"/>
  <c r="F390" i="1"/>
  <c r="D390" i="1" s="1"/>
  <c r="G390" i="1" s="1"/>
  <c r="E390" i="1"/>
  <c r="B391" i="1" l="1"/>
  <c r="C391" i="1" l="1"/>
  <c r="E391" i="1"/>
  <c r="H391" i="1"/>
  <c r="F391" i="1"/>
  <c r="D391" i="1" s="1"/>
  <c r="G391" i="1" s="1"/>
  <c r="B392" i="1" l="1"/>
  <c r="F392" i="1" l="1"/>
  <c r="D392" i="1" s="1"/>
  <c r="G392" i="1" s="1"/>
  <c r="H392" i="1"/>
  <c r="B393" i="1" s="1"/>
  <c r="C392" i="1"/>
  <c r="E392" i="1"/>
  <c r="F393" i="1" l="1"/>
  <c r="D393" i="1" s="1"/>
  <c r="G393" i="1" s="1"/>
  <c r="E393" i="1"/>
  <c r="C393" i="1"/>
  <c r="H393" i="1"/>
  <c r="B394" i="1" l="1"/>
  <c r="H394" i="1" s="1"/>
  <c r="E394" i="1"/>
  <c r="F394" i="1"/>
  <c r="D394" i="1" s="1"/>
  <c r="G394" i="1" s="1"/>
  <c r="C394" i="1"/>
  <c r="B395" i="1" l="1"/>
  <c r="H395" i="1" s="1"/>
  <c r="C395" i="1"/>
  <c r="F395" i="1"/>
  <c r="D395" i="1" s="1"/>
  <c r="G395" i="1" s="1"/>
  <c r="E395" i="1"/>
  <c r="B396" i="1" l="1"/>
  <c r="C396" i="1"/>
  <c r="F396" i="1"/>
  <c r="D396" i="1" s="1"/>
  <c r="G396" i="1" s="1"/>
  <c r="H396" i="1"/>
  <c r="B397" i="1" s="1"/>
  <c r="E396" i="1"/>
  <c r="H397" i="1" l="1"/>
  <c r="E397" i="1"/>
  <c r="F397" i="1"/>
  <c r="D397" i="1" s="1"/>
  <c r="G397" i="1" s="1"/>
  <c r="C397" i="1"/>
  <c r="B398" i="1" l="1"/>
  <c r="C398" i="1" l="1"/>
  <c r="F398" i="1"/>
  <c r="D398" i="1" s="1"/>
  <c r="G398" i="1" s="1"/>
  <c r="E398" i="1"/>
  <c r="H398" i="1"/>
  <c r="B399" i="1" s="1"/>
  <c r="E399" i="1" l="1"/>
  <c r="C399" i="1"/>
  <c r="F399" i="1"/>
  <c r="D399" i="1" s="1"/>
  <c r="G399" i="1" s="1"/>
  <c r="H399" i="1"/>
  <c r="B400" i="1" s="1"/>
  <c r="H400" i="1" l="1"/>
  <c r="F400" i="1"/>
  <c r="D400" i="1" s="1"/>
  <c r="G400" i="1" s="1"/>
  <c r="E400" i="1"/>
  <c r="C400" i="1"/>
  <c r="B401" i="1" l="1"/>
  <c r="C401" i="1" l="1"/>
  <c r="H401" i="1"/>
  <c r="E401" i="1"/>
  <c r="F401" i="1"/>
  <c r="D401" i="1" s="1"/>
  <c r="G401" i="1" s="1"/>
  <c r="B402" i="1" l="1"/>
  <c r="H402" i="1"/>
  <c r="F402" i="1"/>
  <c r="D402" i="1" s="1"/>
  <c r="G402" i="1" s="1"/>
  <c r="E402" i="1"/>
  <c r="C402" i="1"/>
  <c r="B403" i="1" l="1"/>
  <c r="E403" i="1" l="1"/>
  <c r="F403" i="1"/>
  <c r="D403" i="1" s="1"/>
  <c r="G403" i="1" s="1"/>
  <c r="H403" i="1"/>
  <c r="B404" i="1" s="1"/>
  <c r="C403" i="1"/>
  <c r="E404" i="1" l="1"/>
  <c r="H404" i="1"/>
  <c r="F404" i="1"/>
  <c r="D404" i="1" s="1"/>
  <c r="G404" i="1" s="1"/>
  <c r="C404" i="1"/>
  <c r="B405" i="1" l="1"/>
  <c r="C405" i="1" l="1"/>
  <c r="F405" i="1"/>
  <c r="D405" i="1" s="1"/>
  <c r="G405" i="1" s="1"/>
  <c r="H405" i="1"/>
  <c r="B406" i="1" s="1"/>
  <c r="E405" i="1"/>
  <c r="F406" i="1" l="1"/>
  <c r="D406" i="1" s="1"/>
  <c r="G406" i="1" s="1"/>
  <c r="E406" i="1"/>
  <c r="C406" i="1"/>
  <c r="H406" i="1"/>
  <c r="B407" i="1" s="1"/>
  <c r="C407" i="1" l="1"/>
  <c r="E407" i="1"/>
  <c r="F407" i="1"/>
  <c r="D407" i="1" s="1"/>
  <c r="G407" i="1" s="1"/>
  <c r="H407" i="1"/>
  <c r="B408" i="1" l="1"/>
  <c r="E408" i="1" s="1"/>
  <c r="C408" i="1"/>
  <c r="F408" i="1"/>
  <c r="D408" i="1" s="1"/>
  <c r="G408" i="1" s="1"/>
  <c r="H408" i="1"/>
  <c r="B409" i="1" s="1"/>
  <c r="H409" i="1" l="1"/>
  <c r="C409" i="1"/>
  <c r="F409" i="1"/>
  <c r="D409" i="1" s="1"/>
  <c r="G409" i="1" s="1"/>
  <c r="E409" i="1"/>
  <c r="B410" i="1" l="1"/>
  <c r="F410" i="1" l="1"/>
  <c r="D410" i="1" s="1"/>
  <c r="G410" i="1" s="1"/>
  <c r="C410" i="1"/>
  <c r="E410" i="1"/>
  <c r="H410" i="1"/>
  <c r="B411" i="1" s="1"/>
  <c r="F411" i="1" l="1"/>
  <c r="D411" i="1" s="1"/>
  <c r="G411" i="1" s="1"/>
  <c r="C411" i="1"/>
  <c r="H411" i="1"/>
  <c r="B412" i="1" s="1"/>
  <c r="E411" i="1"/>
  <c r="C412" i="1" l="1"/>
  <c r="F412" i="1"/>
  <c r="D412" i="1" s="1"/>
  <c r="G412" i="1" s="1"/>
  <c r="H412" i="1"/>
  <c r="B413" i="1" s="1"/>
  <c r="E412" i="1"/>
  <c r="C413" i="1" l="1"/>
  <c r="H413" i="1"/>
  <c r="E413" i="1"/>
  <c r="F413" i="1"/>
  <c r="D413" i="1" s="1"/>
  <c r="G413" i="1" s="1"/>
  <c r="B414" i="1" l="1"/>
  <c r="C414" i="1" l="1"/>
  <c r="E414" i="1"/>
  <c r="H414" i="1"/>
  <c r="F414" i="1"/>
  <c r="D414" i="1" s="1"/>
  <c r="G414" i="1" s="1"/>
  <c r="B415" i="1" l="1"/>
  <c r="F415" i="1" l="1"/>
  <c r="D415" i="1" s="1"/>
  <c r="G415" i="1" s="1"/>
  <c r="C415" i="1"/>
  <c r="E415" i="1"/>
  <c r="H415" i="1"/>
  <c r="B416" i="1" s="1"/>
  <c r="H416" i="1" l="1"/>
  <c r="E416" i="1"/>
  <c r="C416" i="1"/>
  <c r="F416" i="1"/>
  <c r="D416" i="1" s="1"/>
  <c r="G416" i="1" s="1"/>
  <c r="B417" i="1" l="1"/>
  <c r="C417" i="1" l="1"/>
  <c r="H417" i="1"/>
  <c r="E417" i="1"/>
  <c r="F417" i="1"/>
  <c r="D417" i="1" s="1"/>
  <c r="G417" i="1" s="1"/>
  <c r="B418" i="1" l="1"/>
  <c r="E418" i="1" l="1"/>
  <c r="F418" i="1"/>
  <c r="D418" i="1" s="1"/>
  <c r="G418" i="1" s="1"/>
  <c r="C418" i="1"/>
  <c r="H418" i="1"/>
  <c r="B419" i="1" l="1"/>
  <c r="F419" i="1" s="1"/>
  <c r="D419" i="1" s="1"/>
  <c r="G419" i="1" s="1"/>
  <c r="E419" i="1" l="1"/>
  <c r="H419" i="1"/>
  <c r="B420" i="1" s="1"/>
  <c r="C419" i="1"/>
  <c r="H420" i="1" l="1"/>
  <c r="F420" i="1"/>
  <c r="D420" i="1" s="1"/>
  <c r="G420" i="1" s="1"/>
  <c r="C420" i="1"/>
  <c r="E420" i="1"/>
  <c r="B421" i="1" l="1"/>
  <c r="H421" i="1" l="1"/>
  <c r="C421" i="1"/>
  <c r="F421" i="1"/>
  <c r="D421" i="1" s="1"/>
  <c r="G421" i="1" s="1"/>
  <c r="E421" i="1"/>
  <c r="B422" i="1" l="1"/>
  <c r="E422" i="1" l="1"/>
  <c r="H422" i="1"/>
  <c r="F422" i="1"/>
  <c r="D422" i="1" s="1"/>
  <c r="G422" i="1" s="1"/>
  <c r="C422" i="1"/>
  <c r="B423" i="1" l="1"/>
  <c r="H423" i="1" l="1"/>
  <c r="F423" i="1"/>
  <c r="D423" i="1" s="1"/>
  <c r="G423" i="1" s="1"/>
  <c r="C423" i="1"/>
  <c r="E423" i="1"/>
  <c r="B424" i="1" l="1"/>
  <c r="C424" i="1" l="1"/>
  <c r="F424" i="1"/>
  <c r="D424" i="1" s="1"/>
  <c r="G424" i="1" s="1"/>
  <c r="H424" i="1"/>
  <c r="E424" i="1"/>
  <c r="B425" i="1" l="1"/>
  <c r="H425" i="1" s="1"/>
  <c r="E425" i="1"/>
  <c r="F425" i="1"/>
  <c r="D425" i="1" s="1"/>
  <c r="G425" i="1" s="1"/>
  <c r="C425" i="1"/>
  <c r="B426" i="1" l="1"/>
  <c r="H426" i="1" s="1"/>
  <c r="E426" i="1" l="1"/>
  <c r="C426" i="1"/>
  <c r="F426" i="1"/>
  <c r="D426" i="1" s="1"/>
  <c r="G426" i="1" s="1"/>
  <c r="B427" i="1" l="1"/>
  <c r="E427" i="1" s="1"/>
  <c r="H427" i="1"/>
  <c r="C427" i="1"/>
  <c r="F427" i="1" l="1"/>
  <c r="D427" i="1" s="1"/>
  <c r="G427" i="1" s="1"/>
  <c r="B428" i="1"/>
  <c r="F428" i="1" l="1"/>
  <c r="D428" i="1" s="1"/>
  <c r="G428" i="1" s="1"/>
  <c r="C428" i="1"/>
  <c r="E428" i="1"/>
  <c r="H428" i="1"/>
  <c r="B429" i="1" s="1"/>
  <c r="F429" i="1" l="1"/>
  <c r="D429" i="1" s="1"/>
  <c r="G429" i="1" s="1"/>
  <c r="C429" i="1"/>
  <c r="H429" i="1"/>
  <c r="B430" i="1" s="1"/>
  <c r="E429" i="1"/>
  <c r="C430" i="1" l="1"/>
  <c r="H430" i="1"/>
  <c r="E430" i="1"/>
  <c r="F430" i="1"/>
  <c r="D430" i="1" s="1"/>
  <c r="G430" i="1" s="1"/>
  <c r="B431" i="1" l="1"/>
  <c r="E431" i="1" l="1"/>
  <c r="C431" i="1"/>
  <c r="F431" i="1"/>
  <c r="D431" i="1" s="1"/>
  <c r="G431" i="1" s="1"/>
  <c r="H431" i="1"/>
  <c r="B432" i="1" l="1"/>
  <c r="E432" i="1"/>
  <c r="F432" i="1"/>
  <c r="D432" i="1" s="1"/>
  <c r="G432" i="1" s="1"/>
  <c r="C432" i="1"/>
  <c r="H432" i="1"/>
  <c r="B433" i="1" s="1"/>
  <c r="F433" i="1" l="1"/>
  <c r="D433" i="1" s="1"/>
  <c r="G433" i="1" s="1"/>
  <c r="C433" i="1"/>
  <c r="E433" i="1"/>
  <c r="H433" i="1"/>
  <c r="B434" i="1" s="1"/>
  <c r="C434" i="1" l="1"/>
  <c r="F434" i="1"/>
  <c r="D434" i="1" s="1"/>
  <c r="G434" i="1" s="1"/>
  <c r="H434" i="1"/>
  <c r="E434" i="1"/>
  <c r="B435" i="1" l="1"/>
  <c r="H435" i="1"/>
  <c r="E435" i="1"/>
  <c r="C435" i="1"/>
  <c r="F435" i="1"/>
  <c r="D435" i="1" s="1"/>
  <c r="G435" i="1" s="1"/>
  <c r="B436" i="1" l="1"/>
  <c r="E436" i="1"/>
  <c r="C436" i="1"/>
  <c r="H436" i="1"/>
  <c r="F436" i="1"/>
  <c r="D436" i="1" s="1"/>
  <c r="G436" i="1" s="1"/>
  <c r="B437" i="1" l="1"/>
  <c r="E437" i="1" l="1"/>
  <c r="H437" i="1"/>
  <c r="C437" i="1"/>
  <c r="F437" i="1"/>
  <c r="D437" i="1" s="1"/>
  <c r="G437" i="1" s="1"/>
  <c r="B438" i="1" l="1"/>
  <c r="C438" i="1" l="1"/>
  <c r="H438" i="1"/>
  <c r="E438" i="1"/>
  <c r="F438" i="1"/>
  <c r="D438" i="1" s="1"/>
  <c r="G438" i="1" s="1"/>
  <c r="B439" i="1" l="1"/>
  <c r="F439" i="1" l="1"/>
  <c r="D439" i="1" s="1"/>
  <c r="G439" i="1" s="1"/>
  <c r="H439" i="1"/>
  <c r="B440" i="1" s="1"/>
  <c r="C439" i="1"/>
  <c r="E439" i="1"/>
  <c r="H440" i="1" l="1"/>
  <c r="E440" i="1"/>
  <c r="F440" i="1"/>
  <c r="D440" i="1" s="1"/>
  <c r="G440" i="1" s="1"/>
  <c r="C440" i="1"/>
  <c r="B441" i="1" l="1"/>
  <c r="H441" i="1" l="1"/>
  <c r="F441" i="1"/>
  <c r="D441" i="1" s="1"/>
  <c r="G441" i="1" s="1"/>
  <c r="C441" i="1"/>
  <c r="E441" i="1"/>
  <c r="B442" i="1" l="1"/>
  <c r="F442" i="1" l="1"/>
  <c r="D442" i="1" s="1"/>
  <c r="G442" i="1" s="1"/>
  <c r="C442" i="1"/>
  <c r="H442" i="1"/>
  <c r="B443" i="1" s="1"/>
  <c r="E442" i="1"/>
  <c r="H443" i="1" l="1"/>
  <c r="E443" i="1"/>
  <c r="F443" i="1"/>
  <c r="D443" i="1" s="1"/>
  <c r="G443" i="1" s="1"/>
  <c r="C443" i="1"/>
  <c r="B444" i="1" l="1"/>
  <c r="H444" i="1" l="1"/>
  <c r="F444" i="1"/>
  <c r="D444" i="1" s="1"/>
  <c r="G444" i="1" s="1"/>
  <c r="E444" i="1"/>
  <c r="C444" i="1"/>
  <c r="B445" i="1" l="1"/>
  <c r="C445" i="1" l="1"/>
  <c r="F445" i="1"/>
  <c r="D445" i="1" s="1"/>
  <c r="G445" i="1" s="1"/>
  <c r="H445" i="1"/>
  <c r="B446" i="1" s="1"/>
  <c r="E445" i="1"/>
  <c r="E446" i="1" l="1"/>
  <c r="C446" i="1"/>
  <c r="H446" i="1"/>
  <c r="F446" i="1"/>
  <c r="D446" i="1" s="1"/>
  <c r="G446" i="1" s="1"/>
  <c r="B447" i="1" l="1"/>
  <c r="H447" i="1" s="1"/>
  <c r="C447" i="1"/>
  <c r="E447" i="1"/>
  <c r="F447" i="1"/>
  <c r="D447" i="1" s="1"/>
  <c r="G447" i="1" s="1"/>
  <c r="B448" i="1" l="1"/>
  <c r="F448" i="1" s="1"/>
  <c r="D448" i="1" s="1"/>
  <c r="G448" i="1" s="1"/>
  <c r="C448" i="1"/>
  <c r="H448" i="1" l="1"/>
  <c r="E448" i="1"/>
  <c r="B449" i="1"/>
  <c r="H449" i="1" l="1"/>
  <c r="C449" i="1"/>
  <c r="F449" i="1"/>
  <c r="D449" i="1" s="1"/>
  <c r="G449" i="1" s="1"/>
  <c r="E449" i="1"/>
  <c r="B450" i="1" l="1"/>
  <c r="F450" i="1" l="1"/>
  <c r="D450" i="1" s="1"/>
  <c r="G450" i="1" s="1"/>
  <c r="H450" i="1"/>
  <c r="B451" i="1" s="1"/>
  <c r="C450" i="1"/>
  <c r="E450" i="1"/>
  <c r="E451" i="1" l="1"/>
  <c r="C451" i="1"/>
  <c r="F451" i="1"/>
  <c r="D451" i="1" s="1"/>
  <c r="G451" i="1" s="1"/>
  <c r="H451" i="1"/>
  <c r="B452" i="1" s="1"/>
  <c r="E452" i="1" l="1"/>
  <c r="F452" i="1"/>
  <c r="D452" i="1" s="1"/>
  <c r="G452" i="1" s="1"/>
  <c r="H452" i="1"/>
  <c r="B453" i="1" s="1"/>
  <c r="C452" i="1"/>
  <c r="C453" i="1" l="1"/>
  <c r="H453" i="1"/>
  <c r="F453" i="1"/>
  <c r="D453" i="1" s="1"/>
  <c r="G453" i="1" s="1"/>
  <c r="E453" i="1"/>
  <c r="B454" i="1" l="1"/>
  <c r="H454" i="1" l="1"/>
  <c r="C454" i="1"/>
  <c r="E454" i="1"/>
  <c r="F454" i="1"/>
  <c r="D454" i="1" s="1"/>
  <c r="G454" i="1" s="1"/>
  <c r="B455" i="1" l="1"/>
  <c r="F455" i="1" s="1"/>
  <c r="D455" i="1" s="1"/>
  <c r="G455" i="1" s="1"/>
  <c r="C455" i="1" l="1"/>
  <c r="H455" i="1"/>
  <c r="B456" i="1" s="1"/>
  <c r="E455" i="1"/>
  <c r="H456" i="1" l="1"/>
  <c r="E456" i="1"/>
  <c r="F456" i="1"/>
  <c r="D456" i="1" s="1"/>
  <c r="G456" i="1" s="1"/>
  <c r="C456" i="1"/>
  <c r="B457" i="1" l="1"/>
  <c r="C457" i="1" l="1"/>
  <c r="E457" i="1"/>
  <c r="F457" i="1"/>
  <c r="D457" i="1" s="1"/>
  <c r="G457" i="1" s="1"/>
  <c r="H457" i="1"/>
  <c r="B458" i="1" s="1"/>
  <c r="E458" i="1" l="1"/>
  <c r="C458" i="1"/>
  <c r="H458" i="1"/>
  <c r="F458" i="1"/>
  <c r="D458" i="1" s="1"/>
  <c r="G458" i="1" s="1"/>
  <c r="B459" i="1" l="1"/>
  <c r="E459" i="1" l="1"/>
  <c r="C459" i="1"/>
  <c r="F459" i="1"/>
  <c r="D459" i="1" s="1"/>
  <c r="G459" i="1" s="1"/>
  <c r="H459" i="1"/>
  <c r="B460" i="1" s="1"/>
  <c r="C460" i="1" l="1"/>
  <c r="H460" i="1"/>
  <c r="E460" i="1"/>
  <c r="F460" i="1"/>
  <c r="D460" i="1" s="1"/>
  <c r="G460" i="1" s="1"/>
  <c r="B461" i="1" l="1"/>
  <c r="F461" i="1" l="1"/>
  <c r="D461" i="1" s="1"/>
  <c r="G461" i="1" s="1"/>
  <c r="H461" i="1"/>
  <c r="B462" i="1" s="1"/>
  <c r="C461" i="1"/>
  <c r="E461" i="1"/>
  <c r="F462" i="1" l="1"/>
  <c r="D462" i="1" s="1"/>
  <c r="G462" i="1" s="1"/>
  <c r="E462" i="1"/>
  <c r="C462" i="1"/>
  <c r="H462" i="1"/>
  <c r="B463" i="1" l="1"/>
  <c r="E463" i="1" s="1"/>
  <c r="H463" i="1"/>
  <c r="F463" i="1"/>
  <c r="D463" i="1" s="1"/>
  <c r="G463" i="1" s="1"/>
  <c r="C463" i="1"/>
  <c r="B464" i="1" l="1"/>
  <c r="C464" i="1" l="1"/>
  <c r="F464" i="1"/>
  <c r="D464" i="1"/>
  <c r="G464" i="1" s="1"/>
  <c r="E464" i="1"/>
  <c r="H464" i="1"/>
  <c r="B465" i="1" s="1"/>
  <c r="E465" i="1" l="1"/>
  <c r="H465" i="1"/>
  <c r="C465" i="1"/>
  <c r="F465" i="1"/>
  <c r="D465" i="1" s="1"/>
  <c r="G465" i="1" s="1"/>
  <c r="B466" i="1" l="1"/>
  <c r="E466" i="1" l="1"/>
  <c r="H466" i="1"/>
  <c r="C466" i="1"/>
  <c r="F466" i="1"/>
  <c r="D466" i="1" s="1"/>
  <c r="G466" i="1" s="1"/>
  <c r="B467" i="1" l="1"/>
  <c r="H467" i="1" l="1"/>
  <c r="C467" i="1"/>
  <c r="F467" i="1"/>
  <c r="D467" i="1" s="1"/>
  <c r="G467" i="1" s="1"/>
  <c r="E467" i="1"/>
  <c r="B468" i="1" l="1"/>
  <c r="E468" i="1" l="1"/>
  <c r="H468" i="1"/>
  <c r="F468" i="1"/>
  <c r="D468" i="1" s="1"/>
  <c r="G468" i="1" s="1"/>
  <c r="C468" i="1"/>
  <c r="B469" i="1" l="1"/>
  <c r="C469" i="1" l="1"/>
  <c r="F469" i="1"/>
  <c r="D469" i="1" s="1"/>
  <c r="G469" i="1" s="1"/>
  <c r="H469" i="1"/>
  <c r="E469" i="1"/>
  <c r="B470" i="1" l="1"/>
  <c r="F470" i="1" s="1"/>
  <c r="D470" i="1" s="1"/>
  <c r="G470" i="1" s="1"/>
  <c r="H470" i="1"/>
  <c r="E470" i="1"/>
  <c r="C470" i="1"/>
  <c r="B471" i="1" l="1"/>
  <c r="E471" i="1" l="1"/>
  <c r="H471" i="1"/>
  <c r="F471" i="1"/>
  <c r="D471" i="1" s="1"/>
  <c r="G471" i="1" s="1"/>
  <c r="C471" i="1"/>
  <c r="B472" i="1" l="1"/>
  <c r="E472" i="1" l="1"/>
  <c r="C472" i="1"/>
  <c r="H472" i="1"/>
  <c r="F472" i="1"/>
  <c r="B473" i="1" s="1"/>
  <c r="H473" i="1" l="1"/>
  <c r="F473" i="1"/>
  <c r="D473" i="1" s="1"/>
  <c r="G473" i="1" s="1"/>
  <c r="E473" i="1"/>
  <c r="C473" i="1"/>
  <c r="D472" i="1"/>
  <c r="G472" i="1" s="1"/>
  <c r="B474" i="1" l="1"/>
  <c r="E474" i="1" l="1"/>
  <c r="F474" i="1"/>
  <c r="D474" i="1" s="1"/>
  <c r="G474" i="1" s="1"/>
  <c r="C474" i="1"/>
  <c r="H474" i="1"/>
  <c r="B475" i="1" l="1"/>
  <c r="C475" i="1" s="1"/>
  <c r="F475" i="1" l="1"/>
  <c r="D475" i="1" s="1"/>
  <c r="G475" i="1" s="1"/>
  <c r="E475" i="1"/>
  <c r="H475" i="1"/>
  <c r="B476" i="1" s="1"/>
  <c r="H476" i="1" s="1"/>
  <c r="B477" i="1" s="1"/>
  <c r="F476" i="1"/>
  <c r="D476" i="1" s="1"/>
  <c r="G476" i="1" s="1"/>
  <c r="C476" i="1"/>
  <c r="E476" i="1"/>
  <c r="H477" i="1" l="1"/>
  <c r="C477" i="1"/>
  <c r="F477" i="1"/>
  <c r="D477" i="1" s="1"/>
  <c r="G477" i="1" s="1"/>
  <c r="E477" i="1"/>
  <c r="B478" i="1" l="1"/>
  <c r="F478" i="1" l="1"/>
  <c r="D478" i="1" s="1"/>
  <c r="G478" i="1" s="1"/>
  <c r="H478" i="1"/>
  <c r="C478" i="1"/>
  <c r="E478" i="1"/>
  <c r="B479" i="1" l="1"/>
  <c r="F479" i="1" l="1"/>
  <c r="D479" i="1" s="1"/>
  <c r="G479" i="1" s="1"/>
  <c r="E479" i="1"/>
  <c r="H479" i="1"/>
  <c r="B480" i="1" s="1"/>
  <c r="C479" i="1"/>
  <c r="F480" i="1" l="1"/>
  <c r="D480" i="1" s="1"/>
  <c r="G480" i="1" s="1"/>
  <c r="E480" i="1"/>
  <c r="C480" i="1"/>
  <c r="H480" i="1"/>
  <c r="B481" i="1" l="1"/>
  <c r="F481" i="1" s="1"/>
  <c r="D481" i="1" s="1"/>
  <c r="G481" i="1" s="1"/>
  <c r="C481" i="1" l="1"/>
  <c r="H481" i="1"/>
  <c r="B482" i="1" s="1"/>
  <c r="E481" i="1"/>
  <c r="E482" i="1" l="1"/>
  <c r="F482" i="1"/>
  <c r="D482" i="1" s="1"/>
  <c r="G482" i="1" s="1"/>
  <c r="C482" i="1"/>
  <c r="H482" i="1"/>
  <c r="B483" i="1" s="1"/>
  <c r="H483" i="1" l="1"/>
  <c r="E483" i="1"/>
  <c r="C483" i="1"/>
  <c r="F483" i="1"/>
  <c r="D483" i="1" s="1"/>
  <c r="G483" i="1" s="1"/>
  <c r="B484" i="1" l="1"/>
  <c r="C484" i="1" l="1"/>
  <c r="H484" i="1"/>
  <c r="E484" i="1"/>
  <c r="F484" i="1"/>
  <c r="D484" i="1" s="1"/>
  <c r="G484" i="1" s="1"/>
  <c r="B485" i="1" l="1"/>
  <c r="H485" i="1" l="1"/>
  <c r="C485" i="1"/>
  <c r="F485" i="1"/>
  <c r="D485" i="1" s="1"/>
  <c r="G485" i="1" s="1"/>
  <c r="E485" i="1"/>
  <c r="B486" i="1" l="1"/>
  <c r="H486" i="1" l="1"/>
  <c r="C486" i="1"/>
  <c r="E486" i="1"/>
  <c r="F486" i="1"/>
  <c r="D486" i="1" s="1"/>
  <c r="G486" i="1" s="1"/>
  <c r="B487" i="1" l="1"/>
  <c r="E487" i="1" l="1"/>
  <c r="F487" i="1"/>
  <c r="D487" i="1" s="1"/>
  <c r="G487" i="1" s="1"/>
  <c r="H487" i="1"/>
  <c r="B488" i="1" s="1"/>
  <c r="C487" i="1"/>
  <c r="C488" i="1" l="1"/>
  <c r="F488" i="1"/>
  <c r="D488" i="1" s="1"/>
  <c r="G488" i="1" s="1"/>
  <c r="H488" i="1"/>
  <c r="B489" i="1" s="1"/>
  <c r="E488" i="1"/>
  <c r="H489" i="1" l="1"/>
  <c r="E489" i="1"/>
  <c r="F489" i="1"/>
  <c r="D489" i="1" s="1"/>
  <c r="G489" i="1" s="1"/>
  <c r="C489" i="1"/>
  <c r="B490" i="1" l="1"/>
  <c r="F490" i="1" l="1"/>
  <c r="D490" i="1" s="1"/>
  <c r="G490" i="1" s="1"/>
  <c r="H490" i="1"/>
  <c r="E490" i="1"/>
  <c r="C490" i="1"/>
  <c r="B491" i="1" l="1"/>
  <c r="F491" i="1" s="1"/>
  <c r="D491" i="1" s="1"/>
  <c r="G491" i="1" s="1"/>
  <c r="H491" i="1" l="1"/>
  <c r="B492" i="1" s="1"/>
  <c r="C492" i="1" s="1"/>
  <c r="C491" i="1"/>
  <c r="E491" i="1"/>
  <c r="H492" i="1" l="1"/>
  <c r="F492" i="1"/>
  <c r="D492" i="1" s="1"/>
  <c r="G492" i="1" s="1"/>
  <c r="E492" i="1"/>
  <c r="B493" i="1"/>
  <c r="H493" i="1" s="1"/>
  <c r="F493" i="1"/>
  <c r="D493" i="1" s="1"/>
  <c r="G493" i="1" s="1"/>
  <c r="E493" i="1"/>
  <c r="C493" i="1" l="1"/>
  <c r="B494" i="1"/>
  <c r="H494" i="1" s="1"/>
  <c r="C494" i="1"/>
  <c r="F494" i="1"/>
  <c r="D494" i="1" s="1"/>
  <c r="G494" i="1" s="1"/>
  <c r="E494" i="1"/>
  <c r="B495" i="1" l="1"/>
  <c r="F495" i="1" l="1"/>
  <c r="D495" i="1" s="1"/>
  <c r="G495" i="1" s="1"/>
  <c r="E495" i="1"/>
  <c r="C495" i="1"/>
  <c r="H495" i="1"/>
  <c r="B496" i="1" l="1"/>
  <c r="E496" i="1"/>
  <c r="F496" i="1"/>
  <c r="D496" i="1" s="1"/>
  <c r="G496" i="1" s="1"/>
  <c r="C496" i="1"/>
  <c r="H496" i="1"/>
  <c r="B497" i="1" l="1"/>
  <c r="E497" i="1" l="1"/>
  <c r="C497" i="1"/>
  <c r="H497" i="1"/>
  <c r="F497" i="1"/>
  <c r="D497" i="1" s="1"/>
  <c r="G497" i="1" s="1"/>
  <c r="B498" i="1" l="1"/>
  <c r="C498" i="1" l="1"/>
  <c r="E498" i="1"/>
  <c r="H498" i="1"/>
  <c r="F498" i="1"/>
  <c r="D498" i="1" s="1"/>
  <c r="G498" i="1" s="1"/>
  <c r="B499" i="1" l="1"/>
  <c r="F499" i="1" l="1"/>
  <c r="D499" i="1" s="1"/>
  <c r="G499" i="1" s="1"/>
  <c r="H499" i="1"/>
  <c r="E499" i="1"/>
  <c r="C499" i="1"/>
  <c r="B500" i="1" l="1"/>
  <c r="E500" i="1"/>
  <c r="C500" i="1"/>
  <c r="F500" i="1"/>
  <c r="D500" i="1" s="1"/>
  <c r="G500" i="1" s="1"/>
  <c r="H500" i="1"/>
  <c r="B501" i="1" s="1"/>
  <c r="C501" i="1" l="1"/>
  <c r="E501" i="1"/>
  <c r="H501" i="1"/>
  <c r="F501" i="1"/>
  <c r="D501" i="1" s="1"/>
  <c r="G501" i="1" s="1"/>
  <c r="B502" i="1" l="1"/>
  <c r="H502" i="1" l="1"/>
  <c r="F502" i="1"/>
  <c r="D502" i="1" s="1"/>
  <c r="G502" i="1" s="1"/>
  <c r="C502" i="1"/>
  <c r="E502" i="1"/>
  <c r="B503" i="1" l="1"/>
  <c r="E503" i="1" l="1"/>
  <c r="C503" i="1"/>
  <c r="H503" i="1"/>
  <c r="F503" i="1"/>
  <c r="D503" i="1" s="1"/>
  <c r="G503" i="1" s="1"/>
  <c r="B504" i="1" l="1"/>
  <c r="C504" i="1" l="1"/>
  <c r="F504" i="1"/>
  <c r="D504" i="1" s="1"/>
  <c r="G504" i="1" s="1"/>
  <c r="H504" i="1"/>
  <c r="E504" i="1"/>
  <c r="B505" i="1" l="1"/>
  <c r="F505" i="1"/>
  <c r="D505" i="1" s="1"/>
  <c r="G505" i="1" s="1"/>
  <c r="C505" i="1"/>
  <c r="H505" i="1"/>
  <c r="B506" i="1" s="1"/>
  <c r="E505" i="1"/>
  <c r="E506" i="1" l="1"/>
  <c r="F506" i="1"/>
  <c r="D506" i="1" s="1"/>
  <c r="G506" i="1" s="1"/>
  <c r="H506" i="1"/>
  <c r="B507" i="1" s="1"/>
  <c r="C506" i="1"/>
  <c r="F507" i="1" l="1"/>
  <c r="D507" i="1" s="1"/>
  <c r="G507" i="1" s="1"/>
  <c r="H507" i="1"/>
  <c r="B508" i="1" s="1"/>
  <c r="E507" i="1"/>
  <c r="C507" i="1"/>
  <c r="H508" i="1" l="1"/>
  <c r="F508" i="1"/>
  <c r="D508" i="1" s="1"/>
  <c r="G508" i="1" s="1"/>
  <c r="E508" i="1"/>
  <c r="C508" i="1"/>
  <c r="B509" i="1" l="1"/>
  <c r="F509" i="1" l="1"/>
  <c r="D509" i="1" s="1"/>
  <c r="G509" i="1" s="1"/>
  <c r="H509" i="1"/>
  <c r="C509" i="1"/>
  <c r="E509" i="1"/>
  <c r="B510" i="1" l="1"/>
  <c r="C510" i="1"/>
  <c r="H510" i="1"/>
  <c r="E510" i="1"/>
  <c r="F510" i="1"/>
  <c r="D510" i="1" s="1"/>
  <c r="G510" i="1" s="1"/>
  <c r="B511" i="1" l="1"/>
  <c r="E511" i="1" l="1"/>
  <c r="H511" i="1"/>
  <c r="C511" i="1"/>
  <c r="F511" i="1"/>
  <c r="D511" i="1" s="1"/>
  <c r="G511" i="1" s="1"/>
  <c r="B512" i="1" l="1"/>
  <c r="E512" i="1" s="1"/>
  <c r="H512" i="1"/>
  <c r="C512" i="1"/>
  <c r="F512" i="1" l="1"/>
  <c r="D512" i="1" s="1"/>
  <c r="G512" i="1" s="1"/>
  <c r="B513" i="1" l="1"/>
  <c r="E513" i="1" l="1"/>
  <c r="F513" i="1"/>
  <c r="D513" i="1" s="1"/>
  <c r="G513" i="1" s="1"/>
  <c r="C513" i="1"/>
  <c r="H513" i="1"/>
  <c r="B514" i="1" l="1"/>
  <c r="E514" i="1" s="1"/>
  <c r="F514" i="1"/>
  <c r="D514" i="1" s="1"/>
  <c r="G514" i="1" s="1"/>
  <c r="C514" i="1"/>
  <c r="H514" i="1" l="1"/>
  <c r="B515" i="1" s="1"/>
  <c r="H515" i="1"/>
  <c r="E515" i="1"/>
  <c r="C515" i="1"/>
  <c r="F515" i="1"/>
  <c r="D515" i="1" s="1"/>
  <c r="G515" i="1" s="1"/>
  <c r="B516" i="1" l="1"/>
  <c r="F516" i="1" l="1"/>
  <c r="D516" i="1" s="1"/>
  <c r="G516" i="1" s="1"/>
  <c r="H516" i="1"/>
  <c r="E516" i="1"/>
  <c r="C516" i="1"/>
  <c r="B517" i="1" l="1"/>
  <c r="H517" i="1" l="1"/>
  <c r="C517" i="1"/>
  <c r="E517" i="1"/>
  <c r="F517" i="1"/>
  <c r="D517" i="1" s="1"/>
  <c r="G517" i="1" s="1"/>
  <c r="B518" i="1" l="1"/>
  <c r="E518" i="1" l="1"/>
  <c r="H518" i="1"/>
  <c r="C518" i="1"/>
  <c r="F518" i="1"/>
  <c r="D518" i="1" s="1"/>
  <c r="G518" i="1" s="1"/>
  <c r="B519" i="1" l="1"/>
  <c r="H519" i="1" l="1"/>
  <c r="F519" i="1"/>
  <c r="D519" i="1" s="1"/>
  <c r="G519" i="1" s="1"/>
  <c r="E519" i="1"/>
  <c r="C519" i="1"/>
  <c r="B520" i="1" l="1"/>
  <c r="H520" i="1" l="1"/>
  <c r="C520" i="1"/>
  <c r="E520" i="1"/>
  <c r="F520" i="1"/>
  <c r="D520" i="1" s="1"/>
  <c r="G520" i="1" s="1"/>
  <c r="B521" i="1" l="1"/>
  <c r="F521" i="1" l="1"/>
  <c r="D521" i="1" s="1"/>
  <c r="G521" i="1" s="1"/>
  <c r="C521" i="1"/>
  <c r="E521" i="1"/>
  <c r="H521" i="1"/>
  <c r="B522" i="1" s="1"/>
  <c r="E522" i="1" l="1"/>
  <c r="C522" i="1"/>
  <c r="F522" i="1"/>
  <c r="D522" i="1" s="1"/>
  <c r="G522" i="1" s="1"/>
  <c r="H522" i="1"/>
  <c r="B523" i="1" s="1"/>
  <c r="E523" i="1" l="1"/>
  <c r="C523" i="1"/>
  <c r="F523" i="1"/>
  <c r="D523" i="1" s="1"/>
  <c r="G523" i="1" s="1"/>
  <c r="H523" i="1"/>
  <c r="B524" i="1" s="1"/>
  <c r="E524" i="1" l="1"/>
  <c r="H524" i="1"/>
  <c r="F524" i="1"/>
  <c r="D524" i="1" s="1"/>
  <c r="G524" i="1" s="1"/>
  <c r="C524" i="1"/>
  <c r="B525" i="1" l="1"/>
  <c r="C525" i="1" l="1"/>
  <c r="H525" i="1"/>
  <c r="E525" i="1"/>
  <c r="F525" i="1"/>
  <c r="D525" i="1" s="1"/>
  <c r="G525" i="1" s="1"/>
  <c r="B526" i="1" l="1"/>
  <c r="F526" i="1" l="1"/>
  <c r="D526" i="1" s="1"/>
  <c r="G526" i="1" s="1"/>
  <c r="H526" i="1"/>
  <c r="B527" i="1" s="1"/>
  <c r="E526" i="1"/>
  <c r="C526" i="1"/>
  <c r="F527" i="1" l="1"/>
  <c r="D527" i="1" s="1"/>
  <c r="G527" i="1" s="1"/>
  <c r="C527" i="1"/>
  <c r="E527" i="1"/>
  <c r="H527" i="1"/>
  <c r="B528" i="1" s="1"/>
  <c r="C528" i="1" l="1"/>
  <c r="F528" i="1"/>
  <c r="D528" i="1" s="1"/>
  <c r="G528" i="1" s="1"/>
  <c r="E528" i="1"/>
  <c r="H528" i="1"/>
  <c r="B529" i="1" s="1"/>
  <c r="H529" i="1" l="1"/>
  <c r="C529" i="1"/>
  <c r="F529" i="1"/>
  <c r="D529" i="1" s="1"/>
  <c r="G529" i="1" s="1"/>
  <c r="E529" i="1"/>
  <c r="B530" i="1" l="1"/>
  <c r="E530" i="1" l="1"/>
  <c r="C530" i="1"/>
  <c r="F530" i="1"/>
  <c r="D530" i="1" s="1"/>
  <c r="G530" i="1" s="1"/>
  <c r="H530" i="1"/>
  <c r="B531" i="1" s="1"/>
  <c r="F531" i="1"/>
  <c r="D531" i="1" s="1"/>
  <c r="G531" i="1" s="1"/>
  <c r="C531" i="1"/>
  <c r="H531" i="1" l="1"/>
  <c r="E531" i="1"/>
  <c r="B532" i="1"/>
  <c r="E532" i="1" s="1"/>
  <c r="C532" i="1" l="1"/>
  <c r="F532" i="1"/>
  <c r="D532" i="1" s="1"/>
  <c r="G532" i="1" s="1"/>
  <c r="H532" i="1"/>
  <c r="B533" i="1" l="1"/>
  <c r="C533" i="1" s="1"/>
  <c r="H533" i="1" l="1"/>
  <c r="F533" i="1"/>
  <c r="D533" i="1" s="1"/>
  <c r="G533" i="1" s="1"/>
  <c r="E533" i="1"/>
  <c r="B534" i="1"/>
  <c r="E534" i="1" s="1"/>
  <c r="H534" i="1"/>
  <c r="F534" i="1"/>
  <c r="D534" i="1" s="1"/>
  <c r="G534" i="1" s="1"/>
  <c r="C534" i="1"/>
  <c r="B535" i="1" l="1"/>
  <c r="H535" i="1" l="1"/>
  <c r="E535" i="1"/>
  <c r="F535" i="1"/>
  <c r="D535" i="1" s="1"/>
  <c r="G535" i="1" s="1"/>
  <c r="C535" i="1"/>
  <c r="B536" i="1" l="1"/>
  <c r="H536" i="1" l="1"/>
  <c r="C536" i="1"/>
  <c r="E536" i="1"/>
  <c r="F536" i="1"/>
  <c r="D536" i="1" s="1"/>
  <c r="G536" i="1" s="1"/>
  <c r="B537" i="1" l="1"/>
  <c r="H537" i="1" l="1"/>
  <c r="F537" i="1"/>
  <c r="D537" i="1" s="1"/>
  <c r="G537" i="1" s="1"/>
  <c r="E537" i="1"/>
  <c r="C537" i="1"/>
  <c r="B538" i="1" l="1"/>
  <c r="F538" i="1" l="1"/>
  <c r="D538" i="1" s="1"/>
  <c r="G538" i="1" s="1"/>
  <c r="E538" i="1"/>
  <c r="H538" i="1"/>
  <c r="B539" i="1" s="1"/>
  <c r="C538" i="1"/>
  <c r="F539" i="1" l="1"/>
  <c r="D539" i="1" s="1"/>
  <c r="G539" i="1" s="1"/>
  <c r="H539" i="1"/>
  <c r="B540" i="1" s="1"/>
  <c r="C539" i="1"/>
  <c r="E539" i="1"/>
  <c r="C540" i="1" l="1"/>
  <c r="E540" i="1"/>
  <c r="H540" i="1"/>
  <c r="F540" i="1"/>
  <c r="D540" i="1" s="1"/>
  <c r="G540" i="1" s="1"/>
  <c r="B541" i="1" l="1"/>
  <c r="E541" i="1" l="1"/>
  <c r="H541" i="1"/>
  <c r="F541" i="1"/>
  <c r="D541" i="1" s="1"/>
  <c r="G541" i="1" s="1"/>
  <c r="C541" i="1"/>
  <c r="B542" i="1" l="1"/>
  <c r="E542" i="1" l="1"/>
  <c r="C542" i="1"/>
  <c r="H542" i="1"/>
  <c r="F542" i="1"/>
  <c r="D542" i="1" s="1"/>
  <c r="G542" i="1" s="1"/>
  <c r="B543" i="1" l="1"/>
  <c r="F543" i="1" l="1"/>
  <c r="D543" i="1" s="1"/>
  <c r="G543" i="1" s="1"/>
  <c r="H543" i="1"/>
  <c r="B544" i="1" s="1"/>
  <c r="E543" i="1"/>
  <c r="C543" i="1"/>
  <c r="F544" i="1" l="1"/>
  <c r="D544" i="1" s="1"/>
  <c r="G544" i="1" s="1"/>
  <c r="C544" i="1"/>
  <c r="H544" i="1"/>
  <c r="E544" i="1"/>
  <c r="B545" i="1" l="1"/>
  <c r="E545" i="1"/>
  <c r="F545" i="1"/>
  <c r="D545" i="1" s="1"/>
  <c r="G545" i="1" s="1"/>
  <c r="H545" i="1"/>
  <c r="B546" i="1" s="1"/>
  <c r="C545" i="1"/>
  <c r="E546" i="1" l="1"/>
  <c r="F546" i="1"/>
  <c r="D546" i="1" s="1"/>
  <c r="G546" i="1" s="1"/>
  <c r="C546" i="1"/>
  <c r="H546" i="1"/>
  <c r="B547" i="1" l="1"/>
  <c r="E547" i="1" l="1"/>
  <c r="C547" i="1"/>
  <c r="H547" i="1"/>
  <c r="F547" i="1"/>
  <c r="D547" i="1" s="1"/>
  <c r="G547" i="1" s="1"/>
  <c r="B548" i="1" l="1"/>
  <c r="F548" i="1" l="1"/>
  <c r="D548" i="1" s="1"/>
  <c r="G548" i="1" s="1"/>
  <c r="E548" i="1"/>
  <c r="H548" i="1"/>
  <c r="B549" i="1" s="1"/>
  <c r="C548" i="1"/>
  <c r="F549" i="1" l="1"/>
  <c r="D549" i="1" s="1"/>
  <c r="G549" i="1" s="1"/>
  <c r="E549" i="1"/>
  <c r="H549" i="1"/>
  <c r="B550" i="1" s="1"/>
  <c r="C549" i="1"/>
  <c r="F550" i="1" l="1"/>
  <c r="D550" i="1" s="1"/>
  <c r="G550" i="1" s="1"/>
  <c r="E550" i="1"/>
  <c r="C550" i="1"/>
  <c r="H550" i="1"/>
  <c r="B551" i="1" l="1"/>
  <c r="F551" i="1"/>
  <c r="D551" i="1" s="1"/>
  <c r="G551" i="1" s="1"/>
  <c r="E551" i="1"/>
  <c r="H551" i="1"/>
  <c r="B552" i="1" s="1"/>
  <c r="C551" i="1"/>
  <c r="C552" i="1" l="1"/>
  <c r="H552" i="1"/>
  <c r="F552" i="1"/>
  <c r="D552" i="1" s="1"/>
  <c r="G552" i="1" s="1"/>
  <c r="E552" i="1"/>
  <c r="B553" i="1" l="1"/>
  <c r="H553" i="1" l="1"/>
  <c r="E553" i="1"/>
  <c r="C553" i="1"/>
  <c r="F553" i="1"/>
  <c r="D553" i="1" s="1"/>
  <c r="G553" i="1" s="1"/>
  <c r="B554" i="1" l="1"/>
  <c r="H554" i="1" l="1"/>
  <c r="F554" i="1"/>
  <c r="D554" i="1" s="1"/>
  <c r="G554" i="1" s="1"/>
  <c r="E554" i="1"/>
  <c r="C554" i="1"/>
  <c r="B555" i="1" l="1"/>
  <c r="H555" i="1" l="1"/>
  <c r="E555" i="1"/>
  <c r="F555" i="1"/>
  <c r="D555" i="1" s="1"/>
  <c r="G555" i="1" s="1"/>
  <c r="C555" i="1"/>
  <c r="B556" i="1" l="1"/>
  <c r="E556" i="1" l="1"/>
  <c r="H556" i="1"/>
  <c r="F556" i="1"/>
  <c r="D556" i="1" s="1"/>
  <c r="G556" i="1" s="1"/>
  <c r="C556" i="1"/>
  <c r="B557" i="1" l="1"/>
  <c r="E557" i="1" l="1"/>
  <c r="C557" i="1"/>
  <c r="F557" i="1"/>
  <c r="D557" i="1" s="1"/>
  <c r="G557" i="1" s="1"/>
  <c r="H557" i="1"/>
  <c r="B558" i="1" l="1"/>
  <c r="C558" i="1"/>
  <c r="H558" i="1"/>
  <c r="E558" i="1"/>
  <c r="F558" i="1"/>
  <c r="D558" i="1" s="1"/>
  <c r="G558" i="1" s="1"/>
  <c r="B559" i="1" l="1"/>
  <c r="C559" i="1" l="1"/>
  <c r="H559" i="1"/>
  <c r="E559" i="1"/>
  <c r="F559" i="1"/>
  <c r="D559" i="1" s="1"/>
  <c r="G559" i="1" s="1"/>
  <c r="B560" i="1" l="1"/>
  <c r="F560" i="1" l="1"/>
  <c r="D560" i="1" s="1"/>
  <c r="G560" i="1" s="1"/>
  <c r="C560" i="1"/>
  <c r="E560" i="1"/>
  <c r="H560" i="1"/>
  <c r="B561" i="1" l="1"/>
  <c r="F561" i="1"/>
  <c r="D561" i="1" s="1"/>
  <c r="G561" i="1" s="1"/>
  <c r="E561" i="1"/>
  <c r="C561" i="1"/>
  <c r="H561" i="1"/>
  <c r="B562" i="1" s="1"/>
  <c r="C562" i="1" l="1"/>
  <c r="E562" i="1"/>
  <c r="F562" i="1"/>
  <c r="D562" i="1" s="1"/>
  <c r="G562" i="1" s="1"/>
  <c r="H562" i="1"/>
  <c r="B563" i="1" s="1"/>
  <c r="C563" i="1" l="1"/>
  <c r="H563" i="1"/>
  <c r="E563" i="1"/>
  <c r="F563" i="1"/>
  <c r="D563" i="1" s="1"/>
  <c r="G563" i="1" s="1"/>
  <c r="B564" i="1" l="1"/>
  <c r="E564" i="1" l="1"/>
  <c r="C564" i="1"/>
  <c r="F564" i="1"/>
  <c r="D564" i="1" s="1"/>
  <c r="G564" i="1" s="1"/>
  <c r="H564" i="1"/>
  <c r="B565" i="1" l="1"/>
  <c r="F565" i="1" s="1"/>
  <c r="D565" i="1" s="1"/>
  <c r="G565" i="1" s="1"/>
  <c r="C565" i="1" l="1"/>
  <c r="E565" i="1"/>
  <c r="H565" i="1"/>
  <c r="B566" i="1" s="1"/>
  <c r="C566" i="1" l="1"/>
  <c r="H566" i="1"/>
  <c r="E566" i="1"/>
  <c r="F566" i="1"/>
  <c r="D566" i="1" s="1"/>
  <c r="G566" i="1" s="1"/>
  <c r="B567" i="1" l="1"/>
  <c r="C567" i="1" l="1"/>
  <c r="H567" i="1"/>
  <c r="F567" i="1"/>
  <c r="D567" i="1" s="1"/>
  <c r="G567" i="1" s="1"/>
  <c r="E567" i="1"/>
  <c r="B568" i="1" l="1"/>
  <c r="H568" i="1" l="1"/>
  <c r="E568" i="1"/>
  <c r="C568" i="1"/>
  <c r="F568" i="1"/>
  <c r="D568" i="1" s="1"/>
  <c r="G568" i="1" s="1"/>
  <c r="B569" i="1" l="1"/>
  <c r="C569" i="1" l="1"/>
  <c r="F569" i="1"/>
  <c r="D569" i="1" s="1"/>
  <c r="G569" i="1" s="1"/>
  <c r="H569" i="1"/>
  <c r="E569" i="1"/>
  <c r="B570" i="1" l="1"/>
  <c r="H570" i="1"/>
  <c r="E570" i="1"/>
  <c r="C570" i="1"/>
  <c r="F570" i="1"/>
  <c r="D570" i="1" s="1"/>
  <c r="G570" i="1" s="1"/>
  <c r="B571" i="1" l="1"/>
  <c r="H571" i="1" l="1"/>
  <c r="F571" i="1"/>
  <c r="D571" i="1" s="1"/>
  <c r="G571" i="1" s="1"/>
  <c r="E571" i="1"/>
  <c r="C571" i="1"/>
  <c r="B572" i="1" l="1"/>
  <c r="E572" i="1" l="1"/>
  <c r="F572" i="1"/>
  <c r="D572" i="1" s="1"/>
  <c r="G572" i="1" s="1"/>
  <c r="H572" i="1"/>
  <c r="C572" i="1"/>
  <c r="B573" i="1" l="1"/>
  <c r="C573" i="1"/>
  <c r="F573" i="1"/>
  <c r="D573" i="1" s="1"/>
  <c r="G573" i="1" s="1"/>
  <c r="H573" i="1"/>
  <c r="B574" i="1" s="1"/>
  <c r="E573" i="1"/>
  <c r="H574" i="1" l="1"/>
  <c r="E574" i="1"/>
  <c r="F574" i="1"/>
  <c r="D574" i="1" s="1"/>
  <c r="G574" i="1" s="1"/>
  <c r="C574" i="1"/>
  <c r="B575" i="1" l="1"/>
  <c r="F575" i="1" l="1"/>
  <c r="D575" i="1" s="1"/>
  <c r="G575" i="1" s="1"/>
  <c r="E575" i="1"/>
  <c r="C575" i="1"/>
  <c r="H575" i="1"/>
  <c r="B576" i="1" s="1"/>
  <c r="H576" i="1" l="1"/>
  <c r="C576" i="1"/>
  <c r="F576" i="1"/>
  <c r="D576" i="1" s="1"/>
  <c r="G576" i="1" s="1"/>
  <c r="E576" i="1"/>
  <c r="B577" i="1" l="1"/>
  <c r="E577" i="1" l="1"/>
  <c r="C577" i="1"/>
  <c r="F577" i="1"/>
  <c r="D577" i="1" s="1"/>
  <c r="G577" i="1" s="1"/>
  <c r="H577" i="1"/>
  <c r="B578" i="1" l="1"/>
  <c r="C578" i="1" l="1"/>
  <c r="E578" i="1"/>
  <c r="F578" i="1"/>
  <c r="D578" i="1" s="1"/>
  <c r="G578" i="1" s="1"/>
  <c r="H578" i="1"/>
  <c r="B579" i="1" s="1"/>
  <c r="C579" i="1" l="1"/>
  <c r="E579" i="1"/>
  <c r="F579" i="1"/>
  <c r="D579" i="1" s="1"/>
  <c r="G579" i="1" s="1"/>
  <c r="H579" i="1"/>
  <c r="B580" i="1" s="1"/>
  <c r="H580" i="1" l="1"/>
  <c r="F580" i="1"/>
  <c r="D580" i="1" s="1"/>
  <c r="G580" i="1" s="1"/>
  <c r="C580" i="1"/>
  <c r="E580" i="1"/>
  <c r="B581" i="1" l="1"/>
  <c r="H581" i="1" l="1"/>
  <c r="E581" i="1"/>
  <c r="C581" i="1"/>
  <c r="F581" i="1"/>
  <c r="D581" i="1" s="1"/>
  <c r="G581" i="1" s="1"/>
  <c r="B582" i="1" l="1"/>
  <c r="E582" i="1" l="1"/>
  <c r="F582" i="1"/>
  <c r="D582" i="1" s="1"/>
  <c r="G582" i="1" s="1"/>
  <c r="C582" i="1"/>
  <c r="H582" i="1"/>
  <c r="B583" i="1" l="1"/>
  <c r="F583" i="1"/>
  <c r="D583" i="1" s="1"/>
  <c r="G583" i="1" s="1"/>
  <c r="H583" i="1"/>
  <c r="C583" i="1"/>
  <c r="E583" i="1"/>
  <c r="B584" i="1" l="1"/>
  <c r="H584" i="1"/>
  <c r="E584" i="1"/>
  <c r="C584" i="1"/>
  <c r="F584" i="1"/>
  <c r="D584" i="1" s="1"/>
  <c r="G584" i="1" s="1"/>
  <c r="B585" i="1" l="1"/>
  <c r="C585" i="1" l="1"/>
  <c r="E585" i="1"/>
  <c r="H585" i="1"/>
  <c r="F585" i="1"/>
  <c r="D585" i="1" s="1"/>
  <c r="G585" i="1" s="1"/>
  <c r="B586" i="1" l="1"/>
  <c r="E586" i="1" l="1"/>
  <c r="F586" i="1"/>
  <c r="D586" i="1" s="1"/>
  <c r="G586" i="1" s="1"/>
  <c r="C586" i="1"/>
  <c r="H586" i="1"/>
  <c r="B587" i="1" s="1"/>
  <c r="H587" i="1" l="1"/>
  <c r="C587" i="1"/>
  <c r="E587" i="1"/>
  <c r="F587" i="1"/>
  <c r="D587" i="1" s="1"/>
  <c r="G587" i="1" s="1"/>
  <c r="B588" i="1" l="1"/>
  <c r="C588" i="1" l="1"/>
  <c r="F588" i="1"/>
  <c r="D588" i="1" s="1"/>
  <c r="G588" i="1" s="1"/>
  <c r="H588" i="1"/>
  <c r="B589" i="1" s="1"/>
  <c r="E588" i="1"/>
  <c r="H589" i="1" l="1"/>
  <c r="E589" i="1"/>
  <c r="C589" i="1"/>
  <c r="F589" i="1"/>
  <c r="D589" i="1" s="1"/>
  <c r="G589" i="1" s="1"/>
  <c r="B590" i="1" l="1"/>
  <c r="H590" i="1" l="1"/>
  <c r="C590" i="1"/>
  <c r="F590" i="1"/>
  <c r="D590" i="1" s="1"/>
  <c r="G590" i="1" s="1"/>
  <c r="E590" i="1"/>
  <c r="B591" i="1" l="1"/>
  <c r="E591" i="1" l="1"/>
  <c r="C591" i="1"/>
  <c r="H591" i="1"/>
  <c r="F591" i="1"/>
  <c r="D591" i="1" s="1"/>
  <c r="G591" i="1" s="1"/>
  <c r="B592" i="1" l="1"/>
  <c r="E592" i="1" l="1"/>
  <c r="C592" i="1"/>
  <c r="H592" i="1"/>
  <c r="F592" i="1"/>
  <c r="D592" i="1" s="1"/>
  <c r="G592" i="1" s="1"/>
  <c r="B593" i="1" l="1"/>
  <c r="H593" i="1" l="1"/>
  <c r="E593" i="1"/>
  <c r="F593" i="1"/>
  <c r="D593" i="1" s="1"/>
  <c r="G593" i="1" s="1"/>
  <c r="C593" i="1"/>
  <c r="B594" i="1" l="1"/>
  <c r="E594" i="1" l="1"/>
  <c r="C594" i="1"/>
  <c r="H594" i="1"/>
  <c r="F594" i="1"/>
  <c r="D594" i="1" s="1"/>
  <c r="G594" i="1" s="1"/>
  <c r="B595" i="1" l="1"/>
  <c r="C595" i="1" l="1"/>
  <c r="H595" i="1"/>
  <c r="F595" i="1"/>
  <c r="D595" i="1" s="1"/>
  <c r="G595" i="1" s="1"/>
  <c r="E595" i="1"/>
  <c r="B596" i="1" l="1"/>
  <c r="C596" i="1" l="1"/>
  <c r="H596" i="1"/>
  <c r="F596" i="1"/>
  <c r="D596" i="1" s="1"/>
  <c r="G596" i="1" s="1"/>
  <c r="E596" i="1"/>
  <c r="B597" i="1" l="1"/>
  <c r="E597" i="1" l="1"/>
  <c r="H597" i="1"/>
  <c r="C597" i="1"/>
  <c r="F597" i="1"/>
  <c r="D597" i="1" s="1"/>
  <c r="G597" i="1" s="1"/>
  <c r="B598" i="1" l="1"/>
  <c r="F598" i="1" l="1"/>
  <c r="D598" i="1" s="1"/>
  <c r="G598" i="1" s="1"/>
  <c r="H598" i="1"/>
  <c r="C598" i="1"/>
  <c r="E598" i="1"/>
  <c r="B599" i="1" l="1"/>
  <c r="H599" i="1" l="1"/>
  <c r="F599" i="1"/>
  <c r="D599" i="1" s="1"/>
  <c r="G599" i="1" s="1"/>
  <c r="E599" i="1"/>
  <c r="C599" i="1"/>
  <c r="B600" i="1" l="1"/>
  <c r="C600" i="1" l="1"/>
  <c r="E600" i="1"/>
  <c r="F600" i="1"/>
  <c r="D600" i="1" s="1"/>
  <c r="G600" i="1" s="1"/>
  <c r="H600" i="1"/>
  <c r="B601" i="1" s="1"/>
  <c r="H601" i="1" l="1"/>
  <c r="E601" i="1"/>
  <c r="F601" i="1"/>
  <c r="D601" i="1" s="1"/>
  <c r="G601" i="1" s="1"/>
  <c r="C601" i="1"/>
  <c r="B602" i="1" l="1"/>
  <c r="H602" i="1" l="1"/>
  <c r="C602" i="1"/>
  <c r="F602" i="1"/>
  <c r="D602" i="1" s="1"/>
  <c r="G602" i="1" s="1"/>
  <c r="E602" i="1"/>
  <c r="B603" i="1" l="1"/>
  <c r="E603" i="1" l="1"/>
  <c r="H603" i="1"/>
  <c r="F603" i="1"/>
  <c r="D603" i="1" s="1"/>
  <c r="G603" i="1" s="1"/>
  <c r="C603" i="1"/>
  <c r="B604" i="1" l="1"/>
  <c r="H604" i="1" l="1"/>
  <c r="C604" i="1"/>
  <c r="E604" i="1"/>
  <c r="F604" i="1"/>
  <c r="D604" i="1" s="1"/>
  <c r="G604" i="1" s="1"/>
  <c r="B605" i="1" l="1"/>
  <c r="F605" i="1" l="1"/>
  <c r="D605" i="1" s="1"/>
  <c r="G605" i="1" s="1"/>
  <c r="H605" i="1"/>
  <c r="C605" i="1"/>
  <c r="E605" i="1"/>
  <c r="B606" i="1" l="1"/>
  <c r="C606" i="1"/>
  <c r="H606" i="1"/>
  <c r="F606" i="1"/>
  <c r="D606" i="1" s="1"/>
  <c r="G606" i="1" s="1"/>
  <c r="E606" i="1"/>
  <c r="B607" i="1" l="1"/>
  <c r="H607" i="1" l="1"/>
  <c r="E607" i="1"/>
  <c r="C607" i="1"/>
  <c r="F607" i="1"/>
  <c r="D607" i="1" s="1"/>
  <c r="G607" i="1" s="1"/>
  <c r="B608" i="1" l="1"/>
  <c r="F608" i="1" l="1"/>
  <c r="D608" i="1" s="1"/>
  <c r="G608" i="1" s="1"/>
  <c r="H608" i="1"/>
  <c r="C608" i="1"/>
  <c r="E608" i="1"/>
  <c r="B609" i="1" l="1"/>
  <c r="E609" i="1"/>
  <c r="F609" i="1"/>
  <c r="D609" i="1" s="1"/>
  <c r="G609" i="1" s="1"/>
  <c r="H609" i="1"/>
  <c r="B610" i="1" s="1"/>
  <c r="C609" i="1"/>
  <c r="C610" i="1" l="1"/>
  <c r="H610" i="1"/>
  <c r="E610" i="1"/>
  <c r="F610" i="1"/>
  <c r="D610" i="1" s="1"/>
  <c r="G610" i="1" s="1"/>
  <c r="B611" i="1" l="1"/>
  <c r="C611" i="1" l="1"/>
  <c r="H611" i="1"/>
  <c r="F611" i="1"/>
  <c r="D611" i="1" s="1"/>
  <c r="G611" i="1" s="1"/>
  <c r="E611" i="1"/>
  <c r="B612" i="1" l="1"/>
  <c r="H612" i="1" l="1"/>
  <c r="E612" i="1"/>
  <c r="C612" i="1"/>
  <c r="F612" i="1"/>
  <c r="D612" i="1" s="1"/>
  <c r="G612" i="1" s="1"/>
  <c r="B613" i="1" l="1"/>
  <c r="F613" i="1" l="1"/>
  <c r="D613" i="1" s="1"/>
  <c r="G613" i="1" s="1"/>
  <c r="C613" i="1"/>
  <c r="H613" i="1"/>
  <c r="E613" i="1"/>
  <c r="B614" i="1" l="1"/>
  <c r="F614" i="1" l="1"/>
  <c r="D614" i="1" s="1"/>
  <c r="G614" i="1" s="1"/>
  <c r="C614" i="1"/>
  <c r="H614" i="1"/>
  <c r="B615" i="1" s="1"/>
  <c r="E614" i="1"/>
  <c r="F615" i="1" l="1"/>
  <c r="D615" i="1" s="1"/>
  <c r="G615" i="1" s="1"/>
  <c r="H615" i="1"/>
  <c r="B616" i="1" s="1"/>
  <c r="E615" i="1"/>
  <c r="C615" i="1"/>
  <c r="E616" i="1" l="1"/>
  <c r="F616" i="1"/>
  <c r="D616" i="1" s="1"/>
  <c r="G616" i="1" s="1"/>
  <c r="H616" i="1"/>
  <c r="B617" i="1" s="1"/>
  <c r="C616" i="1"/>
  <c r="F617" i="1" l="1"/>
  <c r="D617" i="1" s="1"/>
  <c r="G617" i="1" s="1"/>
  <c r="H617" i="1"/>
  <c r="E617" i="1"/>
  <c r="C617" i="1"/>
  <c r="B618" i="1" l="1"/>
  <c r="F618" i="1" l="1"/>
  <c r="D618" i="1" s="1"/>
  <c r="G618" i="1" s="1"/>
  <c r="H618" i="1"/>
  <c r="C618" i="1"/>
  <c r="E618" i="1"/>
  <c r="B619" i="1" l="1"/>
  <c r="E619" i="1" s="1"/>
  <c r="F619" i="1"/>
  <c r="D619" i="1" s="1"/>
  <c r="G619" i="1" s="1"/>
  <c r="H619" i="1"/>
  <c r="C619" i="1"/>
  <c r="B620" i="1" l="1"/>
  <c r="E620" i="1" s="1"/>
  <c r="H620" i="1"/>
  <c r="C620" i="1"/>
  <c r="F620" i="1"/>
  <c r="D620" i="1" s="1"/>
  <c r="G620" i="1" s="1"/>
  <c r="B621" i="1" l="1"/>
  <c r="F621" i="1" l="1"/>
  <c r="D621" i="1" s="1"/>
  <c r="G621" i="1" s="1"/>
  <c r="C621" i="1"/>
  <c r="E621" i="1"/>
  <c r="H621" i="1"/>
  <c r="B622" i="1" s="1"/>
  <c r="F622" i="1" l="1"/>
  <c r="D622" i="1" s="1"/>
  <c r="G622" i="1" s="1"/>
  <c r="E622" i="1"/>
  <c r="C622" i="1"/>
  <c r="H622" i="1"/>
  <c r="B623" i="1" s="1"/>
  <c r="C623" i="1" l="1"/>
  <c r="H623" i="1"/>
  <c r="E623" i="1"/>
  <c r="F623" i="1"/>
  <c r="D623" i="1" s="1"/>
  <c r="G623" i="1" s="1"/>
  <c r="B624" i="1" l="1"/>
  <c r="H624" i="1" s="1"/>
  <c r="F624" i="1"/>
  <c r="D624" i="1" s="1"/>
  <c r="G624" i="1" s="1"/>
  <c r="E624" i="1"/>
  <c r="C624" i="1" l="1"/>
  <c r="B625" i="1"/>
  <c r="F625" i="1" s="1"/>
  <c r="D625" i="1" s="1"/>
  <c r="G625" i="1" s="1"/>
  <c r="H625" i="1"/>
  <c r="E625" i="1" l="1"/>
  <c r="C625" i="1"/>
  <c r="B626" i="1"/>
  <c r="F626" i="1" l="1"/>
  <c r="D626" i="1" s="1"/>
  <c r="G626" i="1" s="1"/>
  <c r="C626" i="1"/>
  <c r="E626" i="1"/>
  <c r="H626" i="1"/>
  <c r="B627" i="1" s="1"/>
  <c r="F627" i="1" l="1"/>
  <c r="D627" i="1" s="1"/>
  <c r="G627" i="1" s="1"/>
  <c r="H627" i="1"/>
  <c r="B628" i="1" s="1"/>
  <c r="E627" i="1"/>
  <c r="C627" i="1"/>
  <c r="E628" i="1" l="1"/>
  <c r="C628" i="1"/>
  <c r="F628" i="1"/>
  <c r="D628" i="1" s="1"/>
  <c r="G628" i="1" s="1"/>
  <c r="H628" i="1"/>
  <c r="B629" i="1" l="1"/>
  <c r="C629" i="1"/>
  <c r="F629" i="1"/>
  <c r="D629" i="1" s="1"/>
  <c r="G629" i="1" s="1"/>
  <c r="H629" i="1"/>
  <c r="B630" i="1" s="1"/>
  <c r="E629" i="1"/>
  <c r="C630" i="1" l="1"/>
  <c r="H630" i="1"/>
  <c r="F630" i="1"/>
  <c r="D630" i="1" s="1"/>
  <c r="G630" i="1" s="1"/>
  <c r="E630" i="1"/>
  <c r="B631" i="1" l="1"/>
  <c r="H631" i="1" l="1"/>
  <c r="C631" i="1"/>
  <c r="E631" i="1"/>
  <c r="F631" i="1"/>
  <c r="D631" i="1" s="1"/>
  <c r="G631" i="1" s="1"/>
  <c r="B632" i="1" l="1"/>
  <c r="H632" i="1" l="1"/>
  <c r="E632" i="1"/>
  <c r="C632" i="1"/>
  <c r="F632" i="1"/>
  <c r="D632" i="1" s="1"/>
  <c r="G632" i="1" s="1"/>
  <c r="B633" i="1" l="1"/>
  <c r="E633" i="1" l="1"/>
  <c r="F633" i="1"/>
  <c r="D633" i="1" s="1"/>
  <c r="G633" i="1" s="1"/>
  <c r="H633" i="1"/>
  <c r="B634" i="1" s="1"/>
  <c r="C633" i="1"/>
  <c r="F634" i="1" l="1"/>
  <c r="D634" i="1" s="1"/>
  <c r="G634" i="1" s="1"/>
  <c r="H634" i="1"/>
  <c r="B635" i="1" s="1"/>
  <c r="E634" i="1"/>
  <c r="C634" i="1"/>
  <c r="C635" i="1" l="1"/>
  <c r="H635" i="1"/>
  <c r="F635" i="1"/>
  <c r="D635" i="1" s="1"/>
  <c r="G635" i="1" s="1"/>
  <c r="E635" i="1"/>
  <c r="B636" i="1" l="1"/>
  <c r="H636" i="1" l="1"/>
  <c r="E636" i="1"/>
  <c r="C636" i="1"/>
  <c r="F636" i="1"/>
  <c r="D636" i="1" s="1"/>
  <c r="G636" i="1" s="1"/>
  <c r="B637" i="1" l="1"/>
  <c r="H637" i="1" l="1"/>
  <c r="F637" i="1"/>
  <c r="D637" i="1" s="1"/>
  <c r="G637" i="1" s="1"/>
  <c r="C637" i="1"/>
  <c r="E637" i="1"/>
  <c r="B638" i="1" l="1"/>
  <c r="E638" i="1" l="1"/>
  <c r="F638" i="1"/>
  <c r="D638" i="1" s="1"/>
  <c r="G638" i="1" s="1"/>
  <c r="C638" i="1"/>
  <c r="H638" i="1"/>
  <c r="B639" i="1" l="1"/>
  <c r="E639" i="1" s="1"/>
  <c r="C639" i="1"/>
  <c r="F639" i="1"/>
  <c r="D639" i="1" s="1"/>
  <c r="G639" i="1" s="1"/>
  <c r="H639" i="1" l="1"/>
  <c r="B640" i="1"/>
  <c r="C640" i="1" l="1"/>
  <c r="E640" i="1"/>
  <c r="H640" i="1"/>
  <c r="F640" i="1"/>
  <c r="D640" i="1" s="1"/>
  <c r="G640" i="1" s="1"/>
  <c r="B641" i="1" l="1"/>
  <c r="C641" i="1" l="1"/>
  <c r="H641" i="1"/>
  <c r="F641" i="1"/>
  <c r="D641" i="1" s="1"/>
  <c r="G641" i="1" s="1"/>
  <c r="E641" i="1"/>
  <c r="B642" i="1" l="1"/>
  <c r="C642" i="1" l="1"/>
  <c r="E642" i="1"/>
  <c r="H642" i="1"/>
  <c r="F642" i="1"/>
  <c r="D642" i="1" s="1"/>
  <c r="G642" i="1" s="1"/>
  <c r="B643" i="1" l="1"/>
  <c r="E643" i="1" l="1"/>
  <c r="F643" i="1"/>
  <c r="D643" i="1" s="1"/>
  <c r="G643" i="1" s="1"/>
  <c r="C643" i="1"/>
  <c r="H643" i="1"/>
  <c r="B644" i="1" l="1"/>
  <c r="C644" i="1" s="1"/>
  <c r="F644" i="1"/>
  <c r="D644" i="1" s="1"/>
  <c r="G644" i="1" s="1"/>
  <c r="E644" i="1"/>
  <c r="H644" i="1" l="1"/>
  <c r="B645" i="1" s="1"/>
  <c r="E645" i="1" l="1"/>
  <c r="F645" i="1"/>
  <c r="D645" i="1" s="1"/>
  <c r="G645" i="1" s="1"/>
  <c r="H645" i="1"/>
  <c r="B646" i="1" s="1"/>
  <c r="F646" i="1" s="1"/>
  <c r="D646" i="1" s="1"/>
  <c r="G646" i="1" s="1"/>
  <c r="C645" i="1"/>
  <c r="C646" i="1" l="1"/>
  <c r="E646" i="1"/>
  <c r="H646" i="1"/>
  <c r="B647" i="1" s="1"/>
  <c r="H647" i="1" s="1"/>
  <c r="C647" i="1"/>
  <c r="E647" i="1"/>
  <c r="F647" i="1"/>
  <c r="D647" i="1" s="1"/>
  <c r="G647" i="1" s="1"/>
  <c r="B648" i="1" l="1"/>
  <c r="H648" i="1" l="1"/>
  <c r="F648" i="1"/>
  <c r="D648" i="1" s="1"/>
  <c r="G648" i="1" s="1"/>
  <c r="C648" i="1"/>
  <c r="E648" i="1"/>
  <c r="B649" i="1" l="1"/>
  <c r="F649" i="1" l="1"/>
  <c r="D649" i="1" s="1"/>
  <c r="G649" i="1" s="1"/>
  <c r="H649" i="1"/>
  <c r="B650" i="1" s="1"/>
  <c r="E649" i="1"/>
  <c r="C649" i="1"/>
  <c r="C650" i="1" l="1"/>
  <c r="F650" i="1"/>
  <c r="D650" i="1" s="1"/>
  <c r="G650" i="1" s="1"/>
  <c r="H650" i="1"/>
  <c r="B651" i="1" s="1"/>
  <c r="E650" i="1"/>
  <c r="H651" i="1" l="1"/>
  <c r="E651" i="1"/>
  <c r="C651" i="1"/>
  <c r="F651" i="1"/>
  <c r="D651" i="1" s="1"/>
  <c r="G651" i="1" s="1"/>
  <c r="B652" i="1" l="1"/>
  <c r="H652" i="1" l="1"/>
  <c r="F652" i="1"/>
  <c r="D652" i="1" s="1"/>
  <c r="G652" i="1" s="1"/>
  <c r="C652" i="1"/>
  <c r="E652" i="1"/>
  <c r="B653" i="1" l="1"/>
  <c r="E653" i="1" l="1"/>
  <c r="F653" i="1"/>
  <c r="D653" i="1" s="1"/>
  <c r="G653" i="1" s="1"/>
  <c r="H653" i="1"/>
  <c r="B654" i="1" s="1"/>
  <c r="C653" i="1"/>
  <c r="C654" i="1" l="1"/>
  <c r="F654" i="1"/>
  <c r="D654" i="1" s="1"/>
  <c r="G654" i="1" s="1"/>
  <c r="H654" i="1"/>
  <c r="E654" i="1"/>
  <c r="B655" i="1" l="1"/>
  <c r="E655" i="1"/>
  <c r="H655" i="1"/>
  <c r="F655" i="1"/>
  <c r="D655" i="1" s="1"/>
  <c r="G655" i="1" s="1"/>
  <c r="C655" i="1"/>
  <c r="B656" i="1" l="1"/>
  <c r="F656" i="1" l="1"/>
  <c r="D656" i="1" s="1"/>
  <c r="G656" i="1" s="1"/>
  <c r="E656" i="1"/>
  <c r="H656" i="1"/>
  <c r="C656" i="1"/>
  <c r="B657" i="1" l="1"/>
  <c r="H657" i="1"/>
  <c r="C657" i="1"/>
  <c r="F657" i="1"/>
  <c r="D657" i="1" s="1"/>
  <c r="G657" i="1" s="1"/>
  <c r="E657" i="1"/>
  <c r="B658" i="1" l="1"/>
  <c r="E658" i="1" l="1"/>
  <c r="H658" i="1"/>
  <c r="F658" i="1"/>
  <c r="D658" i="1" s="1"/>
  <c r="G658" i="1" s="1"/>
  <c r="C658" i="1"/>
  <c r="B659" i="1" l="1"/>
  <c r="F659" i="1" l="1"/>
  <c r="D659" i="1" s="1"/>
  <c r="G659" i="1" s="1"/>
  <c r="H659" i="1"/>
  <c r="B660" i="1" s="1"/>
  <c r="C659" i="1"/>
  <c r="E659" i="1"/>
  <c r="F660" i="1" l="1"/>
  <c r="D660" i="1" s="1"/>
  <c r="G660" i="1" s="1"/>
  <c r="H660" i="1"/>
  <c r="C660" i="1"/>
  <c r="E660" i="1"/>
  <c r="B661" i="1" l="1"/>
  <c r="H661" i="1" s="1"/>
  <c r="C661" i="1"/>
  <c r="E661" i="1" l="1"/>
  <c r="F661" i="1"/>
  <c r="D661" i="1" s="1"/>
  <c r="G661" i="1" s="1"/>
  <c r="B662" i="1"/>
  <c r="H662" i="1" l="1"/>
  <c r="E662" i="1"/>
  <c r="C662" i="1"/>
  <c r="F662" i="1"/>
  <c r="D662" i="1" s="1"/>
  <c r="G662" i="1" s="1"/>
  <c r="B663" i="1" l="1"/>
  <c r="F663" i="1" l="1"/>
  <c r="D663" i="1" s="1"/>
  <c r="G663" i="1" s="1"/>
  <c r="H663" i="1"/>
  <c r="B664" i="1" s="1"/>
  <c r="E663" i="1"/>
  <c r="C663" i="1"/>
  <c r="H664" i="1" l="1"/>
  <c r="F664" i="1"/>
  <c r="D664" i="1" s="1"/>
  <c r="G664" i="1" s="1"/>
  <c r="C664" i="1"/>
  <c r="E664" i="1"/>
  <c r="B665" i="1" l="1"/>
  <c r="H665" i="1" l="1"/>
  <c r="C665" i="1"/>
  <c r="F665" i="1"/>
  <c r="D665" i="1" s="1"/>
  <c r="G665" i="1" s="1"/>
  <c r="E665" i="1"/>
  <c r="B666" i="1" l="1"/>
  <c r="H666" i="1" l="1"/>
  <c r="C666" i="1"/>
  <c r="E666" i="1"/>
  <c r="F666" i="1"/>
  <c r="D666" i="1"/>
  <c r="G666" i="1" s="1"/>
  <c r="B667" i="1" l="1"/>
  <c r="H667" i="1" l="1"/>
  <c r="E667" i="1"/>
  <c r="F667" i="1"/>
  <c r="D667" i="1" s="1"/>
  <c r="G667" i="1" s="1"/>
  <c r="C667" i="1"/>
  <c r="B668" i="1" l="1"/>
  <c r="C668" i="1"/>
  <c r="H668" i="1"/>
  <c r="E668" i="1"/>
  <c r="F668" i="1"/>
  <c r="D668" i="1" s="1"/>
  <c r="G668" i="1" s="1"/>
  <c r="B669" i="1" l="1"/>
  <c r="E669" i="1" l="1"/>
  <c r="H669" i="1"/>
  <c r="C669" i="1"/>
  <c r="F669" i="1"/>
  <c r="D669" i="1" s="1"/>
  <c r="G669" i="1" s="1"/>
  <c r="B670" i="1" l="1"/>
  <c r="F670" i="1" l="1"/>
  <c r="D670" i="1" s="1"/>
  <c r="G670" i="1" s="1"/>
  <c r="E670" i="1"/>
  <c r="H670" i="1"/>
  <c r="B671" i="1" s="1"/>
  <c r="C670" i="1"/>
  <c r="H671" i="1" l="1"/>
  <c r="C671" i="1"/>
  <c r="E671" i="1"/>
  <c r="F671" i="1"/>
  <c r="D671" i="1" s="1"/>
  <c r="G671" i="1" s="1"/>
  <c r="B672" i="1" l="1"/>
  <c r="E672" i="1" l="1"/>
  <c r="H672" i="1"/>
  <c r="C672" i="1"/>
  <c r="F672" i="1"/>
  <c r="D672" i="1" s="1"/>
  <c r="G672" i="1" s="1"/>
  <c r="B673" i="1" l="1"/>
  <c r="E673" i="1" l="1"/>
  <c r="H673" i="1"/>
  <c r="C673" i="1"/>
  <c r="F673" i="1"/>
  <c r="D673" i="1" s="1"/>
  <c r="G673" i="1" s="1"/>
  <c r="B674" i="1" l="1"/>
  <c r="C674" i="1" l="1"/>
  <c r="E674" i="1"/>
  <c r="H674" i="1"/>
  <c r="F674" i="1"/>
  <c r="D674" i="1" s="1"/>
  <c r="G674" i="1" s="1"/>
  <c r="B675" i="1" l="1"/>
  <c r="H675" i="1" l="1"/>
  <c r="F675" i="1"/>
  <c r="D675" i="1" s="1"/>
  <c r="G675" i="1" s="1"/>
  <c r="E675" i="1"/>
  <c r="C675" i="1"/>
  <c r="B676" i="1" l="1"/>
  <c r="F676" i="1" l="1"/>
  <c r="D676" i="1" s="1"/>
  <c r="G676" i="1" s="1"/>
  <c r="E676" i="1"/>
  <c r="C676" i="1"/>
  <c r="H676" i="1"/>
  <c r="B677" i="1" s="1"/>
  <c r="H677" i="1" l="1"/>
  <c r="E677" i="1"/>
  <c r="F677" i="1"/>
  <c r="D677" i="1" s="1"/>
  <c r="G677" i="1" s="1"/>
  <c r="C677" i="1"/>
  <c r="B678" i="1" l="1"/>
  <c r="H678" i="1" l="1"/>
  <c r="C678" i="1"/>
  <c r="E678" i="1"/>
  <c r="F678" i="1"/>
  <c r="D678" i="1" s="1"/>
  <c r="G678" i="1" s="1"/>
  <c r="B679" i="1" l="1"/>
  <c r="H679" i="1" l="1"/>
  <c r="E679" i="1"/>
  <c r="C679" i="1"/>
  <c r="F679" i="1"/>
  <c r="D679" i="1" s="1"/>
  <c r="G679" i="1" s="1"/>
  <c r="B680" i="1" l="1"/>
  <c r="F680" i="1" l="1"/>
  <c r="D680" i="1" s="1"/>
  <c r="G680" i="1" s="1"/>
  <c r="H680" i="1"/>
  <c r="B681" i="1" s="1"/>
  <c r="C680" i="1"/>
  <c r="E680" i="1"/>
  <c r="F681" i="1" l="1"/>
  <c r="D681" i="1" s="1"/>
  <c r="G681" i="1" s="1"/>
  <c r="H681" i="1"/>
  <c r="C681" i="1"/>
  <c r="E681" i="1"/>
  <c r="B682" i="1" l="1"/>
  <c r="E682" i="1" l="1"/>
  <c r="F682" i="1"/>
  <c r="D682" i="1" s="1"/>
  <c r="G682" i="1" s="1"/>
  <c r="C682" i="1"/>
  <c r="H682" i="1"/>
  <c r="B683" i="1" s="1"/>
  <c r="C683" i="1" l="1"/>
  <c r="H683" i="1"/>
  <c r="F683" i="1"/>
  <c r="D683" i="1" s="1"/>
  <c r="G683" i="1" s="1"/>
  <c r="E683" i="1"/>
  <c r="B684" i="1" l="1"/>
  <c r="H684" i="1"/>
  <c r="C684" i="1"/>
  <c r="F684" i="1"/>
  <c r="D684" i="1" s="1"/>
  <c r="G684" i="1" s="1"/>
  <c r="E684" i="1"/>
  <c r="B685" i="1" l="1"/>
  <c r="E685" i="1" l="1"/>
  <c r="F685" i="1"/>
  <c r="D685" i="1" s="1"/>
  <c r="G685" i="1" s="1"/>
  <c r="C685" i="1"/>
  <c r="H685" i="1"/>
  <c r="B686" i="1" l="1"/>
  <c r="F686" i="1"/>
  <c r="D686" i="1" s="1"/>
  <c r="G686" i="1" s="1"/>
  <c r="C686" i="1"/>
  <c r="E686" i="1"/>
  <c r="H686" i="1"/>
  <c r="B687" i="1" s="1"/>
  <c r="C687" i="1" l="1"/>
  <c r="H687" i="1"/>
  <c r="F687" i="1"/>
  <c r="D687" i="1" s="1"/>
  <c r="G687" i="1" s="1"/>
  <c r="E687" i="1"/>
  <c r="B688" i="1" l="1"/>
  <c r="F688" i="1" l="1"/>
  <c r="D688" i="1" s="1"/>
  <c r="G688" i="1" s="1"/>
  <c r="H688" i="1"/>
  <c r="B689" i="1" s="1"/>
  <c r="C688" i="1"/>
  <c r="E688" i="1"/>
  <c r="F689" i="1" l="1"/>
  <c r="D689" i="1" s="1"/>
  <c r="G689" i="1" s="1"/>
  <c r="C689" i="1"/>
  <c r="E689" i="1"/>
  <c r="H689" i="1"/>
  <c r="B690" i="1" l="1"/>
  <c r="E690" i="1" s="1"/>
  <c r="F690" i="1"/>
  <c r="D690" i="1" s="1"/>
  <c r="G690" i="1" s="1"/>
  <c r="H690" i="1"/>
  <c r="C690" i="1" l="1"/>
  <c r="B691" i="1"/>
  <c r="F691" i="1" s="1"/>
  <c r="D691" i="1" s="1"/>
  <c r="G691" i="1" s="1"/>
  <c r="C691" i="1"/>
  <c r="H691" i="1"/>
  <c r="E691" i="1" l="1"/>
  <c r="B692" i="1"/>
  <c r="E692" i="1" l="1"/>
  <c r="C692" i="1"/>
  <c r="F692" i="1"/>
  <c r="D692" i="1" s="1"/>
  <c r="G692" i="1" s="1"/>
  <c r="H692" i="1"/>
  <c r="B693" i="1" s="1"/>
  <c r="C693" i="1" l="1"/>
  <c r="H693" i="1"/>
  <c r="E693" i="1"/>
  <c r="F693" i="1"/>
  <c r="D693" i="1" s="1"/>
  <c r="G693" i="1" s="1"/>
  <c r="B694" i="1" l="1"/>
  <c r="H694" i="1" l="1"/>
  <c r="E694" i="1"/>
  <c r="C694" i="1"/>
  <c r="F694" i="1"/>
  <c r="D694" i="1" s="1"/>
  <c r="G694" i="1" s="1"/>
  <c r="B695" i="1" l="1"/>
  <c r="H695" i="1" l="1"/>
  <c r="C695" i="1"/>
  <c r="F695" i="1"/>
  <c r="D695" i="1" s="1"/>
  <c r="G695" i="1" s="1"/>
  <c r="E695" i="1"/>
  <c r="B696" i="1" l="1"/>
  <c r="F696" i="1" l="1"/>
  <c r="D696" i="1" s="1"/>
  <c r="G696" i="1" s="1"/>
  <c r="E696" i="1"/>
  <c r="C696" i="1"/>
  <c r="H696" i="1"/>
  <c r="B697" i="1" s="1"/>
  <c r="E697" i="1" l="1"/>
  <c r="C697" i="1"/>
  <c r="H697" i="1"/>
  <c r="F697" i="1"/>
  <c r="D697" i="1" s="1"/>
  <c r="G697" i="1" s="1"/>
  <c r="B698" i="1" l="1"/>
  <c r="E698" i="1" l="1"/>
  <c r="F698" i="1"/>
  <c r="D698" i="1" s="1"/>
  <c r="G698" i="1" s="1"/>
  <c r="C698" i="1"/>
  <c r="H698" i="1"/>
  <c r="B699" i="1" l="1"/>
  <c r="H699" i="1" s="1"/>
  <c r="C699" i="1" l="1"/>
  <c r="E699" i="1"/>
  <c r="F699" i="1"/>
  <c r="D699" i="1" s="1"/>
  <c r="G699" i="1" s="1"/>
  <c r="B700" i="1" l="1"/>
  <c r="H700" i="1" l="1"/>
  <c r="E700" i="1"/>
  <c r="C700" i="1"/>
  <c r="F700" i="1"/>
  <c r="D700" i="1" s="1"/>
  <c r="G700" i="1" s="1"/>
  <c r="B701" i="1" l="1"/>
  <c r="H701" i="1" l="1"/>
  <c r="F701" i="1"/>
  <c r="D701" i="1" s="1"/>
  <c r="G701" i="1" s="1"/>
  <c r="E701" i="1"/>
  <c r="C701" i="1"/>
  <c r="B702" i="1" l="1"/>
  <c r="H702" i="1" l="1"/>
  <c r="F702" i="1"/>
  <c r="D702" i="1" s="1"/>
  <c r="G702" i="1" s="1"/>
  <c r="E702" i="1"/>
  <c r="C702" i="1"/>
  <c r="B703" i="1" l="1"/>
  <c r="F703" i="1" l="1"/>
  <c r="D703" i="1" s="1"/>
  <c r="G703" i="1" s="1"/>
  <c r="E703" i="1"/>
  <c r="H703" i="1"/>
  <c r="B704" i="1" s="1"/>
  <c r="C703" i="1"/>
  <c r="F704" i="1" l="1"/>
  <c r="D704" i="1" s="1"/>
  <c r="G704" i="1" s="1"/>
  <c r="C704" i="1"/>
  <c r="E704" i="1"/>
  <c r="H704" i="1"/>
  <c r="B705" i="1" l="1"/>
  <c r="F705" i="1" l="1"/>
  <c r="D705" i="1" s="1"/>
  <c r="G705" i="1" s="1"/>
  <c r="C705" i="1"/>
  <c r="E705" i="1"/>
  <c r="H705" i="1"/>
  <c r="B706" i="1" s="1"/>
  <c r="E706" i="1" l="1"/>
  <c r="F706" i="1"/>
  <c r="D706" i="1" s="1"/>
  <c r="G706" i="1" s="1"/>
  <c r="H706" i="1"/>
  <c r="B707" i="1" s="1"/>
  <c r="C706" i="1"/>
  <c r="F707" i="1" l="1"/>
  <c r="D707" i="1" s="1"/>
  <c r="G707" i="1" s="1"/>
  <c r="C707" i="1"/>
  <c r="H707" i="1"/>
  <c r="B708" i="1" s="1"/>
  <c r="E707" i="1"/>
  <c r="F708" i="1" l="1"/>
  <c r="D708" i="1" s="1"/>
  <c r="G708" i="1" s="1"/>
  <c r="E708" i="1"/>
  <c r="C708" i="1"/>
  <c r="H708" i="1"/>
  <c r="B709" i="1" s="1"/>
  <c r="C709" i="1" l="1"/>
  <c r="F709" i="1"/>
  <c r="D709" i="1" s="1"/>
  <c r="G709" i="1" s="1"/>
  <c r="H709" i="1"/>
  <c r="B710" i="1" s="1"/>
  <c r="F710" i="1" s="1"/>
  <c r="D710" i="1" s="1"/>
  <c r="G710" i="1" s="1"/>
  <c r="E709" i="1"/>
  <c r="H710" i="1"/>
  <c r="E710" i="1"/>
  <c r="C710" i="1"/>
  <c r="B711" i="1" l="1"/>
  <c r="E711" i="1" l="1"/>
  <c r="H711" i="1"/>
  <c r="F711" i="1"/>
  <c r="D711" i="1" s="1"/>
  <c r="G711" i="1" s="1"/>
  <c r="C711" i="1"/>
  <c r="B712" i="1" l="1"/>
  <c r="H712" i="1" l="1"/>
  <c r="E712" i="1"/>
  <c r="F712" i="1"/>
  <c r="D712" i="1" s="1"/>
  <c r="G712" i="1" s="1"/>
  <c r="C712" i="1"/>
  <c r="B713" i="1" l="1"/>
  <c r="E713" i="1" l="1"/>
  <c r="H713" i="1"/>
  <c r="F713" i="1"/>
  <c r="D713" i="1" s="1"/>
  <c r="G713" i="1" s="1"/>
  <c r="C713" i="1"/>
  <c r="B714" i="1" l="1"/>
  <c r="E714" i="1" l="1"/>
  <c r="F714" i="1"/>
  <c r="D714" i="1" s="1"/>
  <c r="G714" i="1" s="1"/>
  <c r="H714" i="1"/>
  <c r="B715" i="1" s="1"/>
  <c r="C714" i="1"/>
  <c r="F715" i="1" l="1"/>
  <c r="D715" i="1" s="1"/>
  <c r="G715" i="1" s="1"/>
  <c r="C715" i="1"/>
  <c r="H715" i="1"/>
  <c r="B716" i="1" s="1"/>
  <c r="E715" i="1"/>
  <c r="H716" i="1" l="1"/>
  <c r="F716" i="1"/>
  <c r="D716" i="1" s="1"/>
  <c r="G716" i="1" s="1"/>
  <c r="C716" i="1"/>
  <c r="E716" i="1"/>
  <c r="B717" i="1" l="1"/>
  <c r="F717" i="1" l="1"/>
  <c r="D717" i="1" s="1"/>
  <c r="G717" i="1" s="1"/>
  <c r="H717" i="1"/>
  <c r="B718" i="1" s="1"/>
  <c r="C717" i="1"/>
  <c r="E717" i="1"/>
  <c r="H718" i="1" l="1"/>
  <c r="C718" i="1"/>
  <c r="E718" i="1"/>
  <c r="F718" i="1"/>
  <c r="D718" i="1" s="1"/>
  <c r="G718" i="1" s="1"/>
  <c r="B719" i="1" l="1"/>
  <c r="F719" i="1" l="1"/>
  <c r="D719" i="1" s="1"/>
  <c r="G719" i="1" s="1"/>
  <c r="C719" i="1"/>
  <c r="H719" i="1"/>
  <c r="B720" i="1" s="1"/>
  <c r="E719" i="1"/>
  <c r="C720" i="1" l="1"/>
  <c r="E720" i="1"/>
  <c r="H720" i="1"/>
  <c r="F720" i="1"/>
  <c r="D720" i="1" s="1"/>
  <c r="G720" i="1" s="1"/>
  <c r="B721" i="1" l="1"/>
  <c r="H721" i="1" l="1"/>
  <c r="F721" i="1"/>
  <c r="D721" i="1" s="1"/>
  <c r="G721" i="1" s="1"/>
  <c r="E721" i="1"/>
  <c r="C721" i="1"/>
  <c r="B722" i="1" l="1"/>
  <c r="H722" i="1" l="1"/>
  <c r="E722" i="1"/>
  <c r="F722" i="1"/>
  <c r="D722" i="1" s="1"/>
  <c r="G722" i="1" s="1"/>
  <c r="C722" i="1"/>
  <c r="B723" i="1" l="1"/>
  <c r="E723" i="1" l="1"/>
  <c r="F723" i="1"/>
  <c r="D723" i="1" s="1"/>
  <c r="G723" i="1" s="1"/>
  <c r="H723" i="1"/>
  <c r="B724" i="1" s="1"/>
  <c r="C723" i="1"/>
  <c r="C724" i="1" l="1"/>
  <c r="E724" i="1"/>
  <c r="F724" i="1"/>
  <c r="D724" i="1" s="1"/>
  <c r="G724" i="1" s="1"/>
  <c r="H724" i="1"/>
  <c r="B725" i="1" s="1"/>
  <c r="E725" i="1" l="1"/>
  <c r="F725" i="1"/>
  <c r="D725" i="1" s="1"/>
  <c r="G725" i="1" s="1"/>
  <c r="H725" i="1"/>
  <c r="B726" i="1" s="1"/>
  <c r="C725" i="1"/>
  <c r="E726" i="1" l="1"/>
  <c r="C726" i="1"/>
  <c r="F726" i="1"/>
  <c r="D726" i="1" s="1"/>
  <c r="G726" i="1" s="1"/>
  <c r="H726" i="1"/>
  <c r="B727" i="1" l="1"/>
  <c r="F727" i="1"/>
  <c r="D727" i="1" s="1"/>
  <c r="G727" i="1" s="1"/>
  <c r="H727" i="1"/>
  <c r="B728" i="1" s="1"/>
  <c r="C727" i="1"/>
  <c r="E727" i="1"/>
  <c r="F728" i="1" l="1"/>
  <c r="D728" i="1" s="1"/>
  <c r="G728" i="1" s="1"/>
  <c r="H728" i="1"/>
  <c r="C728" i="1"/>
  <c r="E728" i="1"/>
  <c r="B729" i="1" l="1"/>
  <c r="F729" i="1"/>
  <c r="D729" i="1" s="1"/>
  <c r="G729" i="1" s="1"/>
  <c r="E729" i="1"/>
  <c r="H729" i="1"/>
  <c r="B730" i="1" s="1"/>
  <c r="C729" i="1"/>
  <c r="H730" i="1" l="1"/>
  <c r="F730" i="1"/>
  <c r="D730" i="1" s="1"/>
  <c r="G730" i="1" s="1"/>
  <c r="C730" i="1"/>
  <c r="E730" i="1"/>
  <c r="B731" i="1" l="1"/>
  <c r="F731" i="1" l="1"/>
  <c r="D731" i="1" s="1"/>
  <c r="G731" i="1" s="1"/>
  <c r="C731" i="1"/>
  <c r="H731" i="1"/>
  <c r="E731" i="1"/>
  <c r="B732" i="1" l="1"/>
  <c r="C732" i="1" s="1"/>
  <c r="H732" i="1" l="1"/>
  <c r="E732" i="1"/>
  <c r="F732" i="1"/>
  <c r="D732" i="1" s="1"/>
  <c r="G732" i="1" s="1"/>
  <c r="B733" i="1"/>
  <c r="C733" i="1"/>
  <c r="H733" i="1"/>
  <c r="E733" i="1"/>
  <c r="F733" i="1"/>
  <c r="D733" i="1" s="1"/>
  <c r="G733" i="1" s="1"/>
  <c r="B734" i="1" l="1"/>
  <c r="E734" i="1"/>
  <c r="C734" i="1"/>
  <c r="F734" i="1"/>
  <c r="D734" i="1" s="1"/>
  <c r="G734" i="1" s="1"/>
  <c r="H734" i="1"/>
  <c r="B735" i="1" s="1"/>
  <c r="C735" i="1" l="1"/>
  <c r="F735" i="1"/>
  <c r="D735" i="1" s="1"/>
  <c r="G735" i="1" s="1"/>
  <c r="E735" i="1"/>
  <c r="H735" i="1"/>
  <c r="B736" i="1" l="1"/>
  <c r="E736" i="1" s="1"/>
  <c r="F736" i="1"/>
  <c r="D736" i="1" s="1"/>
  <c r="G736" i="1" s="1"/>
  <c r="C736" i="1" l="1"/>
  <c r="H736" i="1"/>
  <c r="B737" i="1" s="1"/>
  <c r="C737" i="1" s="1"/>
  <c r="H737" i="1"/>
  <c r="E737" i="1"/>
  <c r="F737" i="1" l="1"/>
  <c r="D737" i="1" s="1"/>
  <c r="G737" i="1" s="1"/>
  <c r="B738" i="1"/>
  <c r="H738" i="1" l="1"/>
  <c r="F738" i="1"/>
  <c r="D738" i="1" s="1"/>
  <c r="G738" i="1" s="1"/>
  <c r="C738" i="1"/>
  <c r="E738" i="1"/>
  <c r="B739" i="1" l="1"/>
  <c r="F739" i="1" l="1"/>
  <c r="D739" i="1" s="1"/>
  <c r="G739" i="1" s="1"/>
  <c r="H739" i="1"/>
  <c r="B740" i="1" s="1"/>
  <c r="C739" i="1"/>
  <c r="E739" i="1"/>
  <c r="H740" i="1" l="1"/>
  <c r="F740" i="1"/>
  <c r="D740" i="1"/>
  <c r="E740" i="1"/>
  <c r="C740" i="1"/>
  <c r="G740" i="1" l="1"/>
  <c r="B741" i="1"/>
  <c r="E741" i="1" l="1"/>
  <c r="H741" i="1"/>
  <c r="F741" i="1"/>
  <c r="D741" i="1" s="1"/>
  <c r="G741" i="1" s="1"/>
  <c r="C741" i="1"/>
  <c r="B742" i="1" l="1"/>
  <c r="E742" i="1" l="1"/>
  <c r="H742" i="1"/>
  <c r="C742" i="1"/>
  <c r="F742" i="1"/>
  <c r="D742" i="1" s="1"/>
  <c r="G742" i="1" s="1"/>
  <c r="B743" i="1" l="1"/>
  <c r="F743" i="1" l="1"/>
  <c r="D743" i="1" s="1"/>
  <c r="G743" i="1" s="1"/>
  <c r="E743" i="1"/>
  <c r="C743" i="1"/>
  <c r="H743" i="1"/>
  <c r="B744" i="1" l="1"/>
  <c r="F744" i="1"/>
  <c r="D744" i="1" s="1"/>
  <c r="G744" i="1" s="1"/>
  <c r="H744" i="1"/>
  <c r="B745" i="1" s="1"/>
  <c r="C744" i="1"/>
  <c r="E744" i="1"/>
  <c r="E745" i="1" l="1"/>
  <c r="F745" i="1"/>
  <c r="D745" i="1" s="1"/>
  <c r="G745" i="1" s="1"/>
  <c r="C745" i="1"/>
  <c r="H745" i="1"/>
  <c r="B746" i="1" s="1"/>
  <c r="H746" i="1" l="1"/>
  <c r="E746" i="1"/>
  <c r="C746" i="1"/>
  <c r="F746" i="1"/>
  <c r="D746" i="1" s="1"/>
  <c r="G746" i="1" s="1"/>
  <c r="B747" i="1" l="1"/>
  <c r="C747" i="1" l="1"/>
  <c r="H747" i="1"/>
  <c r="E747" i="1"/>
  <c r="F747" i="1"/>
  <c r="D747" i="1" s="1"/>
  <c r="G747" i="1" s="1"/>
  <c r="B748" i="1" l="1"/>
  <c r="F748" i="1" l="1"/>
  <c r="D748" i="1" s="1"/>
  <c r="G748" i="1" s="1"/>
  <c r="C748" i="1"/>
  <c r="E748" i="1"/>
  <c r="H748" i="1"/>
  <c r="B749" i="1" s="1"/>
  <c r="F749" i="1" l="1"/>
  <c r="D749" i="1" s="1"/>
  <c r="G749" i="1" s="1"/>
  <c r="E749" i="1"/>
  <c r="H749" i="1"/>
  <c r="C749" i="1"/>
  <c r="B750" i="1" l="1"/>
  <c r="E750" i="1"/>
  <c r="F750" i="1"/>
  <c r="D750" i="1" s="1"/>
  <c r="G750" i="1" s="1"/>
  <c r="H750" i="1"/>
  <c r="B751" i="1" s="1"/>
  <c r="C750" i="1"/>
  <c r="C751" i="1" l="1"/>
  <c r="F751" i="1"/>
  <c r="D751" i="1" s="1"/>
  <c r="G751" i="1" s="1"/>
  <c r="H751" i="1"/>
  <c r="B752" i="1" s="1"/>
  <c r="E751" i="1"/>
  <c r="F752" i="1" l="1"/>
  <c r="D752" i="1" s="1"/>
  <c r="G752" i="1" s="1"/>
  <c r="H752" i="1"/>
  <c r="E752" i="1"/>
  <c r="C752" i="1"/>
  <c r="B753" i="1" l="1"/>
  <c r="F753" i="1" l="1"/>
  <c r="D753" i="1" s="1"/>
  <c r="G753" i="1" s="1"/>
  <c r="C753" i="1"/>
  <c r="H753" i="1"/>
  <c r="B754" i="1" s="1"/>
  <c r="E753" i="1"/>
  <c r="F754" i="1" l="1"/>
  <c r="D754" i="1" s="1"/>
  <c r="G754" i="1" s="1"/>
  <c r="C754" i="1"/>
  <c r="H754" i="1"/>
  <c r="B755" i="1" s="1"/>
  <c r="E754" i="1"/>
  <c r="E755" i="1" l="1"/>
  <c r="C755" i="1"/>
  <c r="H755" i="1"/>
  <c r="F755" i="1"/>
  <c r="D755" i="1" s="1"/>
  <c r="G755" i="1" s="1"/>
  <c r="B756" i="1" l="1"/>
  <c r="F756" i="1"/>
  <c r="D756" i="1" s="1"/>
  <c r="G756" i="1" s="1"/>
  <c r="H756" i="1"/>
  <c r="C756" i="1"/>
  <c r="E756" i="1"/>
  <c r="B757" i="1" l="1"/>
  <c r="H757" i="1" s="1"/>
  <c r="F757" i="1"/>
  <c r="D757" i="1" s="1"/>
  <c r="G757" i="1" s="1"/>
  <c r="E757" i="1"/>
  <c r="C757" i="1"/>
  <c r="B758" i="1" l="1"/>
  <c r="F758" i="1" l="1"/>
  <c r="D758" i="1" s="1"/>
  <c r="G758" i="1" s="1"/>
  <c r="E758" i="1"/>
  <c r="H758" i="1"/>
  <c r="B759" i="1" s="1"/>
  <c r="C758" i="1"/>
  <c r="H759" i="1" l="1"/>
  <c r="C759" i="1"/>
  <c r="E759" i="1"/>
  <c r="F759" i="1"/>
  <c r="D759" i="1" s="1"/>
  <c r="G759" i="1" s="1"/>
  <c r="B760" i="1" l="1"/>
  <c r="E760" i="1" l="1"/>
  <c r="H760" i="1"/>
  <c r="C760" i="1"/>
  <c r="F760" i="1"/>
  <c r="D760" i="1" s="1"/>
  <c r="G760" i="1" s="1"/>
  <c r="B761" i="1" l="1"/>
  <c r="C761" i="1" l="1"/>
  <c r="E761" i="1"/>
  <c r="H761" i="1"/>
  <c r="F761" i="1"/>
  <c r="D761" i="1" s="1"/>
  <c r="G761" i="1" s="1"/>
  <c r="B762" i="1" l="1"/>
  <c r="E762" i="1" l="1"/>
  <c r="F762" i="1"/>
  <c r="D762" i="1" s="1"/>
  <c r="G762" i="1" s="1"/>
  <c r="H762" i="1"/>
  <c r="B763" i="1" s="1"/>
  <c r="C762" i="1"/>
  <c r="C763" i="1" l="1"/>
  <c r="E763" i="1"/>
  <c r="F763" i="1"/>
  <c r="D763" i="1" s="1"/>
  <c r="G763" i="1" s="1"/>
  <c r="H763" i="1"/>
  <c r="B764" i="1" l="1"/>
  <c r="E764" i="1"/>
  <c r="C764" i="1"/>
  <c r="F764" i="1"/>
  <c r="D764" i="1" s="1"/>
  <c r="G764" i="1" s="1"/>
  <c r="H764" i="1"/>
  <c r="B765" i="1" l="1"/>
  <c r="C765" i="1" s="1"/>
  <c r="F765" i="1"/>
  <c r="D765" i="1" s="1"/>
  <c r="G765" i="1" s="1"/>
  <c r="H765" i="1"/>
  <c r="B766" i="1" s="1"/>
  <c r="E765" i="1" l="1"/>
  <c r="C766" i="1"/>
  <c r="E766" i="1"/>
  <c r="H766" i="1"/>
  <c r="F766" i="1"/>
  <c r="D766" i="1" s="1"/>
  <c r="G766" i="1" s="1"/>
  <c r="B767" i="1" l="1"/>
  <c r="E767" i="1" l="1"/>
  <c r="C767" i="1"/>
  <c r="F767" i="1"/>
  <c r="D767" i="1"/>
  <c r="G767" i="1" s="1"/>
  <c r="H767" i="1"/>
  <c r="B768" i="1" s="1"/>
  <c r="C768" i="1" l="1"/>
  <c r="E768" i="1"/>
  <c r="H768" i="1"/>
  <c r="F768" i="1"/>
  <c r="D768" i="1" s="1"/>
  <c r="G768" i="1" s="1"/>
  <c r="B769" i="1" l="1"/>
  <c r="E769" i="1" l="1"/>
  <c r="H769" i="1"/>
  <c r="C769" i="1"/>
  <c r="F769" i="1"/>
  <c r="D769" i="1" s="1"/>
  <c r="G769" i="1" s="1"/>
  <c r="B770" i="1" l="1"/>
  <c r="E770" i="1" l="1"/>
  <c r="F770" i="1"/>
  <c r="D770" i="1" s="1"/>
  <c r="G770" i="1" s="1"/>
  <c r="H770" i="1"/>
  <c r="B771" i="1" s="1"/>
  <c r="C770" i="1"/>
  <c r="E771" i="1" l="1"/>
  <c r="C771" i="1"/>
  <c r="H771" i="1"/>
  <c r="F771" i="1"/>
  <c r="D771" i="1" s="1"/>
  <c r="G771" i="1" s="1"/>
  <c r="B772" i="1" l="1"/>
  <c r="C772" i="1" l="1"/>
  <c r="F772" i="1"/>
  <c r="D772" i="1" s="1"/>
  <c r="G772" i="1" s="1"/>
  <c r="H772" i="1"/>
  <c r="B773" i="1" s="1"/>
  <c r="E772" i="1"/>
  <c r="C773" i="1" l="1"/>
  <c r="F773" i="1"/>
  <c r="D773" i="1" s="1"/>
  <c r="G773" i="1" s="1"/>
  <c r="H773" i="1"/>
  <c r="B774" i="1" s="1"/>
  <c r="E773" i="1"/>
  <c r="C774" i="1" l="1"/>
  <c r="H774" i="1"/>
  <c r="F774" i="1"/>
  <c r="D774" i="1" s="1"/>
  <c r="G774" i="1" s="1"/>
  <c r="E774" i="1"/>
  <c r="B775" i="1" l="1"/>
  <c r="H775" i="1" l="1"/>
  <c r="C775" i="1"/>
  <c r="F775" i="1"/>
  <c r="D775" i="1" s="1"/>
  <c r="G775" i="1" s="1"/>
  <c r="E775" i="1"/>
  <c r="B776" i="1" l="1"/>
  <c r="F776" i="1" l="1"/>
  <c r="D776" i="1" s="1"/>
  <c r="G776" i="1" s="1"/>
  <c r="E776" i="1"/>
  <c r="H776" i="1"/>
  <c r="C776" i="1"/>
  <c r="B777" i="1" l="1"/>
  <c r="C777" i="1"/>
  <c r="E777" i="1"/>
  <c r="F777" i="1"/>
  <c r="D777" i="1" s="1"/>
  <c r="G777" i="1" s="1"/>
  <c r="H777" i="1"/>
  <c r="B778" i="1" s="1"/>
  <c r="E778" i="1" l="1"/>
  <c r="C778" i="1"/>
  <c r="F778" i="1"/>
  <c r="D778" i="1" s="1"/>
  <c r="G778" i="1" s="1"/>
  <c r="H778" i="1"/>
  <c r="B779" i="1" s="1"/>
  <c r="C779" i="1" l="1"/>
  <c r="E779" i="1"/>
  <c r="F779" i="1"/>
  <c r="D779" i="1" s="1"/>
  <c r="G779" i="1" s="1"/>
  <c r="H779" i="1"/>
  <c r="B780" i="1" s="1"/>
  <c r="F780" i="1" l="1"/>
  <c r="D780" i="1" s="1"/>
  <c r="G780" i="1" s="1"/>
  <c r="E780" i="1"/>
  <c r="C780" i="1"/>
  <c r="H780" i="1"/>
  <c r="B781" i="1" s="1"/>
  <c r="E781" i="1" l="1"/>
  <c r="C781" i="1"/>
  <c r="F781" i="1"/>
  <c r="D781" i="1" s="1"/>
  <c r="G781" i="1" s="1"/>
  <c r="H781" i="1"/>
  <c r="B782" i="1" l="1"/>
  <c r="F782" i="1" s="1"/>
  <c r="D782" i="1" s="1"/>
  <c r="G782" i="1" s="1"/>
  <c r="E782" i="1"/>
  <c r="H782" i="1"/>
  <c r="C782" i="1"/>
  <c r="B783" i="1" l="1"/>
  <c r="C783" i="1"/>
  <c r="H783" i="1"/>
  <c r="E783" i="1"/>
  <c r="F783" i="1"/>
  <c r="D783" i="1" s="1"/>
  <c r="G783" i="1" s="1"/>
  <c r="B784" i="1" l="1"/>
  <c r="E784" i="1" l="1"/>
  <c r="C784" i="1"/>
  <c r="F784" i="1"/>
  <c r="D784" i="1" s="1"/>
  <c r="G784" i="1" s="1"/>
  <c r="H784" i="1"/>
  <c r="B785" i="1" s="1"/>
  <c r="H785" i="1" l="1"/>
  <c r="F785" i="1"/>
  <c r="D785" i="1"/>
  <c r="G785" i="1" s="1"/>
  <c r="C785" i="1"/>
  <c r="E785" i="1"/>
  <c r="B786" i="1" l="1"/>
  <c r="C786" i="1" l="1"/>
  <c r="E786" i="1"/>
  <c r="F786" i="1"/>
  <c r="D786" i="1" s="1"/>
  <c r="G786" i="1" s="1"/>
  <c r="H786" i="1"/>
  <c r="B787" i="1" l="1"/>
  <c r="C787" i="1"/>
  <c r="E787" i="1"/>
  <c r="H787" i="1"/>
  <c r="F787" i="1"/>
  <c r="D787" i="1" s="1"/>
  <c r="G787" i="1" s="1"/>
  <c r="B788" i="1" l="1"/>
  <c r="C788" i="1" l="1"/>
  <c r="F788" i="1"/>
  <c r="D788" i="1" s="1"/>
  <c r="G788" i="1" s="1"/>
  <c r="H788" i="1"/>
  <c r="E788" i="1"/>
  <c r="B789" i="1" l="1"/>
  <c r="F789" i="1"/>
  <c r="D789" i="1" s="1"/>
  <c r="G789" i="1" s="1"/>
  <c r="H789" i="1"/>
  <c r="B790" i="1" s="1"/>
  <c r="E789" i="1"/>
  <c r="C789" i="1"/>
  <c r="H790" i="1" l="1"/>
  <c r="F790" i="1"/>
  <c r="D790" i="1" s="1"/>
  <c r="G790" i="1" s="1"/>
  <c r="E790" i="1"/>
  <c r="C790" i="1"/>
  <c r="B791" i="1" l="1"/>
  <c r="H791" i="1" l="1"/>
  <c r="E791" i="1"/>
  <c r="F791" i="1"/>
  <c r="D791" i="1" s="1"/>
  <c r="G791" i="1" s="1"/>
  <c r="C791" i="1"/>
  <c r="B792" i="1" l="1"/>
  <c r="E792" i="1" l="1"/>
  <c r="C792" i="1"/>
  <c r="H792" i="1"/>
  <c r="F792" i="1"/>
  <c r="D792" i="1" s="1"/>
  <c r="G792" i="1" s="1"/>
  <c r="B793" i="1" l="1"/>
  <c r="H793" i="1" l="1"/>
  <c r="F793" i="1"/>
  <c r="D793" i="1" s="1"/>
  <c r="G793" i="1" s="1"/>
  <c r="E793" i="1"/>
  <c r="C793" i="1"/>
  <c r="B794" i="1" l="1"/>
  <c r="E794" i="1" l="1"/>
  <c r="H794" i="1"/>
  <c r="C794" i="1"/>
  <c r="F794" i="1"/>
  <c r="D794" i="1" s="1"/>
  <c r="G794" i="1" s="1"/>
  <c r="B795" i="1" l="1"/>
  <c r="F795" i="1" l="1"/>
  <c r="D795" i="1" s="1"/>
  <c r="G795" i="1" s="1"/>
  <c r="H795" i="1"/>
  <c r="E795" i="1"/>
  <c r="C795" i="1"/>
  <c r="B796" i="1" l="1"/>
  <c r="H796" i="1" s="1"/>
  <c r="E796" i="1"/>
  <c r="F796" i="1"/>
  <c r="D796" i="1" s="1"/>
  <c r="G796" i="1" s="1"/>
  <c r="C796" i="1"/>
  <c r="B797" i="1" l="1"/>
  <c r="H797" i="1" l="1"/>
  <c r="E797" i="1"/>
  <c r="F797" i="1"/>
  <c r="D797" i="1" s="1"/>
  <c r="G797" i="1" s="1"/>
  <c r="C797" i="1"/>
  <c r="B798" i="1" l="1"/>
  <c r="H798" i="1" l="1"/>
  <c r="F798" i="1"/>
  <c r="D798" i="1" s="1"/>
  <c r="G798" i="1" s="1"/>
  <c r="C798" i="1"/>
  <c r="E798" i="1"/>
  <c r="B799" i="1" l="1"/>
  <c r="C799" i="1" l="1"/>
  <c r="E799" i="1"/>
  <c r="F799" i="1"/>
  <c r="H799" i="1"/>
  <c r="D799" i="1"/>
  <c r="B800" i="1" l="1"/>
  <c r="G799" i="1"/>
  <c r="H800" i="1"/>
  <c r="F800" i="1"/>
  <c r="D800" i="1" s="1"/>
  <c r="G800" i="1" s="1"/>
  <c r="C800" i="1"/>
  <c r="E800" i="1"/>
  <c r="B801" i="1" l="1"/>
  <c r="C801" i="1" l="1"/>
  <c r="E801" i="1"/>
  <c r="H801" i="1"/>
  <c r="F801" i="1"/>
  <c r="D801" i="1" s="1"/>
  <c r="G801" i="1" s="1"/>
  <c r="B802" i="1" l="1"/>
  <c r="E802" i="1" l="1"/>
  <c r="F802" i="1"/>
  <c r="D802" i="1" s="1"/>
  <c r="G802" i="1" s="1"/>
  <c r="H802" i="1"/>
  <c r="B803" i="1" s="1"/>
  <c r="C802" i="1"/>
  <c r="C803" i="1" l="1"/>
  <c r="F803" i="1"/>
  <c r="D803" i="1" s="1"/>
  <c r="G803" i="1" s="1"/>
  <c r="H803" i="1"/>
  <c r="B804" i="1" s="1"/>
  <c r="E803" i="1"/>
  <c r="H804" i="1" l="1"/>
  <c r="E804" i="1"/>
  <c r="C804" i="1"/>
  <c r="F804" i="1"/>
  <c r="D804" i="1" s="1"/>
  <c r="G804" i="1" s="1"/>
  <c r="B805" i="1" l="1"/>
  <c r="H805" i="1" l="1"/>
  <c r="F805" i="1"/>
  <c r="D805" i="1" s="1"/>
  <c r="G805" i="1" s="1"/>
  <c r="C805" i="1"/>
  <c r="E805" i="1"/>
  <c r="B806" i="1" l="1"/>
  <c r="H806" i="1" l="1"/>
  <c r="F806" i="1"/>
  <c r="D806" i="1" s="1"/>
  <c r="G806" i="1" s="1"/>
  <c r="C806" i="1"/>
  <c r="E806" i="1"/>
  <c r="B807" i="1" l="1"/>
  <c r="F807" i="1" l="1"/>
  <c r="D807" i="1" s="1"/>
  <c r="G807" i="1" s="1"/>
  <c r="H807" i="1"/>
  <c r="B808" i="1" s="1"/>
  <c r="E807" i="1"/>
  <c r="C807" i="1"/>
  <c r="F808" i="1" l="1"/>
  <c r="D808" i="1" s="1"/>
  <c r="G808" i="1" s="1"/>
  <c r="E808" i="1"/>
  <c r="C808" i="1"/>
  <c r="H808" i="1"/>
  <c r="B809" i="1" l="1"/>
  <c r="F809" i="1" s="1"/>
  <c r="D809" i="1" s="1"/>
  <c r="G809" i="1" s="1"/>
  <c r="E809" i="1"/>
  <c r="C809" i="1"/>
  <c r="H809" i="1" l="1"/>
  <c r="B810" i="1"/>
  <c r="E810" i="1" l="1"/>
  <c r="H810" i="1"/>
  <c r="F810" i="1"/>
  <c r="D810" i="1" s="1"/>
  <c r="G810" i="1" s="1"/>
  <c r="C810" i="1"/>
  <c r="B811" i="1" l="1"/>
  <c r="E811" i="1" l="1"/>
  <c r="F811" i="1"/>
  <c r="D811" i="1" s="1"/>
  <c r="G811" i="1" s="1"/>
  <c r="H811" i="1"/>
  <c r="B812" i="1" s="1"/>
  <c r="C811" i="1"/>
  <c r="C812" i="1" l="1"/>
  <c r="H812" i="1"/>
  <c r="E812" i="1"/>
  <c r="F812" i="1"/>
  <c r="D812" i="1" s="1"/>
  <c r="G812" i="1" s="1"/>
  <c r="B813" i="1" l="1"/>
  <c r="F813" i="1" l="1"/>
  <c r="D813" i="1" s="1"/>
  <c r="G813" i="1" s="1"/>
  <c r="C813" i="1"/>
  <c r="E813" i="1"/>
  <c r="H813" i="1"/>
  <c r="B814" i="1" l="1"/>
  <c r="H814" i="1" s="1"/>
  <c r="E814" i="1"/>
  <c r="C814" i="1"/>
  <c r="F814" i="1"/>
  <c r="D814" i="1" s="1"/>
  <c r="G814" i="1" s="1"/>
  <c r="B815" i="1" l="1"/>
  <c r="F815" i="1" l="1"/>
  <c r="D815" i="1" s="1"/>
  <c r="G815" i="1" s="1"/>
  <c r="E815" i="1"/>
  <c r="H815" i="1"/>
  <c r="B816" i="1" s="1"/>
  <c r="C815" i="1"/>
  <c r="C816" i="1" l="1"/>
  <c r="E816" i="1"/>
  <c r="H816" i="1"/>
  <c r="F816" i="1"/>
  <c r="D816" i="1" s="1"/>
  <c r="G816" i="1" s="1"/>
  <c r="B817" i="1" l="1"/>
  <c r="H817" i="1" l="1"/>
  <c r="E817" i="1"/>
  <c r="C817" i="1"/>
  <c r="F817" i="1"/>
  <c r="D817" i="1" s="1"/>
  <c r="G817" i="1" s="1"/>
  <c r="B818" i="1" l="1"/>
  <c r="E818" i="1" l="1"/>
  <c r="C818" i="1"/>
  <c r="H818" i="1"/>
  <c r="F818" i="1"/>
  <c r="D818" i="1" s="1"/>
  <c r="G818" i="1" s="1"/>
  <c r="B819" i="1" l="1"/>
  <c r="C819" i="1" l="1"/>
  <c r="E819" i="1"/>
  <c r="H819" i="1"/>
  <c r="F819" i="1"/>
  <c r="D819" i="1" s="1"/>
  <c r="G819" i="1" s="1"/>
  <c r="B820" i="1" l="1"/>
  <c r="E820" i="1" l="1"/>
  <c r="F820" i="1"/>
  <c r="D820" i="1" s="1"/>
  <c r="G820" i="1" s="1"/>
  <c r="C820" i="1"/>
  <c r="H820" i="1"/>
  <c r="B821" i="1" s="1"/>
  <c r="C821" i="1" l="1"/>
  <c r="E821" i="1"/>
  <c r="F821" i="1"/>
  <c r="D821" i="1" s="1"/>
  <c r="G821" i="1" s="1"/>
  <c r="H821" i="1"/>
  <c r="B822" i="1" l="1"/>
  <c r="E822" i="1"/>
  <c r="C822" i="1"/>
  <c r="F822" i="1"/>
  <c r="D822" i="1" s="1"/>
  <c r="G822" i="1" s="1"/>
  <c r="H822" i="1"/>
  <c r="B823" i="1" s="1"/>
  <c r="H823" i="1" l="1"/>
  <c r="C823" i="1"/>
  <c r="F823" i="1"/>
  <c r="D823" i="1" s="1"/>
  <c r="G823" i="1" s="1"/>
  <c r="E823" i="1"/>
  <c r="B824" i="1" l="1"/>
  <c r="H824" i="1" s="1"/>
  <c r="F824" i="1"/>
  <c r="D824" i="1" s="1"/>
  <c r="G824" i="1" s="1"/>
  <c r="E824" i="1"/>
  <c r="C824" i="1"/>
  <c r="B825" i="1" l="1"/>
  <c r="F825" i="1" l="1"/>
  <c r="D825" i="1" s="1"/>
  <c r="G825" i="1" s="1"/>
  <c r="H825" i="1"/>
  <c r="C825" i="1"/>
  <c r="E825" i="1"/>
  <c r="B826" i="1" l="1"/>
  <c r="C826" i="1" s="1"/>
  <c r="F826" i="1" l="1"/>
  <c r="D826" i="1" s="1"/>
  <c r="G826" i="1" s="1"/>
  <c r="H826" i="1"/>
  <c r="B827" i="1" s="1"/>
  <c r="E826" i="1"/>
  <c r="C827" i="1" l="1"/>
  <c r="F827" i="1"/>
  <c r="D827" i="1" s="1"/>
  <c r="G827" i="1" s="1"/>
  <c r="H827" i="1"/>
  <c r="B828" i="1" s="1"/>
  <c r="E827" i="1"/>
  <c r="H828" i="1" l="1"/>
  <c r="F828" i="1"/>
  <c r="D828" i="1" s="1"/>
  <c r="G828" i="1" s="1"/>
  <c r="E828" i="1"/>
  <c r="C828" i="1"/>
  <c r="B829" i="1" l="1"/>
  <c r="H829" i="1" l="1"/>
  <c r="E829" i="1"/>
  <c r="C829" i="1"/>
  <c r="F829" i="1"/>
  <c r="D829" i="1" s="1"/>
  <c r="G829" i="1" s="1"/>
  <c r="B830" i="1" l="1"/>
  <c r="C830" i="1" l="1"/>
  <c r="E830" i="1"/>
  <c r="H830" i="1"/>
  <c r="F830" i="1"/>
  <c r="D830" i="1" s="1"/>
  <c r="G830" i="1" s="1"/>
  <c r="B831" i="1" l="1"/>
  <c r="C831" i="1" l="1"/>
  <c r="E831" i="1"/>
  <c r="H831" i="1"/>
  <c r="F831" i="1"/>
  <c r="D831" i="1" s="1"/>
  <c r="G831" i="1" s="1"/>
  <c r="B832" i="1" l="1"/>
  <c r="E832" i="1" l="1"/>
  <c r="H832" i="1"/>
  <c r="C832" i="1"/>
  <c r="F832" i="1"/>
  <c r="D832" i="1" s="1"/>
  <c r="G832" i="1" s="1"/>
  <c r="B833" i="1" l="1"/>
  <c r="F833" i="1" l="1"/>
  <c r="D833" i="1" s="1"/>
  <c r="G833" i="1" s="1"/>
  <c r="C833" i="1"/>
  <c r="E833" i="1"/>
  <c r="H833" i="1"/>
  <c r="B834" i="1" l="1"/>
  <c r="F834" i="1"/>
  <c r="D834" i="1" s="1"/>
  <c r="G834" i="1" s="1"/>
  <c r="E834" i="1"/>
  <c r="H834" i="1"/>
  <c r="B835" i="1" s="1"/>
  <c r="C834" i="1"/>
  <c r="F835" i="1" l="1"/>
  <c r="D835" i="1" s="1"/>
  <c r="G835" i="1" s="1"/>
  <c r="C835" i="1"/>
  <c r="H835" i="1"/>
  <c r="E835" i="1"/>
  <c r="B836" i="1" l="1"/>
  <c r="E836" i="1"/>
  <c r="C836" i="1"/>
  <c r="F836" i="1"/>
  <c r="D836" i="1" s="1"/>
  <c r="G836" i="1" s="1"/>
  <c r="H836" i="1"/>
  <c r="B837" i="1" s="1"/>
  <c r="C837" i="1" l="1"/>
  <c r="E837" i="1"/>
  <c r="F837" i="1"/>
  <c r="D837" i="1" s="1"/>
  <c r="G837" i="1" s="1"/>
  <c r="H837" i="1"/>
  <c r="B838" i="1" s="1"/>
  <c r="F838" i="1" l="1"/>
  <c r="D838" i="1" s="1"/>
  <c r="G838" i="1" s="1"/>
  <c r="H838" i="1"/>
  <c r="C838" i="1"/>
  <c r="E838" i="1"/>
  <c r="B839" i="1" l="1"/>
  <c r="H839" i="1"/>
  <c r="F839" i="1"/>
  <c r="D839" i="1" s="1"/>
  <c r="G839" i="1" s="1"/>
  <c r="E839" i="1"/>
  <c r="C839" i="1"/>
  <c r="B840" i="1" l="1"/>
  <c r="C840" i="1" l="1"/>
  <c r="E840" i="1"/>
  <c r="F840" i="1"/>
  <c r="D840" i="1" s="1"/>
  <c r="G840" i="1" s="1"/>
  <c r="H840" i="1"/>
  <c r="B841" i="1" s="1"/>
  <c r="H841" i="1" l="1"/>
  <c r="F841" i="1"/>
  <c r="D841" i="1" s="1"/>
  <c r="G841" i="1" s="1"/>
  <c r="E841" i="1"/>
  <c r="C841" i="1"/>
  <c r="B842" i="1" l="1"/>
  <c r="F842" i="1" l="1"/>
  <c r="D842" i="1" s="1"/>
  <c r="G842" i="1" s="1"/>
  <c r="E842" i="1"/>
  <c r="H842" i="1"/>
  <c r="C842" i="1"/>
  <c r="B843" i="1" l="1"/>
  <c r="H843" i="1"/>
  <c r="F843" i="1"/>
  <c r="D843" i="1" s="1"/>
  <c r="G843" i="1" s="1"/>
  <c r="C843" i="1"/>
  <c r="E843" i="1"/>
  <c r="B844" i="1" l="1"/>
  <c r="F844" i="1" l="1"/>
  <c r="D844" i="1" s="1"/>
  <c r="G844" i="1" s="1"/>
  <c r="C844" i="1"/>
  <c r="E844" i="1"/>
  <c r="H844" i="1"/>
  <c r="B845" i="1" l="1"/>
  <c r="H845" i="1"/>
  <c r="E845" i="1"/>
  <c r="F845" i="1"/>
  <c r="D845" i="1" s="1"/>
  <c r="G845" i="1" s="1"/>
  <c r="C845" i="1"/>
  <c r="B846" i="1" l="1"/>
  <c r="C846" i="1" l="1"/>
  <c r="F846" i="1"/>
  <c r="D846" i="1" s="1"/>
  <c r="G846" i="1" s="1"/>
  <c r="E846" i="1"/>
  <c r="H846" i="1"/>
  <c r="B847" i="1" s="1"/>
  <c r="F847" i="1" l="1"/>
  <c r="D847" i="1" s="1"/>
  <c r="G847" i="1" s="1"/>
  <c r="H847" i="1"/>
  <c r="C847" i="1"/>
  <c r="E847" i="1"/>
  <c r="B848" i="1" l="1"/>
  <c r="H848" i="1" s="1"/>
  <c r="F848" i="1"/>
  <c r="D848" i="1" s="1"/>
  <c r="G848" i="1" s="1"/>
  <c r="E848" i="1"/>
  <c r="B849" i="1" l="1"/>
  <c r="C848" i="1"/>
  <c r="H849" i="1"/>
  <c r="E849" i="1"/>
  <c r="C849" i="1"/>
  <c r="F849" i="1"/>
  <c r="D849" i="1" s="1"/>
  <c r="G849" i="1" s="1"/>
  <c r="B850" i="1" l="1"/>
  <c r="C850" i="1" l="1"/>
  <c r="E850" i="1"/>
  <c r="F850" i="1"/>
  <c r="D850" i="1" s="1"/>
  <c r="G850" i="1" s="1"/>
  <c r="H850" i="1"/>
  <c r="B851" i="1" s="1"/>
  <c r="F851" i="1" l="1"/>
  <c r="D851" i="1" s="1"/>
  <c r="G851" i="1" s="1"/>
  <c r="H851" i="1"/>
  <c r="C851" i="1"/>
  <c r="E851" i="1"/>
  <c r="B852" i="1" l="1"/>
  <c r="E852" i="1"/>
  <c r="F852" i="1"/>
  <c r="D852" i="1" s="1"/>
  <c r="G852" i="1" s="1"/>
  <c r="H852" i="1"/>
  <c r="B853" i="1" s="1"/>
  <c r="C852" i="1"/>
  <c r="E853" i="1" l="1"/>
  <c r="F853" i="1"/>
  <c r="D853" i="1" s="1"/>
  <c r="G853" i="1" s="1"/>
  <c r="H853" i="1"/>
  <c r="B854" i="1" s="1"/>
  <c r="C853" i="1"/>
  <c r="F854" i="1" l="1"/>
  <c r="D854" i="1" s="1"/>
  <c r="G854" i="1" s="1"/>
  <c r="H854" i="1"/>
  <c r="E854" i="1"/>
  <c r="C854" i="1"/>
  <c r="B855" i="1" l="1"/>
  <c r="E855" i="1" s="1"/>
  <c r="C855" i="1"/>
  <c r="H855" i="1"/>
  <c r="F855" i="1" l="1"/>
  <c r="D855" i="1" s="1"/>
  <c r="G855" i="1" s="1"/>
  <c r="B856" i="1"/>
  <c r="F856" i="1" l="1"/>
  <c r="D856" i="1" s="1"/>
  <c r="G856" i="1" s="1"/>
  <c r="C856" i="1"/>
  <c r="E856" i="1"/>
  <c r="H856" i="1"/>
  <c r="B857" i="1" s="1"/>
  <c r="C857" i="1" l="1"/>
  <c r="H857" i="1"/>
  <c r="F857" i="1"/>
  <c r="D857" i="1" s="1"/>
  <c r="G857" i="1" s="1"/>
  <c r="E857" i="1"/>
  <c r="B858" i="1" l="1"/>
  <c r="F858" i="1" l="1"/>
  <c r="D858" i="1" s="1"/>
  <c r="G858" i="1" s="1"/>
  <c r="C858" i="1"/>
  <c r="H858" i="1"/>
  <c r="B859" i="1" s="1"/>
  <c r="E858" i="1"/>
  <c r="H859" i="1" l="1"/>
  <c r="C859" i="1"/>
  <c r="E859" i="1"/>
  <c r="F859" i="1"/>
  <c r="D859" i="1" s="1"/>
  <c r="G859" i="1" s="1"/>
  <c r="B860" i="1" l="1"/>
  <c r="H860" i="1" l="1"/>
  <c r="F860" i="1"/>
  <c r="D860" i="1" s="1"/>
  <c r="G860" i="1" s="1"/>
  <c r="E860" i="1"/>
  <c r="C860" i="1"/>
  <c r="B861" i="1" l="1"/>
  <c r="C861" i="1" l="1"/>
  <c r="F861" i="1"/>
  <c r="D861" i="1" s="1"/>
  <c r="G861" i="1" s="1"/>
  <c r="E861" i="1"/>
  <c r="H861" i="1"/>
  <c r="B862" i="1" s="1"/>
  <c r="C862" i="1" l="1"/>
  <c r="F862" i="1"/>
  <c r="D862" i="1" s="1"/>
  <c r="G862" i="1" s="1"/>
  <c r="H862" i="1"/>
  <c r="E862" i="1"/>
  <c r="B863" i="1" l="1"/>
  <c r="H863" i="1" l="1"/>
  <c r="E863" i="1"/>
  <c r="C863" i="1"/>
  <c r="F863" i="1"/>
  <c r="D863" i="1" s="1"/>
  <c r="G863" i="1" s="1"/>
  <c r="B864" i="1" l="1"/>
  <c r="E864" i="1" l="1"/>
  <c r="F864" i="1"/>
  <c r="D864" i="1" s="1"/>
  <c r="G864" i="1" s="1"/>
  <c r="H864" i="1"/>
  <c r="C864" i="1"/>
  <c r="B865" i="1" l="1"/>
  <c r="C865" i="1" s="1"/>
  <c r="H865" i="1" l="1"/>
  <c r="F865" i="1"/>
  <c r="D865" i="1" s="1"/>
  <c r="G865" i="1" s="1"/>
  <c r="E865" i="1"/>
  <c r="B866" i="1" l="1"/>
  <c r="H866" i="1"/>
  <c r="C866" i="1"/>
  <c r="E866" i="1"/>
  <c r="F866" i="1"/>
  <c r="D866" i="1" s="1"/>
  <c r="G866" i="1" s="1"/>
  <c r="B867" i="1" l="1"/>
  <c r="C867" i="1" s="1"/>
  <c r="F867" i="1"/>
  <c r="D867" i="1" s="1"/>
  <c r="G867" i="1" s="1"/>
  <c r="E867" i="1"/>
  <c r="H867" i="1"/>
  <c r="B868" i="1" l="1"/>
  <c r="C868" i="1" s="1"/>
  <c r="H868" i="1" l="1"/>
  <c r="F868" i="1"/>
  <c r="D868" i="1" s="1"/>
  <c r="G868" i="1" s="1"/>
  <c r="E868" i="1"/>
  <c r="B869" i="1"/>
  <c r="H869" i="1" l="1"/>
  <c r="E869" i="1"/>
  <c r="C869" i="1"/>
  <c r="F869" i="1"/>
  <c r="D869" i="1" s="1"/>
  <c r="G869" i="1" s="1"/>
  <c r="B870" i="1" l="1"/>
  <c r="E870" i="1" l="1"/>
  <c r="H870" i="1"/>
  <c r="C870" i="1"/>
  <c r="F870" i="1"/>
  <c r="D870" i="1" s="1"/>
  <c r="G870" i="1" s="1"/>
  <c r="B871" i="1" l="1"/>
  <c r="E871" i="1" l="1"/>
  <c r="H871" i="1"/>
  <c r="F871" i="1"/>
  <c r="D871" i="1" s="1"/>
  <c r="G871" i="1" s="1"/>
  <c r="C871" i="1"/>
  <c r="B872" i="1" l="1"/>
  <c r="E872" i="1" l="1"/>
  <c r="F872" i="1"/>
  <c r="D872" i="1" s="1"/>
  <c r="G872" i="1" s="1"/>
  <c r="H872" i="1"/>
  <c r="B873" i="1" s="1"/>
  <c r="C872" i="1"/>
  <c r="H873" i="1" l="1"/>
  <c r="E873" i="1"/>
  <c r="F873" i="1"/>
  <c r="D873" i="1"/>
  <c r="C873" i="1"/>
  <c r="G873" i="1" l="1"/>
  <c r="B874" i="1"/>
  <c r="F874" i="1" l="1"/>
  <c r="D874" i="1" s="1"/>
  <c r="G874" i="1" s="1"/>
  <c r="H874" i="1"/>
  <c r="B875" i="1" s="1"/>
  <c r="E874" i="1"/>
  <c r="C874" i="1"/>
  <c r="H875" i="1" l="1"/>
  <c r="C875" i="1"/>
  <c r="E875" i="1"/>
  <c r="F875" i="1"/>
  <c r="D875" i="1" s="1"/>
  <c r="G875" i="1" s="1"/>
  <c r="B876" i="1" l="1"/>
  <c r="H876" i="1" l="1"/>
  <c r="F876" i="1"/>
  <c r="D876" i="1" s="1"/>
  <c r="G876" i="1" s="1"/>
  <c r="E876" i="1"/>
  <c r="C876" i="1"/>
  <c r="B877" i="1" l="1"/>
  <c r="C877" i="1" l="1"/>
  <c r="F877" i="1"/>
  <c r="D877" i="1" s="1"/>
  <c r="G877" i="1" s="1"/>
  <c r="E877" i="1"/>
  <c r="H877" i="1"/>
  <c r="B878" i="1" l="1"/>
  <c r="F878" i="1" l="1"/>
  <c r="D878" i="1" s="1"/>
  <c r="G878" i="1" s="1"/>
  <c r="H878" i="1"/>
  <c r="C878" i="1"/>
  <c r="E878" i="1"/>
  <c r="B879" i="1" l="1"/>
  <c r="E879" i="1" s="1"/>
  <c r="F879" i="1" l="1"/>
  <c r="D879" i="1" s="1"/>
  <c r="G879" i="1" s="1"/>
  <c r="C879" i="1"/>
  <c r="H879" i="1"/>
  <c r="B880" i="1" s="1"/>
  <c r="F880" i="1" l="1"/>
  <c r="D880" i="1" s="1"/>
  <c r="G880" i="1" s="1"/>
  <c r="H880" i="1"/>
  <c r="B881" i="1" s="1"/>
  <c r="E880" i="1"/>
  <c r="C880" i="1"/>
  <c r="C881" i="1" l="1"/>
  <c r="H881" i="1"/>
  <c r="E881" i="1"/>
  <c r="F881" i="1"/>
  <c r="D881" i="1" s="1"/>
  <c r="G881" i="1" s="1"/>
  <c r="B882" i="1" l="1"/>
  <c r="H882" i="1" l="1"/>
  <c r="E882" i="1"/>
  <c r="F882" i="1"/>
  <c r="D882" i="1" s="1"/>
  <c r="G882" i="1" s="1"/>
  <c r="C882" i="1"/>
  <c r="B883" i="1" l="1"/>
  <c r="F883" i="1" l="1"/>
  <c r="D883" i="1" s="1"/>
  <c r="G883" i="1" s="1"/>
  <c r="H883" i="1"/>
  <c r="E883" i="1"/>
  <c r="C883" i="1"/>
  <c r="B884" i="1" l="1"/>
  <c r="F884" i="1"/>
  <c r="D884" i="1" s="1"/>
  <c r="G884" i="1" s="1"/>
  <c r="C884" i="1"/>
  <c r="H884" i="1"/>
  <c r="B885" i="1" s="1"/>
  <c r="E884" i="1"/>
  <c r="C885" i="1" l="1"/>
  <c r="E885" i="1"/>
  <c r="F885" i="1"/>
  <c r="D885" i="1" s="1"/>
  <c r="G885" i="1" s="1"/>
  <c r="H885" i="1"/>
  <c r="B886" i="1" s="1"/>
  <c r="E886" i="1" l="1"/>
  <c r="C886" i="1"/>
  <c r="H886" i="1"/>
  <c r="F886" i="1"/>
  <c r="D886" i="1" s="1"/>
  <c r="G886" i="1" s="1"/>
  <c r="B887" i="1" l="1"/>
  <c r="H887" i="1" l="1"/>
  <c r="E887" i="1"/>
  <c r="F887" i="1"/>
  <c r="D887" i="1" s="1"/>
  <c r="G887" i="1" s="1"/>
  <c r="C887" i="1"/>
  <c r="B888" i="1" l="1"/>
  <c r="C888" i="1" l="1"/>
  <c r="F888" i="1"/>
  <c r="D888" i="1" s="1"/>
  <c r="G888" i="1" s="1"/>
  <c r="E888" i="1"/>
  <c r="H888" i="1"/>
  <c r="B889" i="1" l="1"/>
  <c r="E889" i="1" s="1"/>
  <c r="H889" i="1"/>
  <c r="F889" i="1"/>
  <c r="D889" i="1" s="1"/>
  <c r="G889" i="1" s="1"/>
  <c r="C889" i="1"/>
  <c r="B890" i="1" l="1"/>
  <c r="C890" i="1" l="1"/>
  <c r="H890" i="1"/>
  <c r="F890" i="1"/>
  <c r="D890" i="1" s="1"/>
  <c r="G890" i="1" s="1"/>
  <c r="E890" i="1"/>
  <c r="B891" i="1" l="1"/>
  <c r="H891" i="1" l="1"/>
  <c r="C891" i="1"/>
  <c r="E891" i="1"/>
  <c r="F891" i="1"/>
  <c r="D891" i="1" s="1"/>
  <c r="G891" i="1" s="1"/>
  <c r="B892" i="1" l="1"/>
  <c r="E892" i="1" s="1"/>
  <c r="C892" i="1" l="1"/>
  <c r="H892" i="1"/>
  <c r="F892" i="1"/>
  <c r="D892" i="1" s="1"/>
  <c r="G892" i="1" s="1"/>
  <c r="B893" i="1"/>
  <c r="F893" i="1" l="1"/>
  <c r="D893" i="1" s="1"/>
  <c r="G893" i="1" s="1"/>
  <c r="C893" i="1"/>
  <c r="H893" i="1"/>
  <c r="B894" i="1" s="1"/>
  <c r="E893" i="1"/>
  <c r="E894" i="1" l="1"/>
  <c r="F894" i="1"/>
  <c r="D894" i="1" s="1"/>
  <c r="G894" i="1" s="1"/>
  <c r="H894" i="1"/>
  <c r="C894" i="1"/>
  <c r="B895" i="1" l="1"/>
  <c r="C895" i="1"/>
  <c r="E895" i="1"/>
  <c r="F895" i="1"/>
  <c r="D895" i="1" s="1"/>
  <c r="G895" i="1" s="1"/>
  <c r="H895" i="1"/>
  <c r="B896" i="1" l="1"/>
  <c r="F896" i="1" l="1"/>
  <c r="D896" i="1" s="1"/>
  <c r="G896" i="1" s="1"/>
  <c r="E896" i="1"/>
  <c r="C896" i="1"/>
  <c r="H896" i="1"/>
  <c r="B897" i="1" s="1"/>
  <c r="H897" i="1" l="1"/>
  <c r="C897" i="1"/>
  <c r="F897" i="1"/>
  <c r="D897" i="1" s="1"/>
  <c r="G897" i="1" s="1"/>
  <c r="E897" i="1"/>
  <c r="B898" i="1" l="1"/>
  <c r="C898" i="1" l="1"/>
  <c r="E898" i="1"/>
  <c r="H898" i="1"/>
  <c r="F898" i="1"/>
  <c r="D898" i="1" s="1"/>
  <c r="G898" i="1" s="1"/>
  <c r="B899" i="1" l="1"/>
  <c r="C899" i="1" l="1"/>
  <c r="F899" i="1"/>
  <c r="D899" i="1" s="1"/>
  <c r="G899" i="1" s="1"/>
  <c r="H899" i="1"/>
  <c r="E899" i="1"/>
  <c r="B900" i="1" l="1"/>
  <c r="H900" i="1" l="1"/>
  <c r="C900" i="1"/>
  <c r="E900" i="1"/>
  <c r="F900" i="1"/>
  <c r="D900" i="1" s="1"/>
  <c r="G900" i="1" s="1"/>
  <c r="B901" i="1" l="1"/>
  <c r="F901" i="1" l="1"/>
  <c r="D901" i="1" s="1"/>
  <c r="G901" i="1" s="1"/>
  <c r="C901" i="1"/>
  <c r="E901" i="1"/>
  <c r="H901" i="1"/>
  <c r="B902" i="1" l="1"/>
  <c r="H902" i="1" l="1"/>
  <c r="E902" i="1"/>
  <c r="C902" i="1"/>
  <c r="F902" i="1"/>
  <c r="D902" i="1" s="1"/>
  <c r="G902" i="1" s="1"/>
  <c r="B903" i="1" l="1"/>
  <c r="C903" i="1" l="1"/>
  <c r="F903" i="1"/>
  <c r="D903" i="1" s="1"/>
  <c r="G903" i="1" s="1"/>
  <c r="E903" i="1"/>
  <c r="H903" i="1"/>
  <c r="B904" i="1" s="1"/>
  <c r="H904" i="1" l="1"/>
  <c r="F904" i="1"/>
  <c r="D904" i="1" s="1"/>
  <c r="G904" i="1" s="1"/>
  <c r="C904" i="1"/>
  <c r="E904" i="1"/>
  <c r="B905" i="1" l="1"/>
  <c r="C905" i="1" l="1"/>
  <c r="E905" i="1"/>
  <c r="F905" i="1"/>
  <c r="D905" i="1" s="1"/>
  <c r="G905" i="1" s="1"/>
  <c r="H905" i="1"/>
  <c r="B906" i="1" l="1"/>
  <c r="E906" i="1" s="1"/>
  <c r="H906" i="1" l="1"/>
  <c r="F906" i="1"/>
  <c r="D906" i="1" s="1"/>
  <c r="G906" i="1" s="1"/>
  <c r="C906" i="1"/>
  <c r="B907" i="1" l="1"/>
  <c r="E907" i="1" l="1"/>
  <c r="H907" i="1"/>
  <c r="F907" i="1"/>
  <c r="D907" i="1" s="1"/>
  <c r="G907" i="1" s="1"/>
  <c r="C907" i="1"/>
  <c r="B908" i="1" l="1"/>
  <c r="E908" i="1"/>
  <c r="H908" i="1"/>
  <c r="F908" i="1"/>
  <c r="D908" i="1" s="1"/>
  <c r="G908" i="1" s="1"/>
  <c r="C908" i="1"/>
  <c r="B909" i="1" l="1"/>
  <c r="H909" i="1" l="1"/>
  <c r="F909" i="1"/>
  <c r="D909" i="1" s="1"/>
  <c r="G909" i="1" s="1"/>
  <c r="E909" i="1"/>
  <c r="C909" i="1"/>
  <c r="B910" i="1" l="1"/>
  <c r="E910" i="1" l="1"/>
  <c r="F910" i="1"/>
  <c r="D910" i="1" s="1"/>
  <c r="G910" i="1" s="1"/>
  <c r="H910" i="1"/>
  <c r="B911" i="1" s="1"/>
  <c r="C910" i="1"/>
  <c r="H911" i="1" l="1"/>
  <c r="F911" i="1"/>
  <c r="D911" i="1" s="1"/>
  <c r="G911" i="1" s="1"/>
  <c r="E911" i="1"/>
  <c r="C911" i="1"/>
  <c r="B912" i="1" l="1"/>
  <c r="E912" i="1" l="1"/>
  <c r="F912" i="1"/>
  <c r="D912" i="1" s="1"/>
  <c r="G912" i="1" s="1"/>
  <c r="H912" i="1"/>
  <c r="B913" i="1" s="1"/>
  <c r="C912" i="1"/>
  <c r="C913" i="1" l="1"/>
  <c r="E913" i="1"/>
  <c r="F913" i="1"/>
  <c r="D913" i="1" s="1"/>
  <c r="G913" i="1" s="1"/>
  <c r="H913" i="1"/>
  <c r="B914" i="1" s="1"/>
  <c r="E914" i="1" l="1"/>
  <c r="F914" i="1"/>
  <c r="D914" i="1" s="1"/>
  <c r="G914" i="1" s="1"/>
  <c r="C914" i="1"/>
  <c r="H914" i="1"/>
  <c r="B915" i="1" s="1"/>
  <c r="H915" i="1" l="1"/>
  <c r="E915" i="1"/>
  <c r="F915" i="1"/>
  <c r="D915" i="1" s="1"/>
  <c r="G915" i="1" s="1"/>
  <c r="C915" i="1"/>
  <c r="B916" i="1" l="1"/>
  <c r="E916" i="1" l="1"/>
  <c r="C916" i="1"/>
  <c r="H916" i="1"/>
  <c r="F916" i="1"/>
  <c r="D916" i="1" s="1"/>
  <c r="G916" i="1" s="1"/>
  <c r="B917" i="1" l="1"/>
  <c r="F917" i="1" l="1"/>
  <c r="D917" i="1" s="1"/>
  <c r="G917" i="1" s="1"/>
  <c r="H917" i="1"/>
  <c r="B918" i="1" s="1"/>
  <c r="C917" i="1"/>
  <c r="E917" i="1"/>
  <c r="H918" i="1" l="1"/>
  <c r="F918" i="1"/>
  <c r="D918" i="1" s="1"/>
  <c r="G918" i="1" s="1"/>
  <c r="C918" i="1"/>
  <c r="E918" i="1"/>
  <c r="B919" i="1" l="1"/>
  <c r="E919" i="1" l="1"/>
  <c r="C919" i="1"/>
  <c r="H919" i="1"/>
  <c r="F919" i="1"/>
  <c r="D919" i="1" s="1"/>
  <c r="G919" i="1" s="1"/>
  <c r="B920" i="1" l="1"/>
  <c r="H920" i="1" l="1"/>
  <c r="C920" i="1"/>
  <c r="F920" i="1"/>
  <c r="D920" i="1" s="1"/>
  <c r="G920" i="1" s="1"/>
  <c r="E920" i="1"/>
  <c r="B921" i="1" l="1"/>
  <c r="E921" i="1" l="1"/>
  <c r="H921" i="1"/>
  <c r="F921" i="1"/>
  <c r="D921" i="1" s="1"/>
  <c r="G921" i="1" s="1"/>
  <c r="C921" i="1"/>
  <c r="B922" i="1" l="1"/>
  <c r="H922" i="1" l="1"/>
  <c r="E922" i="1"/>
  <c r="C922" i="1"/>
  <c r="F922" i="1"/>
  <c r="D922" i="1" s="1"/>
  <c r="G922" i="1" s="1"/>
  <c r="B923" i="1" l="1"/>
  <c r="C923" i="1" l="1"/>
  <c r="E923" i="1"/>
  <c r="H923" i="1"/>
  <c r="F923" i="1"/>
  <c r="D923" i="1" s="1"/>
  <c r="G923" i="1" s="1"/>
  <c r="B924" i="1" l="1"/>
  <c r="C924" i="1" l="1"/>
  <c r="F924" i="1"/>
  <c r="D924" i="1" s="1"/>
  <c r="G924" i="1" s="1"/>
  <c r="E924" i="1"/>
  <c r="H924" i="1"/>
  <c r="B925" i="1" s="1"/>
  <c r="C925" i="1" l="1"/>
  <c r="E925" i="1"/>
  <c r="F925" i="1"/>
  <c r="D925" i="1" s="1"/>
  <c r="G925" i="1" s="1"/>
  <c r="H925" i="1"/>
  <c r="B926" i="1" s="1"/>
  <c r="C926" i="1" l="1"/>
  <c r="E926" i="1"/>
  <c r="F926" i="1"/>
  <c r="D926" i="1" s="1"/>
  <c r="G926" i="1" s="1"/>
  <c r="H926" i="1"/>
  <c r="B927" i="1" s="1"/>
  <c r="F927" i="1" l="1"/>
  <c r="D927" i="1" s="1"/>
  <c r="G927" i="1" s="1"/>
  <c r="E927" i="1"/>
  <c r="C927" i="1"/>
  <c r="H927" i="1"/>
  <c r="B928" i="1" l="1"/>
  <c r="E928" i="1"/>
  <c r="C928" i="1"/>
  <c r="H928" i="1"/>
  <c r="F928" i="1"/>
  <c r="D928" i="1" s="1"/>
  <c r="G928" i="1" s="1"/>
  <c r="B929" i="1" l="1"/>
  <c r="C929" i="1" l="1"/>
  <c r="F929" i="1"/>
  <c r="D929" i="1" s="1"/>
  <c r="G929" i="1" s="1"/>
  <c r="E929" i="1"/>
  <c r="H929" i="1"/>
  <c r="B930" i="1" s="1"/>
  <c r="F930" i="1" l="1"/>
  <c r="D930" i="1" s="1"/>
  <c r="G930" i="1" s="1"/>
  <c r="H930" i="1"/>
  <c r="E930" i="1"/>
  <c r="C930" i="1"/>
  <c r="B931" i="1" l="1"/>
  <c r="C931" i="1" l="1"/>
  <c r="F931" i="1"/>
  <c r="D931" i="1" s="1"/>
  <c r="G931" i="1" s="1"/>
  <c r="H931" i="1"/>
  <c r="B932" i="1" s="1"/>
  <c r="E931" i="1"/>
  <c r="F932" i="1" l="1"/>
  <c r="D932" i="1" s="1"/>
  <c r="G932" i="1" s="1"/>
  <c r="H932" i="1"/>
  <c r="B933" i="1" s="1"/>
  <c r="E932" i="1"/>
  <c r="C932" i="1"/>
  <c r="C933" i="1" l="1"/>
  <c r="F933" i="1"/>
  <c r="D933" i="1" s="1"/>
  <c r="G933" i="1" s="1"/>
  <c r="E933" i="1"/>
  <c r="H933" i="1"/>
  <c r="B934" i="1" s="1"/>
  <c r="E934" i="1" l="1"/>
  <c r="C934" i="1"/>
  <c r="F934" i="1"/>
  <c r="D934" i="1" s="1"/>
  <c r="G934" i="1" s="1"/>
  <c r="H934" i="1"/>
  <c r="B935" i="1" s="1"/>
  <c r="C935" i="1" s="1"/>
  <c r="E935" i="1" l="1"/>
  <c r="H935" i="1"/>
  <c r="F935" i="1"/>
  <c r="D935" i="1" s="1"/>
  <c r="G935" i="1" s="1"/>
  <c r="B936" i="1"/>
  <c r="F936" i="1" l="1"/>
  <c r="D936" i="1" s="1"/>
  <c r="G936" i="1" s="1"/>
  <c r="E936" i="1"/>
  <c r="H936" i="1"/>
  <c r="B937" i="1" s="1"/>
  <c r="C936" i="1"/>
  <c r="F937" i="1" l="1"/>
  <c r="D937" i="1" s="1"/>
  <c r="G937" i="1" s="1"/>
  <c r="E937" i="1"/>
  <c r="C937" i="1"/>
  <c r="H937" i="1"/>
  <c r="B938" i="1" l="1"/>
  <c r="E938" i="1"/>
  <c r="C938" i="1"/>
  <c r="F938" i="1"/>
  <c r="D938" i="1" s="1"/>
  <c r="G938" i="1" s="1"/>
  <c r="H938" i="1"/>
  <c r="B939" i="1" s="1"/>
  <c r="C939" i="1" l="1"/>
  <c r="H939" i="1"/>
  <c r="E939" i="1"/>
  <c r="F939" i="1"/>
  <c r="D939" i="1" s="1"/>
  <c r="G939" i="1" s="1"/>
  <c r="B940" i="1" l="1"/>
  <c r="F940" i="1" l="1"/>
  <c r="D940" i="1" s="1"/>
  <c r="G940" i="1" s="1"/>
  <c r="H940" i="1"/>
  <c r="C940" i="1"/>
  <c r="E940" i="1"/>
  <c r="B941" i="1" l="1"/>
  <c r="C941" i="1"/>
  <c r="H941" i="1"/>
  <c r="F941" i="1"/>
  <c r="D941" i="1" s="1"/>
  <c r="G941" i="1" s="1"/>
  <c r="E941" i="1"/>
  <c r="B942" i="1" l="1"/>
  <c r="F942" i="1" l="1"/>
  <c r="D942" i="1" s="1"/>
  <c r="G942" i="1" s="1"/>
  <c r="H942" i="1"/>
  <c r="B943" i="1" s="1"/>
  <c r="C942" i="1"/>
  <c r="E942" i="1"/>
  <c r="E943" i="1" l="1"/>
  <c r="H943" i="1"/>
  <c r="C943" i="1"/>
  <c r="F943" i="1"/>
  <c r="D943" i="1" s="1"/>
  <c r="G943" i="1" s="1"/>
  <c r="B944" i="1" l="1"/>
  <c r="F944" i="1" l="1"/>
  <c r="D944" i="1" s="1"/>
  <c r="G944" i="1" s="1"/>
  <c r="H944" i="1"/>
  <c r="C944" i="1"/>
  <c r="E944" i="1"/>
  <c r="B945" i="1" l="1"/>
  <c r="C945" i="1" l="1"/>
  <c r="F945" i="1"/>
  <c r="D945" i="1" s="1"/>
  <c r="G945" i="1" s="1"/>
  <c r="E945" i="1"/>
  <c r="H945" i="1"/>
  <c r="B946" i="1" s="1"/>
  <c r="E946" i="1" l="1"/>
  <c r="C946" i="1"/>
  <c r="F946" i="1"/>
  <c r="D946" i="1" s="1"/>
  <c r="G946" i="1" s="1"/>
  <c r="H946" i="1"/>
  <c r="B947" i="1" s="1"/>
  <c r="E947" i="1" l="1"/>
  <c r="H947" i="1"/>
  <c r="C947" i="1"/>
  <c r="F947" i="1"/>
  <c r="D947" i="1" s="1"/>
  <c r="G947" i="1" s="1"/>
  <c r="B948" i="1" l="1"/>
  <c r="C948" i="1" l="1"/>
  <c r="F948" i="1"/>
  <c r="D948" i="1" s="1"/>
  <c r="G948" i="1" s="1"/>
  <c r="H948" i="1"/>
  <c r="B949" i="1" s="1"/>
  <c r="E948" i="1"/>
  <c r="F949" i="1" l="1"/>
  <c r="D949" i="1" s="1"/>
  <c r="G949" i="1" s="1"/>
  <c r="C949" i="1"/>
  <c r="E949" i="1"/>
  <c r="H949" i="1"/>
  <c r="B950" i="1" l="1"/>
  <c r="E950" i="1" s="1"/>
  <c r="F950" i="1" l="1"/>
  <c r="D950" i="1" s="1"/>
  <c r="G950" i="1" s="1"/>
  <c r="C950" i="1"/>
  <c r="H950" i="1"/>
  <c r="B951" i="1" s="1"/>
  <c r="H951" i="1" s="1"/>
  <c r="F951" i="1"/>
  <c r="D951" i="1" s="1"/>
  <c r="G951" i="1" s="1"/>
  <c r="C951" i="1" l="1"/>
  <c r="B952" i="1"/>
  <c r="H952" i="1" s="1"/>
  <c r="E951" i="1"/>
  <c r="E952" i="1" l="1"/>
  <c r="F952" i="1"/>
  <c r="D952" i="1" s="1"/>
  <c r="G952" i="1" s="1"/>
  <c r="C952" i="1"/>
  <c r="B953" i="1"/>
  <c r="E953" i="1" l="1"/>
  <c r="C953" i="1"/>
  <c r="F953" i="1"/>
  <c r="D953" i="1" s="1"/>
  <c r="G953" i="1" s="1"/>
  <c r="H953" i="1"/>
  <c r="B954" i="1" s="1"/>
  <c r="C954" i="1" l="1"/>
  <c r="E954" i="1"/>
  <c r="F954" i="1"/>
  <c r="D954" i="1" s="1"/>
  <c r="G954" i="1" s="1"/>
  <c r="H954" i="1"/>
  <c r="B955" i="1" s="1"/>
  <c r="H955" i="1" l="1"/>
  <c r="E955" i="1"/>
  <c r="F955" i="1"/>
  <c r="D955" i="1" s="1"/>
  <c r="G955" i="1" s="1"/>
  <c r="C955" i="1"/>
  <c r="B956" i="1" l="1"/>
  <c r="H956" i="1" l="1"/>
  <c r="F956" i="1"/>
  <c r="D956" i="1" s="1"/>
  <c r="G956" i="1" s="1"/>
  <c r="E956" i="1"/>
  <c r="C956" i="1"/>
  <c r="B957" i="1" l="1"/>
  <c r="C957" i="1" l="1"/>
  <c r="E957" i="1"/>
  <c r="F957" i="1"/>
  <c r="D957" i="1" s="1"/>
  <c r="G957" i="1" s="1"/>
  <c r="H957" i="1"/>
  <c r="B958" i="1" s="1"/>
  <c r="F958" i="1" l="1"/>
  <c r="D958" i="1" s="1"/>
  <c r="G958" i="1" s="1"/>
  <c r="H958" i="1"/>
  <c r="C958" i="1"/>
  <c r="E958" i="1"/>
  <c r="B959" i="1" l="1"/>
  <c r="C959" i="1" l="1"/>
  <c r="F959" i="1"/>
  <c r="D959" i="1" s="1"/>
  <c r="G959" i="1" s="1"/>
  <c r="H959" i="1"/>
  <c r="E959" i="1"/>
  <c r="B960" i="1" l="1"/>
  <c r="C960" i="1" l="1"/>
  <c r="H960" i="1"/>
  <c r="E960" i="1"/>
  <c r="F960" i="1"/>
  <c r="D960" i="1" s="1"/>
  <c r="G960" i="1" s="1"/>
  <c r="B961" i="1" l="1"/>
  <c r="E961" i="1" l="1"/>
  <c r="C961" i="1"/>
  <c r="H961" i="1"/>
  <c r="F961" i="1"/>
  <c r="D961" i="1" s="1"/>
  <c r="G961" i="1" s="1"/>
  <c r="B962" i="1" l="1"/>
  <c r="H962" i="1" l="1"/>
  <c r="F962" i="1"/>
  <c r="D962" i="1" s="1"/>
  <c r="G962" i="1" s="1"/>
  <c r="E962" i="1"/>
  <c r="C962" i="1"/>
  <c r="B963" i="1" l="1"/>
  <c r="F963" i="1" l="1"/>
  <c r="D963" i="1" s="1"/>
  <c r="G963" i="1" s="1"/>
  <c r="H963" i="1"/>
  <c r="B964" i="1" s="1"/>
  <c r="E963" i="1"/>
  <c r="C963" i="1"/>
  <c r="F964" i="1" l="1"/>
  <c r="D964" i="1" s="1"/>
  <c r="G964" i="1" s="1"/>
  <c r="C964" i="1"/>
  <c r="E964" i="1"/>
  <c r="H964" i="1"/>
  <c r="B965" i="1" l="1"/>
  <c r="F965" i="1" l="1"/>
  <c r="D965" i="1" s="1"/>
  <c r="G965" i="1" s="1"/>
  <c r="H965" i="1"/>
  <c r="C965" i="1"/>
  <c r="E965" i="1"/>
  <c r="B966" i="1" l="1"/>
  <c r="C966" i="1" s="1"/>
  <c r="E966" i="1"/>
  <c r="H966" i="1" l="1"/>
  <c r="B967" i="1" s="1"/>
  <c r="F966" i="1"/>
  <c r="D966" i="1" s="1"/>
  <c r="G966" i="1" s="1"/>
  <c r="H967" i="1" l="1"/>
  <c r="F967" i="1"/>
  <c r="D967" i="1" s="1"/>
  <c r="G967" i="1" s="1"/>
  <c r="E967" i="1"/>
  <c r="C967" i="1"/>
  <c r="B968" i="1" l="1"/>
  <c r="C968" i="1" l="1"/>
  <c r="F968" i="1"/>
  <c r="D968" i="1" s="1"/>
  <c r="G968" i="1" s="1"/>
  <c r="H968" i="1"/>
  <c r="E968" i="1"/>
  <c r="B969" i="1" l="1"/>
  <c r="F969" i="1" l="1"/>
  <c r="D969" i="1" s="1"/>
  <c r="G969" i="1" s="1"/>
  <c r="H969" i="1"/>
  <c r="C969" i="1"/>
  <c r="E969" i="1"/>
  <c r="B970" i="1" l="1"/>
  <c r="C970" i="1"/>
  <c r="E970" i="1"/>
  <c r="F970" i="1"/>
  <c r="D970" i="1" s="1"/>
  <c r="G970" i="1" s="1"/>
  <c r="H970" i="1"/>
  <c r="B971" i="1" l="1"/>
  <c r="C971" i="1"/>
  <c r="E971" i="1"/>
  <c r="F971" i="1"/>
  <c r="D971" i="1" s="1"/>
  <c r="G971" i="1" s="1"/>
  <c r="H971" i="1"/>
  <c r="B972" i="1" l="1"/>
  <c r="H972" i="1" l="1"/>
  <c r="C972" i="1"/>
  <c r="F972" i="1"/>
  <c r="D972" i="1" s="1"/>
  <c r="G972" i="1" s="1"/>
  <c r="E972" i="1"/>
  <c r="B973" i="1" l="1"/>
  <c r="F973" i="1" l="1"/>
  <c r="D973" i="1" s="1"/>
  <c r="G973" i="1" s="1"/>
  <c r="H973" i="1"/>
  <c r="B974" i="1" s="1"/>
  <c r="C973" i="1"/>
  <c r="E973" i="1"/>
  <c r="E974" i="1" l="1"/>
  <c r="F974" i="1"/>
  <c r="D974" i="1" s="1"/>
  <c r="G974" i="1" s="1"/>
  <c r="H974" i="1"/>
  <c r="B975" i="1" s="1"/>
  <c r="C974" i="1"/>
  <c r="E975" i="1" l="1"/>
  <c r="C975" i="1"/>
  <c r="H975" i="1"/>
  <c r="F975" i="1"/>
  <c r="D975" i="1" s="1"/>
  <c r="G975" i="1" s="1"/>
  <c r="B976" i="1" l="1"/>
  <c r="C976" i="1" l="1"/>
  <c r="E976" i="1"/>
  <c r="H976" i="1"/>
  <c r="F976" i="1"/>
  <c r="D976" i="1" s="1"/>
  <c r="G976" i="1" s="1"/>
  <c r="B977" i="1" l="1"/>
  <c r="F977" i="1" l="1"/>
  <c r="D977" i="1" s="1"/>
  <c r="G977" i="1" s="1"/>
  <c r="H977" i="1"/>
  <c r="B978" i="1" s="1"/>
  <c r="C977" i="1"/>
  <c r="E977" i="1"/>
  <c r="C978" i="1" l="1"/>
  <c r="F978" i="1"/>
  <c r="D978" i="1" s="1"/>
  <c r="G978" i="1" s="1"/>
  <c r="H978" i="1"/>
  <c r="B979" i="1" s="1"/>
  <c r="E978" i="1"/>
  <c r="H979" i="1" l="1"/>
  <c r="F979" i="1"/>
  <c r="D979" i="1" s="1"/>
  <c r="G979" i="1" s="1"/>
  <c r="E979" i="1"/>
  <c r="C979" i="1"/>
  <c r="B980" i="1" l="1"/>
  <c r="C980" i="1" l="1"/>
  <c r="F980" i="1"/>
  <c r="D980" i="1" s="1"/>
  <c r="G980" i="1" s="1"/>
  <c r="H980" i="1"/>
  <c r="B981" i="1" s="1"/>
  <c r="E980" i="1"/>
  <c r="E981" i="1" l="1"/>
  <c r="C981" i="1"/>
  <c r="H981" i="1"/>
  <c r="F981" i="1"/>
  <c r="D981" i="1" s="1"/>
  <c r="G981" i="1" s="1"/>
  <c r="B982" i="1" l="1"/>
  <c r="C982" i="1" l="1"/>
  <c r="F982" i="1"/>
  <c r="D982" i="1" s="1"/>
  <c r="G982" i="1" s="1"/>
  <c r="E982" i="1"/>
  <c r="H982" i="1"/>
  <c r="B983" i="1" s="1"/>
  <c r="E983" i="1" l="1"/>
  <c r="H983" i="1"/>
  <c r="F983" i="1"/>
  <c r="D983" i="1" s="1"/>
  <c r="G983" i="1" s="1"/>
  <c r="C983" i="1"/>
  <c r="B984" i="1" l="1"/>
  <c r="E984" i="1" l="1"/>
  <c r="C984" i="1"/>
  <c r="H984" i="1"/>
  <c r="F984" i="1"/>
  <c r="D984" i="1" s="1"/>
  <c r="G984" i="1" s="1"/>
  <c r="B985" i="1" l="1"/>
  <c r="E985" i="1" l="1"/>
  <c r="F985" i="1"/>
  <c r="D985" i="1" s="1"/>
  <c r="G985" i="1" s="1"/>
  <c r="C985" i="1"/>
  <c r="H985" i="1"/>
  <c r="B986" i="1" s="1"/>
  <c r="H986" i="1" l="1"/>
  <c r="C986" i="1"/>
  <c r="E986" i="1"/>
  <c r="F986" i="1"/>
  <c r="D986" i="1" s="1"/>
  <c r="G986" i="1" s="1"/>
  <c r="B987" i="1" l="1"/>
  <c r="H987" i="1" l="1"/>
  <c r="E987" i="1"/>
  <c r="C987" i="1"/>
  <c r="F987" i="1"/>
  <c r="D987" i="1" s="1"/>
  <c r="G987" i="1" s="1"/>
  <c r="B988" i="1" l="1"/>
  <c r="C988" i="1" l="1"/>
  <c r="F988" i="1"/>
  <c r="D988" i="1" s="1"/>
  <c r="G988" i="1" s="1"/>
  <c r="H988" i="1"/>
  <c r="B989" i="1" s="1"/>
  <c r="E988" i="1"/>
  <c r="F989" i="1" l="1"/>
  <c r="D989" i="1" s="1"/>
  <c r="G989" i="1" s="1"/>
  <c r="H989" i="1"/>
  <c r="B990" i="1" s="1"/>
  <c r="C989" i="1"/>
  <c r="E989" i="1"/>
  <c r="H990" i="1" l="1"/>
  <c r="F990" i="1"/>
  <c r="D990" i="1" s="1"/>
  <c r="G990" i="1" s="1"/>
  <c r="E990" i="1"/>
  <c r="C990" i="1"/>
  <c r="B991" i="1" l="1"/>
  <c r="F991" i="1" l="1"/>
  <c r="D991" i="1" s="1"/>
  <c r="G991" i="1" s="1"/>
  <c r="C991" i="1"/>
  <c r="H991" i="1"/>
  <c r="E991" i="1"/>
  <c r="B992" i="1" l="1"/>
  <c r="E992" i="1"/>
  <c r="C992" i="1"/>
  <c r="F992" i="1"/>
  <c r="D992" i="1" s="1"/>
  <c r="G992" i="1" s="1"/>
  <c r="H992" i="1"/>
  <c r="B993" i="1" s="1"/>
  <c r="F993" i="1" l="1"/>
  <c r="D993" i="1" s="1"/>
  <c r="G993" i="1" s="1"/>
  <c r="E993" i="1"/>
  <c r="H993" i="1"/>
  <c r="C993" i="1"/>
  <c r="B994" i="1" l="1"/>
  <c r="C994" i="1" s="1"/>
  <c r="F994" i="1"/>
  <c r="D994" i="1" s="1"/>
  <c r="G994" i="1" s="1"/>
  <c r="E994" i="1"/>
  <c r="H994" i="1" l="1"/>
  <c r="B995" i="1" s="1"/>
  <c r="F995" i="1" l="1"/>
  <c r="D995" i="1" s="1"/>
  <c r="G995" i="1" s="1"/>
  <c r="H995" i="1"/>
  <c r="B996" i="1" s="1"/>
  <c r="C995" i="1"/>
  <c r="E995" i="1"/>
  <c r="E996" i="1" l="1"/>
  <c r="H996" i="1"/>
  <c r="F996" i="1"/>
  <c r="D996" i="1" s="1"/>
  <c r="G996" i="1" s="1"/>
  <c r="C996" i="1"/>
  <c r="B997" i="1" l="1"/>
  <c r="C997" i="1" l="1"/>
  <c r="E997" i="1"/>
  <c r="H997" i="1"/>
  <c r="F997" i="1"/>
  <c r="D997" i="1" s="1"/>
  <c r="G997" i="1" s="1"/>
  <c r="B998" i="1" l="1"/>
  <c r="F998" i="1" l="1"/>
  <c r="D998" i="1" s="1"/>
  <c r="G998" i="1" s="1"/>
  <c r="E998" i="1"/>
  <c r="H998" i="1"/>
  <c r="B999" i="1" s="1"/>
  <c r="C998" i="1"/>
  <c r="E999" i="1" l="1"/>
  <c r="C999" i="1"/>
  <c r="H999" i="1"/>
  <c r="F999" i="1"/>
  <c r="D999" i="1" s="1"/>
  <c r="G999" i="1" s="1"/>
  <c r="B1000" i="1" l="1"/>
  <c r="F1000" i="1" l="1"/>
  <c r="D1000" i="1" s="1"/>
  <c r="G1000" i="1" s="1"/>
  <c r="C1000" i="1"/>
  <c r="E1000" i="1"/>
  <c r="H1000" i="1"/>
  <c r="B1001" i="1" s="1"/>
  <c r="H1001" i="1" l="1"/>
  <c r="E1001" i="1"/>
  <c r="C1001" i="1"/>
  <c r="F1001" i="1"/>
  <c r="D1001" i="1" s="1"/>
  <c r="G1001" i="1" s="1"/>
  <c r="B1002" i="1" l="1"/>
  <c r="C1002" i="1" l="1"/>
  <c r="F1002" i="1"/>
  <c r="D1002" i="1" s="1"/>
  <c r="G1002" i="1" s="1"/>
  <c r="E1002" i="1"/>
  <c r="H1002" i="1"/>
  <c r="B1003" i="1" s="1"/>
  <c r="H1003" i="1" l="1"/>
  <c r="C1003" i="1"/>
  <c r="E1003" i="1"/>
  <c r="F1003" i="1"/>
  <c r="D1003" i="1" s="1"/>
  <c r="G1003" i="1" s="1"/>
  <c r="B1004" i="1" l="1"/>
  <c r="H1004" i="1" l="1"/>
  <c r="E1004" i="1"/>
  <c r="C1004" i="1"/>
  <c r="F1004" i="1"/>
  <c r="D1004" i="1" s="1"/>
  <c r="G1004" i="1" s="1"/>
  <c r="B1005" i="1" l="1"/>
  <c r="F1005" i="1" l="1"/>
  <c r="D1005" i="1" s="1"/>
  <c r="G1005" i="1" s="1"/>
  <c r="C1005" i="1"/>
  <c r="E1005" i="1"/>
  <c r="H1005" i="1"/>
  <c r="B1006" i="1" l="1"/>
  <c r="E1006" i="1" s="1"/>
  <c r="H1006" i="1"/>
  <c r="F1006" i="1" l="1"/>
  <c r="D1006" i="1" s="1"/>
  <c r="G1006" i="1" s="1"/>
  <c r="C1006" i="1"/>
  <c r="B1007" i="1" l="1"/>
  <c r="F1007" i="1" l="1"/>
  <c r="D1007" i="1" s="1"/>
  <c r="G1007" i="1" s="1"/>
  <c r="H1007" i="1"/>
  <c r="B1008" i="1" s="1"/>
  <c r="C1007" i="1"/>
  <c r="E1007" i="1"/>
  <c r="C1008" i="1"/>
  <c r="F1008" i="1"/>
  <c r="D1008" i="1" s="1"/>
  <c r="G1008" i="1" s="1"/>
  <c r="H1008" i="1"/>
  <c r="B1009" i="1" s="1"/>
  <c r="E1008" i="1"/>
  <c r="F1009" i="1" l="1"/>
  <c r="D1009" i="1" s="1"/>
  <c r="G1009" i="1" s="1"/>
  <c r="E1009" i="1"/>
  <c r="H1009" i="1"/>
  <c r="B1010" i="1" s="1"/>
  <c r="C1009" i="1"/>
  <c r="F1010" i="1" l="1"/>
  <c r="D1010" i="1" s="1"/>
  <c r="G1010" i="1" s="1"/>
  <c r="E1010" i="1"/>
  <c r="C1010" i="1"/>
  <c r="H1010" i="1"/>
  <c r="B1011" i="1" s="1"/>
  <c r="C1011" i="1" l="1"/>
  <c r="H1011" i="1"/>
  <c r="E1011" i="1"/>
  <c r="F1011" i="1"/>
  <c r="D1011" i="1" s="1"/>
  <c r="G1011" i="1" s="1"/>
  <c r="B1012" i="1" l="1"/>
  <c r="H1012" i="1" l="1"/>
  <c r="E1012" i="1"/>
  <c r="C1012" i="1"/>
  <c r="F1012" i="1"/>
  <c r="D1012" i="1" s="1"/>
  <c r="G1012" i="1" s="1"/>
  <c r="B1013" i="1" l="1"/>
  <c r="E1013" i="1" l="1"/>
  <c r="C1013" i="1"/>
  <c r="F1013" i="1"/>
  <c r="D1013" i="1" s="1"/>
  <c r="G1013" i="1" s="1"/>
  <c r="H1013" i="1"/>
  <c r="B1014" i="1" s="1"/>
  <c r="E1014" i="1" l="1"/>
  <c r="H1014" i="1"/>
  <c r="C1014" i="1"/>
  <c r="F1014" i="1"/>
  <c r="D1014" i="1" s="1"/>
  <c r="G1014" i="1" s="1"/>
  <c r="B1015" i="1" l="1"/>
  <c r="H1015" i="1" l="1"/>
  <c r="C1015" i="1"/>
  <c r="E1015" i="1"/>
  <c r="F1015" i="1"/>
  <c r="D1015" i="1" s="1"/>
  <c r="G1015" i="1" s="1"/>
  <c r="B1016" i="1" l="1"/>
  <c r="C1016" i="1" l="1"/>
  <c r="E1016" i="1"/>
  <c r="F1016" i="1"/>
  <c r="D1016" i="1" s="1"/>
  <c r="G1016" i="1" s="1"/>
  <c r="H1016" i="1"/>
  <c r="B1017" i="1" l="1"/>
  <c r="C1017" i="1" s="1"/>
  <c r="E1017" i="1"/>
  <c r="H1017" i="1"/>
  <c r="F1017" i="1" l="1"/>
  <c r="D1017" i="1" s="1"/>
  <c r="G1017" i="1" s="1"/>
  <c r="B1018" i="1" l="1"/>
  <c r="H1018" i="1" l="1"/>
  <c r="F1018" i="1"/>
  <c r="D1018" i="1" s="1"/>
  <c r="G1018" i="1" s="1"/>
  <c r="E1018" i="1"/>
  <c r="C1018" i="1"/>
  <c r="B1019" i="1" l="1"/>
  <c r="F1019" i="1" l="1"/>
  <c r="D1019" i="1" s="1"/>
  <c r="G1019" i="1" s="1"/>
  <c r="E1019" i="1"/>
  <c r="C1019" i="1"/>
  <c r="H1019" i="1"/>
  <c r="B1020" i="1" s="1"/>
  <c r="F1020" i="1" l="1"/>
  <c r="D1020" i="1" s="1"/>
  <c r="G1020" i="1" s="1"/>
  <c r="E1020" i="1"/>
  <c r="H1020" i="1"/>
  <c r="B1021" i="1" s="1"/>
  <c r="C1020" i="1"/>
  <c r="H1021" i="1"/>
  <c r="C1021" i="1"/>
  <c r="E1021" i="1"/>
  <c r="F1021" i="1"/>
  <c r="D1021" i="1" s="1"/>
  <c r="G1021" i="1" s="1"/>
  <c r="B1022" i="1" l="1"/>
  <c r="E1022" i="1" l="1"/>
  <c r="H1022" i="1"/>
  <c r="C1022" i="1"/>
  <c r="F1022" i="1"/>
  <c r="D1022" i="1" s="1"/>
  <c r="G1022" i="1" s="1"/>
  <c r="B1023" i="1" l="1"/>
  <c r="C1023" i="1"/>
  <c r="F1023" i="1"/>
  <c r="D1023" i="1" s="1"/>
  <c r="G1023" i="1" s="1"/>
  <c r="H1023" i="1"/>
  <c r="E1023" i="1"/>
  <c r="B1024" i="1" l="1"/>
  <c r="C1024" i="1" s="1"/>
  <c r="F1024" i="1"/>
  <c r="D1024" i="1" s="1"/>
  <c r="G1024" i="1" s="1"/>
  <c r="E1024" i="1"/>
  <c r="H1024" i="1" l="1"/>
  <c r="B1025" i="1"/>
  <c r="H1025" i="1" l="1"/>
  <c r="C1025" i="1"/>
  <c r="E1025" i="1"/>
  <c r="F1025" i="1"/>
  <c r="D1025" i="1" s="1"/>
  <c r="G1025" i="1" s="1"/>
  <c r="B1026" i="1" l="1"/>
  <c r="H1026" i="1" l="1"/>
  <c r="F1026" i="1"/>
  <c r="D1026" i="1" s="1"/>
  <c r="G1026" i="1" s="1"/>
  <c r="C1026" i="1"/>
  <c r="E1026" i="1"/>
  <c r="B1027" i="1" l="1"/>
  <c r="C1027" i="1" l="1"/>
  <c r="E1027" i="1"/>
  <c r="H1027" i="1"/>
  <c r="F1027" i="1"/>
  <c r="D1027" i="1" s="1"/>
  <c r="G1027" i="1" s="1"/>
  <c r="B1028" i="1" l="1"/>
  <c r="H1028" i="1" l="1"/>
  <c r="C1028" i="1"/>
  <c r="E1028" i="1"/>
  <c r="F1028" i="1"/>
  <c r="D1028" i="1" s="1"/>
  <c r="G1028" i="1" s="1"/>
  <c r="B1029" i="1" l="1"/>
  <c r="H1029" i="1" l="1"/>
  <c r="C1029" i="1"/>
  <c r="E1029" i="1"/>
  <c r="F1029" i="1"/>
  <c r="D1029" i="1" s="1"/>
  <c r="G1029" i="1" s="1"/>
  <c r="B1030" i="1" l="1"/>
  <c r="E1030" i="1" l="1"/>
  <c r="F1030" i="1"/>
  <c r="D1030" i="1" s="1"/>
  <c r="G1030" i="1" s="1"/>
  <c r="C1030" i="1"/>
  <c r="H1030" i="1"/>
  <c r="B1031" i="1" s="1"/>
  <c r="F1031" i="1" l="1"/>
  <c r="D1031" i="1" s="1"/>
  <c r="G1031" i="1" s="1"/>
  <c r="H1031" i="1"/>
  <c r="E1031" i="1"/>
  <c r="C1031" i="1"/>
  <c r="B1032" i="1" l="1"/>
  <c r="E1032" i="1" s="1"/>
  <c r="C1032" i="1"/>
  <c r="H1032" i="1"/>
  <c r="F1032" i="1"/>
  <c r="D1032" i="1" s="1"/>
  <c r="G1032" i="1" s="1"/>
  <c r="B1033" i="1" l="1"/>
  <c r="F1033" i="1" l="1"/>
  <c r="D1033" i="1" s="1"/>
  <c r="G1033" i="1" s="1"/>
  <c r="H1033" i="1"/>
  <c r="B1034" i="1" s="1"/>
  <c r="E1033" i="1"/>
  <c r="C1033" i="1"/>
  <c r="C1034" i="1" l="1"/>
  <c r="E1034" i="1"/>
  <c r="H1034" i="1"/>
  <c r="F1034" i="1"/>
  <c r="D1034" i="1" s="1"/>
  <c r="G1034" i="1" s="1"/>
  <c r="B1035" i="1" l="1"/>
  <c r="E1035" i="1" l="1"/>
  <c r="F1035" i="1"/>
  <c r="H1035" i="1"/>
  <c r="C1035" i="1"/>
  <c r="D1035" i="1"/>
  <c r="G1035" i="1" s="1"/>
  <c r="B1036" i="1" l="1"/>
  <c r="E1036" i="1" l="1"/>
  <c r="F1036" i="1"/>
  <c r="D1036" i="1" s="1"/>
  <c r="G1036" i="1" s="1"/>
  <c r="C1036" i="1"/>
  <c r="H1036" i="1"/>
  <c r="B1037" i="1" l="1"/>
  <c r="C1037" i="1"/>
  <c r="E1037" i="1"/>
  <c r="F1037" i="1"/>
  <c r="D1037" i="1" s="1"/>
  <c r="G1037" i="1" s="1"/>
  <c r="H1037" i="1"/>
  <c r="B1038" i="1" s="1"/>
  <c r="E1038" i="1" l="1"/>
  <c r="C1038" i="1"/>
  <c r="H1038" i="1"/>
  <c r="F1038" i="1"/>
  <c r="D1038" i="1" s="1"/>
  <c r="G1038" i="1" s="1"/>
  <c r="B1039" i="1" l="1"/>
  <c r="F1039" i="1" l="1"/>
  <c r="D1039" i="1" s="1"/>
  <c r="G1039" i="1" s="1"/>
  <c r="H1039" i="1"/>
  <c r="B1040" i="1" s="1"/>
  <c r="E1039" i="1"/>
  <c r="C1039" i="1"/>
  <c r="H1040" i="1" l="1"/>
  <c r="E1040" i="1"/>
  <c r="C1040" i="1"/>
  <c r="F1040" i="1"/>
  <c r="D1040" i="1" s="1"/>
  <c r="G1040" i="1" s="1"/>
  <c r="B1041" i="1" l="1"/>
  <c r="C1041" i="1" l="1"/>
  <c r="F1041" i="1"/>
  <c r="D1041" i="1" s="1"/>
  <c r="G1041" i="1" s="1"/>
  <c r="E1041" i="1"/>
  <c r="H1041" i="1"/>
  <c r="B1042" i="1" s="1"/>
  <c r="F1042" i="1" l="1"/>
  <c r="D1042" i="1" s="1"/>
  <c r="G1042" i="1" s="1"/>
  <c r="E1042" i="1"/>
  <c r="C1042" i="1"/>
  <c r="H1042" i="1"/>
  <c r="B1043" i="1" s="1"/>
  <c r="E1043" i="1" l="1"/>
  <c r="C1043" i="1"/>
  <c r="F1043" i="1"/>
  <c r="D1043" i="1" s="1"/>
  <c r="G1043" i="1" s="1"/>
  <c r="H1043" i="1"/>
  <c r="B1044" i="1" s="1"/>
  <c r="E1044" i="1" l="1"/>
  <c r="F1044" i="1"/>
  <c r="D1044" i="1" s="1"/>
  <c r="G1044" i="1" s="1"/>
  <c r="H1044" i="1"/>
  <c r="B1045" i="1" s="1"/>
  <c r="C1044" i="1"/>
  <c r="H1045" i="1" l="1"/>
  <c r="F1045" i="1"/>
  <c r="D1045" i="1" s="1"/>
  <c r="G1045" i="1" s="1"/>
  <c r="E1045" i="1"/>
  <c r="C1045" i="1"/>
  <c r="B1046" i="1" l="1"/>
  <c r="F1046" i="1" l="1"/>
  <c r="D1046" i="1" s="1"/>
  <c r="G1046" i="1" s="1"/>
  <c r="C1046" i="1"/>
  <c r="E1046" i="1"/>
  <c r="H1046" i="1"/>
  <c r="B1047" i="1" s="1"/>
  <c r="C1047" i="1" l="1"/>
  <c r="H1047" i="1"/>
  <c r="E1047" i="1"/>
  <c r="F1047" i="1"/>
  <c r="D1047" i="1" s="1"/>
  <c r="G1047" i="1" s="1"/>
  <c r="B1048" i="1" l="1"/>
  <c r="F1048" i="1" l="1"/>
  <c r="D1048" i="1" s="1"/>
  <c r="G1048" i="1" s="1"/>
  <c r="H1048" i="1"/>
  <c r="B1049" i="1" s="1"/>
  <c r="C1048" i="1"/>
  <c r="E1048" i="1"/>
  <c r="C1049" i="1" l="1"/>
  <c r="E1049" i="1"/>
  <c r="F1049" i="1"/>
  <c r="D1049" i="1" s="1"/>
  <c r="G1049" i="1" s="1"/>
  <c r="H1049" i="1"/>
  <c r="B1050" i="1" l="1"/>
  <c r="C1050" i="1" s="1"/>
  <c r="E1050" i="1"/>
  <c r="F1050" i="1"/>
  <c r="D1050" i="1" s="1"/>
  <c r="G1050" i="1" s="1"/>
  <c r="H1050" i="1"/>
  <c r="B1051" i="1" s="1"/>
  <c r="H1051" i="1" l="1"/>
  <c r="E1051" i="1"/>
  <c r="C1051" i="1"/>
  <c r="F1051" i="1"/>
  <c r="D1051" i="1" s="1"/>
  <c r="G1051" i="1" s="1"/>
  <c r="B1052" i="1" l="1"/>
  <c r="C1052" i="1" l="1"/>
  <c r="F1052" i="1"/>
  <c r="D1052" i="1" s="1"/>
  <c r="G1052" i="1" s="1"/>
  <c r="E1052" i="1"/>
  <c r="H1052" i="1"/>
  <c r="B1053" i="1" l="1"/>
  <c r="E1053" i="1" s="1"/>
  <c r="F1053" i="1"/>
  <c r="D1053" i="1" s="1"/>
  <c r="G1053" i="1" s="1"/>
  <c r="H1053" i="1"/>
  <c r="B1054" i="1" l="1"/>
  <c r="C1053" i="1"/>
  <c r="F1054" i="1"/>
  <c r="D1054" i="1" s="1"/>
  <c r="G1054" i="1" s="1"/>
  <c r="H1054" i="1"/>
  <c r="B1055" i="1" s="1"/>
  <c r="C1054" i="1"/>
  <c r="E1054" i="1"/>
  <c r="F1055" i="1" l="1"/>
  <c r="D1055" i="1" s="1"/>
  <c r="G1055" i="1" s="1"/>
  <c r="E1055" i="1"/>
  <c r="H1055" i="1"/>
  <c r="B1056" i="1" s="1"/>
  <c r="C1055" i="1"/>
  <c r="H1056" i="1" l="1"/>
  <c r="F1056" i="1"/>
  <c r="D1056" i="1" s="1"/>
  <c r="G1056" i="1" s="1"/>
  <c r="E1056" i="1"/>
  <c r="C1056" i="1"/>
  <c r="B1057" i="1" l="1"/>
  <c r="E1057" i="1" l="1"/>
  <c r="H1057" i="1"/>
  <c r="C1057" i="1"/>
  <c r="F1057" i="1"/>
  <c r="D1057" i="1" s="1"/>
  <c r="G1057" i="1" s="1"/>
  <c r="B1058" i="1" l="1"/>
  <c r="H1058" i="1" l="1"/>
  <c r="E1058" i="1"/>
  <c r="C1058" i="1"/>
  <c r="F1058" i="1"/>
  <c r="D1058" i="1" s="1"/>
  <c r="G1058" i="1" s="1"/>
  <c r="B1059" i="1" l="1"/>
  <c r="F1059" i="1" l="1"/>
  <c r="D1059" i="1" s="1"/>
  <c r="G1059" i="1" s="1"/>
  <c r="H1059" i="1"/>
  <c r="B1060" i="1" s="1"/>
  <c r="C1059" i="1"/>
  <c r="E1059" i="1"/>
  <c r="H1060" i="1" l="1"/>
  <c r="C1060" i="1"/>
  <c r="F1060" i="1"/>
  <c r="D1060" i="1" s="1"/>
  <c r="G1060" i="1" s="1"/>
  <c r="E1060" i="1"/>
  <c r="B1061" i="1" l="1"/>
  <c r="C1061" i="1" l="1"/>
  <c r="F1061" i="1"/>
  <c r="D1061" i="1" s="1"/>
  <c r="G1061" i="1" s="1"/>
  <c r="E1061" i="1"/>
  <c r="H1061" i="1"/>
  <c r="B1062" i="1" l="1"/>
  <c r="E1062" i="1"/>
  <c r="C1062" i="1"/>
  <c r="F1062" i="1"/>
  <c r="D1062" i="1" s="1"/>
  <c r="G1062" i="1" s="1"/>
  <c r="H1062" i="1"/>
  <c r="B1063" i="1" l="1"/>
  <c r="F1063" i="1"/>
  <c r="D1063" i="1" s="1"/>
  <c r="G1063" i="1" s="1"/>
  <c r="E1063" i="1"/>
  <c r="H1063" i="1"/>
  <c r="B1064" i="1" s="1"/>
  <c r="C1063" i="1"/>
  <c r="H1064" i="1" l="1"/>
  <c r="E1064" i="1"/>
  <c r="C1064" i="1"/>
  <c r="F1064" i="1"/>
  <c r="D1064" i="1" s="1"/>
  <c r="G1064" i="1" s="1"/>
  <c r="B1065" i="1" l="1"/>
  <c r="H1065" i="1" l="1"/>
  <c r="C1065" i="1"/>
  <c r="F1065" i="1"/>
  <c r="D1065" i="1" s="1"/>
  <c r="G1065" i="1" s="1"/>
  <c r="E1065" i="1"/>
  <c r="B1066" i="1" l="1"/>
  <c r="E1066" i="1" l="1"/>
  <c r="F1066" i="1"/>
  <c r="D1066" i="1" s="1"/>
  <c r="G1066" i="1" s="1"/>
  <c r="C1066" i="1"/>
  <c r="H1066" i="1"/>
  <c r="B1067" i="1" s="1"/>
  <c r="C1067" i="1" l="1"/>
  <c r="F1067" i="1"/>
  <c r="D1067" i="1" s="1"/>
  <c r="G1067" i="1" s="1"/>
  <c r="E1067" i="1"/>
  <c r="H1067" i="1"/>
  <c r="B1068" i="1" l="1"/>
  <c r="C1068" i="1" s="1"/>
  <c r="H1068" i="1"/>
  <c r="E1068" i="1"/>
  <c r="F1068" i="1" l="1"/>
  <c r="D1068" i="1" s="1"/>
  <c r="G1068" i="1" s="1"/>
  <c r="B1069" i="1" l="1"/>
  <c r="F1069" i="1" l="1"/>
  <c r="D1069" i="1" s="1"/>
  <c r="G1069" i="1" s="1"/>
  <c r="E1069" i="1"/>
  <c r="C1069" i="1"/>
  <c r="H1069" i="1"/>
  <c r="B1070" i="1" s="1"/>
  <c r="E1070" i="1" l="1"/>
  <c r="C1070" i="1"/>
  <c r="H1070" i="1"/>
  <c r="F1070" i="1"/>
  <c r="D1070" i="1" s="1"/>
  <c r="G1070" i="1" s="1"/>
  <c r="B1071" i="1" l="1"/>
  <c r="F1071" i="1" l="1"/>
  <c r="D1071" i="1" s="1"/>
  <c r="G1071" i="1" s="1"/>
  <c r="C1071" i="1"/>
  <c r="H1071" i="1"/>
  <c r="B1072" i="1" s="1"/>
  <c r="E1071" i="1"/>
  <c r="F1072" i="1" l="1"/>
  <c r="D1072" i="1" s="1"/>
  <c r="G1072" i="1" s="1"/>
  <c r="H1072" i="1"/>
  <c r="B1073" i="1" s="1"/>
  <c r="C1072" i="1"/>
  <c r="E1072" i="1"/>
  <c r="F1073" i="1" l="1"/>
  <c r="D1073" i="1" s="1"/>
  <c r="G1073" i="1" s="1"/>
  <c r="C1073" i="1"/>
  <c r="H1073" i="1"/>
  <c r="B1074" i="1" s="1"/>
  <c r="F1074" i="1" s="1"/>
  <c r="D1074" i="1" s="1"/>
  <c r="G1074" i="1" s="1"/>
  <c r="E1073" i="1"/>
  <c r="C1074" i="1" l="1"/>
  <c r="E1074" i="1"/>
  <c r="H1074" i="1"/>
  <c r="B1075" i="1"/>
  <c r="H1075" i="1"/>
  <c r="C1075" i="1"/>
  <c r="E1075" i="1"/>
  <c r="F1075" i="1"/>
  <c r="D1075" i="1" s="1"/>
  <c r="G1075" i="1" s="1"/>
  <c r="B1076" i="1" l="1"/>
  <c r="F1076" i="1" l="1"/>
  <c r="D1076" i="1" s="1"/>
  <c r="G1076" i="1" s="1"/>
  <c r="C1076" i="1"/>
  <c r="E1076" i="1"/>
  <c r="H1076" i="1"/>
  <c r="B1077" i="1" l="1"/>
  <c r="E1077" i="1" s="1"/>
  <c r="F1077" i="1"/>
  <c r="D1077" i="1" s="1"/>
  <c r="G1077" i="1" s="1"/>
  <c r="H1077" i="1"/>
  <c r="C1077" i="1"/>
  <c r="B1078" i="1" l="1"/>
  <c r="E1078" i="1" l="1"/>
  <c r="H1078" i="1"/>
  <c r="F1078" i="1"/>
  <c r="D1078" i="1" s="1"/>
  <c r="G1078" i="1" s="1"/>
  <c r="C1078" i="1"/>
  <c r="B1079" i="1" l="1"/>
  <c r="F1079" i="1" l="1"/>
  <c r="D1079" i="1" s="1"/>
  <c r="G1079" i="1" s="1"/>
  <c r="E1079" i="1"/>
  <c r="C1079" i="1"/>
  <c r="H1079" i="1"/>
  <c r="B1080" i="1" s="1"/>
  <c r="C1080" i="1" l="1"/>
  <c r="E1080" i="1"/>
  <c r="H1080" i="1"/>
  <c r="F1080" i="1"/>
  <c r="D1080" i="1" s="1"/>
  <c r="G1080" i="1" s="1"/>
  <c r="B1081" i="1" l="1"/>
  <c r="E1081" i="1" l="1"/>
  <c r="F1081" i="1"/>
  <c r="D1081" i="1" s="1"/>
  <c r="G1081" i="1" s="1"/>
  <c r="C1081" i="1"/>
  <c r="H1081" i="1"/>
  <c r="B1082" i="1" l="1"/>
  <c r="F1082" i="1" s="1"/>
  <c r="D1082" i="1" s="1"/>
  <c r="G1082" i="1" s="1"/>
  <c r="E1082" i="1"/>
  <c r="H1082" i="1"/>
  <c r="C1082" i="1"/>
  <c r="B1083" i="1" l="1"/>
  <c r="E1083" i="1" s="1"/>
  <c r="F1083" i="1"/>
  <c r="D1083" i="1" s="1"/>
  <c r="G1083" i="1" s="1"/>
  <c r="H1083" i="1" l="1"/>
  <c r="C1083" i="1"/>
  <c r="B1084" i="1"/>
  <c r="E1084" i="1" l="1"/>
  <c r="C1084" i="1"/>
  <c r="H1084" i="1"/>
  <c r="F1084" i="1"/>
  <c r="D1084" i="1" s="1"/>
  <c r="G1084" i="1" s="1"/>
  <c r="B1085" i="1" l="1"/>
  <c r="C1085" i="1" l="1"/>
  <c r="F1085" i="1"/>
  <c r="D1085" i="1" s="1"/>
  <c r="G1085" i="1" s="1"/>
  <c r="E1085" i="1"/>
  <c r="H1085" i="1"/>
  <c r="B1086" i="1" s="1"/>
  <c r="E1086" i="1" l="1"/>
  <c r="H1086" i="1"/>
  <c r="F1086" i="1"/>
  <c r="D1086" i="1" s="1"/>
  <c r="G1086" i="1" s="1"/>
  <c r="C1086" i="1"/>
  <c r="B1087" i="1" l="1"/>
  <c r="H1087" i="1" l="1"/>
  <c r="E1087" i="1"/>
  <c r="F1087" i="1"/>
  <c r="D1087" i="1" s="1"/>
  <c r="G1087" i="1" s="1"/>
  <c r="C1087" i="1"/>
  <c r="B1088" i="1" l="1"/>
  <c r="E1088" i="1" l="1"/>
  <c r="H1088" i="1"/>
  <c r="F1088" i="1"/>
  <c r="D1088" i="1" s="1"/>
  <c r="G1088" i="1" s="1"/>
  <c r="C1088" i="1"/>
  <c r="B1089" i="1" l="1"/>
  <c r="H1089" i="1" l="1"/>
  <c r="C1089" i="1"/>
  <c r="E1089" i="1"/>
  <c r="F1089" i="1"/>
  <c r="D1089" i="1" s="1"/>
  <c r="G1089" i="1" s="1"/>
  <c r="B1090" i="1" l="1"/>
  <c r="E1090" i="1" l="1"/>
  <c r="F1090" i="1"/>
  <c r="D1090" i="1" s="1"/>
  <c r="G1090" i="1" s="1"/>
  <c r="C1090" i="1"/>
  <c r="H1090" i="1"/>
  <c r="B1091" i="1" l="1"/>
  <c r="H1091" i="1" l="1"/>
  <c r="C1091" i="1"/>
  <c r="E1091" i="1"/>
  <c r="F1091" i="1"/>
  <c r="D1091" i="1" s="1"/>
  <c r="G1091" i="1" s="1"/>
  <c r="B1092" i="1" l="1"/>
  <c r="C1092" i="1" l="1"/>
  <c r="H1092" i="1"/>
  <c r="E1092" i="1"/>
  <c r="F1092" i="1"/>
  <c r="D1092" i="1" s="1"/>
  <c r="G1092" i="1" s="1"/>
  <c r="B1093" i="1" l="1"/>
  <c r="H1093" i="1" l="1"/>
  <c r="E1093" i="1"/>
  <c r="C1093" i="1"/>
  <c r="F1093" i="1"/>
  <c r="D1093" i="1" s="1"/>
  <c r="G1093" i="1" s="1"/>
  <c r="B1094" i="1" l="1"/>
  <c r="C1094" i="1" l="1"/>
  <c r="F1094" i="1"/>
  <c r="D1094" i="1" s="1"/>
  <c r="G1094" i="1" s="1"/>
  <c r="H1094" i="1"/>
  <c r="B1095" i="1" s="1"/>
  <c r="E1094" i="1"/>
  <c r="C1095" i="1" l="1"/>
  <c r="F1095" i="1"/>
  <c r="D1095" i="1" s="1"/>
  <c r="G1095" i="1" s="1"/>
  <c r="H1095" i="1"/>
  <c r="B1096" i="1" s="1"/>
  <c r="E1095" i="1"/>
  <c r="C1096" i="1" l="1"/>
  <c r="F1096" i="1"/>
  <c r="D1096" i="1" s="1"/>
  <c r="G1096" i="1" s="1"/>
  <c r="H1096" i="1"/>
  <c r="E1096" i="1"/>
  <c r="B1097" i="1" l="1"/>
  <c r="E1097" i="1" s="1"/>
  <c r="H1097" i="1" l="1"/>
  <c r="F1097" i="1"/>
  <c r="D1097" i="1" s="1"/>
  <c r="G1097" i="1" s="1"/>
  <c r="C1097" i="1"/>
  <c r="B1098" i="1" l="1"/>
  <c r="E1098" i="1" s="1"/>
  <c r="F1098" i="1" l="1"/>
  <c r="D1098" i="1" s="1"/>
  <c r="G1098" i="1" s="1"/>
  <c r="H1098" i="1"/>
  <c r="C1098" i="1"/>
  <c r="B1099" i="1"/>
  <c r="F1099" i="1" l="1"/>
  <c r="D1099" i="1" s="1"/>
  <c r="G1099" i="1" s="1"/>
  <c r="E1099" i="1"/>
  <c r="C1099" i="1"/>
  <c r="H1099" i="1"/>
  <c r="B1100" i="1" s="1"/>
  <c r="E1100" i="1" l="1"/>
  <c r="F1100" i="1"/>
  <c r="D1100" i="1" s="1"/>
  <c r="G1100" i="1" s="1"/>
  <c r="H1100" i="1"/>
  <c r="B1101" i="1" s="1"/>
  <c r="C1100" i="1"/>
  <c r="F1101" i="1" l="1"/>
  <c r="D1101" i="1" s="1"/>
  <c r="G1101" i="1" s="1"/>
  <c r="H1101" i="1"/>
  <c r="B1102" i="1" s="1"/>
  <c r="E1101" i="1"/>
  <c r="C1101" i="1"/>
  <c r="C1102" i="1" l="1"/>
  <c r="E1102" i="1"/>
  <c r="F1102" i="1"/>
  <c r="D1102" i="1" s="1"/>
  <c r="G1102" i="1" s="1"/>
  <c r="H1102" i="1"/>
  <c r="B1103" i="1" s="1"/>
  <c r="C1103" i="1" l="1"/>
  <c r="H1103" i="1"/>
  <c r="E1103" i="1"/>
  <c r="F1103" i="1"/>
  <c r="D1103" i="1" s="1"/>
  <c r="G1103" i="1" s="1"/>
  <c r="B1104" i="1" l="1"/>
  <c r="F1104" i="1" l="1"/>
  <c r="D1104" i="1" s="1"/>
  <c r="G1104" i="1" s="1"/>
  <c r="C1104" i="1"/>
  <c r="E1104" i="1"/>
  <c r="H1104" i="1"/>
  <c r="B1105" i="1" s="1"/>
  <c r="H1105" i="1" l="1"/>
  <c r="E1105" i="1"/>
  <c r="C1105" i="1"/>
  <c r="F1105" i="1"/>
  <c r="D1105" i="1" s="1"/>
  <c r="G1105" i="1" s="1"/>
  <c r="B1106" i="1" l="1"/>
  <c r="E1106" i="1" l="1"/>
  <c r="F1106" i="1"/>
  <c r="D1106" i="1" s="1"/>
  <c r="G1106" i="1" s="1"/>
  <c r="H1106" i="1"/>
  <c r="C1106" i="1"/>
  <c r="B1107" i="1" l="1"/>
  <c r="F1107" i="1"/>
  <c r="D1107" i="1" s="1"/>
  <c r="G1107" i="1" s="1"/>
  <c r="E1107" i="1"/>
  <c r="C1107" i="1"/>
  <c r="H1107" i="1"/>
  <c r="B1108" i="1" l="1"/>
  <c r="F1108" i="1" l="1"/>
  <c r="D1108" i="1" s="1"/>
  <c r="G1108" i="1" s="1"/>
  <c r="E1108" i="1"/>
  <c r="H1108" i="1"/>
  <c r="C1108" i="1"/>
  <c r="B1109" i="1" l="1"/>
  <c r="H1109" i="1" l="1"/>
  <c r="E1109" i="1"/>
  <c r="C1109" i="1"/>
  <c r="F1109" i="1"/>
  <c r="D1109" i="1" s="1"/>
  <c r="G1109" i="1" s="1"/>
  <c r="B1110" i="1" l="1"/>
  <c r="F1110" i="1" l="1"/>
  <c r="D1110" i="1" s="1"/>
  <c r="G1110" i="1" s="1"/>
  <c r="H1110" i="1"/>
  <c r="B1111" i="1" s="1"/>
  <c r="E1110" i="1"/>
  <c r="C1110" i="1"/>
  <c r="C1111" i="1" l="1"/>
  <c r="E1111" i="1"/>
  <c r="F1111" i="1"/>
  <c r="D1111" i="1" s="1"/>
  <c r="G1111" i="1" s="1"/>
  <c r="H1111" i="1"/>
  <c r="B1112" i="1" s="1"/>
  <c r="F1112" i="1" l="1"/>
  <c r="D1112" i="1" s="1"/>
  <c r="G1112" i="1" s="1"/>
  <c r="C1112" i="1"/>
  <c r="H1112" i="1"/>
  <c r="E1112" i="1"/>
  <c r="B1113" i="1" l="1"/>
  <c r="C1113" i="1" s="1"/>
  <c r="H1113" i="1"/>
  <c r="E1113" i="1" l="1"/>
  <c r="F1113" i="1"/>
  <c r="D1113" i="1" s="1"/>
  <c r="G1113" i="1" s="1"/>
  <c r="B1114" i="1" l="1"/>
  <c r="H1114" i="1"/>
  <c r="F1114" i="1"/>
  <c r="D1114" i="1" s="1"/>
  <c r="G1114" i="1" s="1"/>
  <c r="C1114" i="1"/>
  <c r="E1114" i="1"/>
  <c r="B1115" i="1" l="1"/>
  <c r="F1115" i="1" l="1"/>
  <c r="D1115" i="1" s="1"/>
  <c r="G1115" i="1" s="1"/>
  <c r="H1115" i="1"/>
  <c r="E1115" i="1"/>
  <c r="C1115" i="1"/>
  <c r="B1116" i="1" l="1"/>
  <c r="H1116" i="1"/>
  <c r="C1116" i="1"/>
  <c r="F1116" i="1"/>
  <c r="D1116" i="1" s="1"/>
  <c r="G1116" i="1" s="1"/>
  <c r="E1116" i="1"/>
  <c r="B1117" i="1" l="1"/>
  <c r="E1117" i="1" l="1"/>
  <c r="H1117" i="1"/>
  <c r="F1117" i="1"/>
  <c r="D1117" i="1" s="1"/>
  <c r="G1117" i="1" s="1"/>
  <c r="C1117" i="1"/>
  <c r="B1118" i="1" l="1"/>
  <c r="H1118" i="1" l="1"/>
  <c r="E1118" i="1"/>
  <c r="F1118" i="1"/>
  <c r="D1118" i="1" s="1"/>
  <c r="G1118" i="1" s="1"/>
  <c r="C1118" i="1"/>
  <c r="B1119" i="1" l="1"/>
  <c r="C1119" i="1" l="1"/>
  <c r="F1119" i="1"/>
  <c r="D1119" i="1" s="1"/>
  <c r="G1119" i="1" s="1"/>
  <c r="H1119" i="1"/>
  <c r="E1119" i="1"/>
  <c r="B1120" i="1" l="1"/>
  <c r="H1120" i="1" l="1"/>
  <c r="C1120" i="1"/>
  <c r="E1120" i="1"/>
  <c r="F1120" i="1"/>
  <c r="D1120" i="1" s="1"/>
  <c r="G1120" i="1" s="1"/>
  <c r="B1121" i="1" l="1"/>
  <c r="E1121" i="1" l="1"/>
  <c r="H1121" i="1"/>
  <c r="F1121" i="1"/>
  <c r="D1121" i="1" s="1"/>
  <c r="G1121" i="1" s="1"/>
  <c r="C1121" i="1"/>
  <c r="B1122" i="1" l="1"/>
  <c r="H1122" i="1" l="1"/>
  <c r="C1122" i="1"/>
  <c r="E1122" i="1"/>
  <c r="F1122" i="1"/>
  <c r="D1122" i="1" s="1"/>
  <c r="G1122" i="1" s="1"/>
  <c r="B1123" i="1" l="1"/>
  <c r="C1123" i="1" l="1"/>
  <c r="H1123" i="1"/>
  <c r="F1123" i="1"/>
  <c r="D1123" i="1" s="1"/>
  <c r="G1123" i="1" s="1"/>
  <c r="E1123" i="1"/>
  <c r="B1124" i="1" l="1"/>
  <c r="E1124" i="1" l="1"/>
  <c r="C1124" i="1"/>
  <c r="F1124" i="1"/>
  <c r="D1124" i="1" s="1"/>
  <c r="G1124" i="1" s="1"/>
  <c r="H1124" i="1"/>
  <c r="B1125" i="1" l="1"/>
  <c r="F1125" i="1" s="1"/>
  <c r="D1125" i="1" s="1"/>
  <c r="G1125" i="1" s="1"/>
  <c r="E1125" i="1" l="1"/>
  <c r="C1125" i="1"/>
  <c r="H1125" i="1"/>
  <c r="B1126" i="1" s="1"/>
  <c r="F1126" i="1" s="1"/>
  <c r="D1126" i="1" s="1"/>
  <c r="G1126" i="1" s="1"/>
  <c r="C1126" i="1"/>
  <c r="H1126" i="1"/>
  <c r="E1126" i="1"/>
  <c r="B1127" i="1" l="1"/>
  <c r="E1127" i="1" l="1"/>
  <c r="H1127" i="1"/>
  <c r="C1127" i="1"/>
  <c r="F1127" i="1"/>
  <c r="D1127" i="1" s="1"/>
  <c r="G1127" i="1" s="1"/>
  <c r="B1128" i="1" l="1"/>
  <c r="F1128" i="1" l="1"/>
  <c r="D1128" i="1" s="1"/>
  <c r="G1128" i="1" s="1"/>
  <c r="E1128" i="1"/>
  <c r="H1128" i="1"/>
  <c r="B1129" i="1" s="1"/>
  <c r="C1128" i="1"/>
  <c r="E1129" i="1" l="1"/>
  <c r="H1129" i="1"/>
  <c r="C1129" i="1"/>
  <c r="F1129" i="1"/>
  <c r="D1129" i="1" s="1"/>
  <c r="G1129" i="1" s="1"/>
  <c r="B1130" i="1" l="1"/>
  <c r="E1130" i="1" l="1"/>
  <c r="F1130" i="1"/>
  <c r="D1130" i="1" s="1"/>
  <c r="G1130" i="1" s="1"/>
  <c r="C1130" i="1"/>
  <c r="H1130" i="1"/>
  <c r="B1131" i="1" l="1"/>
  <c r="C1131" i="1" l="1"/>
  <c r="H1131" i="1"/>
  <c r="F1131" i="1"/>
  <c r="D1131" i="1" s="1"/>
  <c r="G1131" i="1" s="1"/>
  <c r="E1131" i="1"/>
  <c r="B1132" i="1" l="1"/>
  <c r="H1132" i="1" l="1"/>
  <c r="C1132" i="1"/>
  <c r="E1132" i="1"/>
  <c r="F1132" i="1"/>
  <c r="D1132" i="1" s="1"/>
  <c r="G1132" i="1" s="1"/>
  <c r="B1133" i="1" l="1"/>
  <c r="F1133" i="1" l="1"/>
  <c r="D1133" i="1" s="1"/>
  <c r="G1133" i="1" s="1"/>
  <c r="E1133" i="1"/>
  <c r="H1133" i="1"/>
  <c r="B1134" i="1" s="1"/>
  <c r="C1133" i="1"/>
  <c r="C1134" i="1" l="1"/>
  <c r="E1134" i="1"/>
  <c r="F1134" i="1"/>
  <c r="D1134" i="1" s="1"/>
  <c r="G1134" i="1" s="1"/>
  <c r="H1134" i="1"/>
  <c r="B1135" i="1" l="1"/>
  <c r="E1135" i="1"/>
  <c r="C1135" i="1"/>
  <c r="H1135" i="1"/>
  <c r="F1135" i="1"/>
  <c r="D1135" i="1" s="1"/>
  <c r="G1135" i="1" s="1"/>
  <c r="B1136" i="1" l="1"/>
  <c r="E1136" i="1" l="1"/>
  <c r="H1136" i="1"/>
  <c r="F1136" i="1"/>
  <c r="D1136" i="1" s="1"/>
  <c r="G1136" i="1" s="1"/>
  <c r="C1136" i="1"/>
  <c r="B1137" i="1" l="1"/>
  <c r="C1137" i="1" l="1"/>
  <c r="H1137" i="1"/>
  <c r="E1137" i="1"/>
  <c r="F1137" i="1"/>
  <c r="D1137" i="1" s="1"/>
  <c r="G1137" i="1" s="1"/>
  <c r="B1138" i="1" l="1"/>
  <c r="C1138" i="1" l="1"/>
  <c r="F1138" i="1"/>
  <c r="D1138" i="1" s="1"/>
  <c r="G1138" i="1" s="1"/>
  <c r="E1138" i="1"/>
  <c r="H1138" i="1"/>
  <c r="B1139" i="1" l="1"/>
  <c r="C1139" i="1" s="1"/>
  <c r="H1139" i="1"/>
  <c r="E1139" i="1"/>
  <c r="F1139" i="1"/>
  <c r="D1139" i="1" s="1"/>
  <c r="G1139" i="1" s="1"/>
  <c r="B1140" i="1" l="1"/>
  <c r="H1140" i="1" l="1"/>
  <c r="C1140" i="1"/>
  <c r="F1140" i="1"/>
  <c r="D1140" i="1" s="1"/>
  <c r="G1140" i="1" s="1"/>
  <c r="E1140" i="1"/>
  <c r="B1141" i="1" l="1"/>
  <c r="C1141" i="1" l="1"/>
  <c r="H1141" i="1"/>
  <c r="E1141" i="1"/>
  <c r="F1141" i="1"/>
  <c r="D1141" i="1" s="1"/>
  <c r="G1141" i="1" s="1"/>
  <c r="B1142" i="1" l="1"/>
  <c r="C1142" i="1" l="1"/>
  <c r="F1142" i="1"/>
  <c r="D1142" i="1" s="1"/>
  <c r="G1142" i="1" s="1"/>
  <c r="H1142" i="1"/>
  <c r="E1142" i="1"/>
  <c r="B1143" i="1" l="1"/>
  <c r="E1143" i="1" s="1"/>
  <c r="F1143" i="1" l="1"/>
  <c r="D1143" i="1" s="1"/>
  <c r="G1143" i="1" s="1"/>
  <c r="H1143" i="1"/>
  <c r="C1143" i="1"/>
  <c r="B1144" i="1"/>
  <c r="E1144" i="1" l="1"/>
  <c r="F1144" i="1"/>
  <c r="D1144" i="1" s="1"/>
  <c r="G1144" i="1" s="1"/>
  <c r="H1144" i="1"/>
  <c r="B1145" i="1" s="1"/>
  <c r="C1144" i="1"/>
  <c r="F1145" i="1" l="1"/>
  <c r="D1145" i="1" s="1"/>
  <c r="G1145" i="1" s="1"/>
  <c r="H1145" i="1"/>
  <c r="E1145" i="1"/>
  <c r="C1145" i="1"/>
  <c r="B1146" i="1" l="1"/>
  <c r="E1146" i="1" s="1"/>
  <c r="F1146" i="1"/>
  <c r="D1146" i="1" s="1"/>
  <c r="G1146" i="1" s="1"/>
  <c r="C1146" i="1"/>
  <c r="H1146" i="1" l="1"/>
  <c r="B1147" i="1"/>
  <c r="C1147" i="1" l="1"/>
  <c r="E1147" i="1"/>
  <c r="F1147" i="1"/>
  <c r="D1147" i="1" s="1"/>
  <c r="G1147" i="1" s="1"/>
  <c r="H1147" i="1"/>
  <c r="B1148" i="1" l="1"/>
  <c r="C1148" i="1"/>
  <c r="E1148" i="1"/>
  <c r="H1148" i="1"/>
  <c r="F1148" i="1"/>
  <c r="D1148" i="1" s="1"/>
  <c r="G1148" i="1" s="1"/>
  <c r="B1149" i="1" l="1"/>
  <c r="H1149" i="1" l="1"/>
  <c r="E1149" i="1"/>
  <c r="F1149" i="1"/>
  <c r="D1149" i="1" s="1"/>
  <c r="G1149" i="1" s="1"/>
  <c r="C1149" i="1"/>
  <c r="B1150" i="1" l="1"/>
  <c r="C1150" i="1" l="1"/>
  <c r="F1150" i="1"/>
  <c r="D1150" i="1" s="1"/>
  <c r="G1150" i="1" s="1"/>
  <c r="E1150" i="1"/>
  <c r="H1150" i="1"/>
  <c r="B1151" i="1" l="1"/>
  <c r="F1151" i="1"/>
  <c r="D1151" i="1" s="1"/>
  <c r="G1151" i="1" s="1"/>
  <c r="C1151" i="1"/>
  <c r="H1151" i="1"/>
  <c r="E1151" i="1"/>
  <c r="B1152" i="1" l="1"/>
  <c r="H1152" i="1" l="1"/>
  <c r="C1152" i="1"/>
  <c r="F1152" i="1"/>
  <c r="D1152" i="1" s="1"/>
  <c r="G1152" i="1" s="1"/>
  <c r="E1152" i="1"/>
  <c r="B1153" i="1" l="1"/>
  <c r="E1153" i="1" l="1"/>
  <c r="C1153" i="1"/>
  <c r="F1153" i="1"/>
  <c r="D1153" i="1" s="1"/>
  <c r="G1153" i="1" s="1"/>
  <c r="H1153" i="1"/>
  <c r="B1154" i="1" s="1"/>
  <c r="H1154" i="1" l="1"/>
  <c r="E1154" i="1"/>
  <c r="C1154" i="1"/>
  <c r="F1154" i="1"/>
  <c r="D1154" i="1" s="1"/>
  <c r="G1154" i="1" s="1"/>
  <c r="B1155" i="1" l="1"/>
  <c r="C1155" i="1" l="1"/>
  <c r="E1155" i="1"/>
  <c r="F1155" i="1"/>
  <c r="D1155" i="1" s="1"/>
  <c r="G1155" i="1" s="1"/>
  <c r="H1155" i="1"/>
  <c r="B1156" i="1" s="1"/>
  <c r="F1156" i="1" l="1"/>
  <c r="D1156" i="1" s="1"/>
  <c r="G1156" i="1" s="1"/>
  <c r="H1156" i="1"/>
  <c r="B1157" i="1" s="1"/>
  <c r="C1156" i="1"/>
  <c r="E1156" i="1"/>
  <c r="C1157" i="1" l="1"/>
  <c r="E1157" i="1"/>
  <c r="H1157" i="1"/>
  <c r="F1157" i="1"/>
  <c r="D1157" i="1" s="1"/>
  <c r="G1157" i="1" s="1"/>
  <c r="B1158" i="1" l="1"/>
  <c r="F1158" i="1" l="1"/>
  <c r="D1158" i="1" s="1"/>
  <c r="G1158" i="1" s="1"/>
  <c r="H1158" i="1"/>
  <c r="E1158" i="1"/>
  <c r="C1158" i="1"/>
  <c r="B1159" i="1" l="1"/>
  <c r="C1159" i="1" l="1"/>
  <c r="F1159" i="1"/>
  <c r="D1159" i="1" s="1"/>
  <c r="G1159" i="1" s="1"/>
  <c r="E1159" i="1"/>
  <c r="H1159" i="1"/>
  <c r="B1160" i="1" l="1"/>
  <c r="H1160" i="1" l="1"/>
  <c r="F1160" i="1"/>
  <c r="D1160" i="1" s="1"/>
  <c r="G1160" i="1" s="1"/>
  <c r="E1160" i="1"/>
  <c r="C1160" i="1"/>
  <c r="B1161" i="1" l="1"/>
  <c r="E1161" i="1" l="1"/>
  <c r="H1161" i="1"/>
  <c r="C1161" i="1"/>
  <c r="F1161" i="1"/>
  <c r="D1161" i="1" s="1"/>
  <c r="G1161" i="1" s="1"/>
  <c r="B1162" i="1" l="1"/>
  <c r="H1162" i="1" l="1"/>
  <c r="F1162" i="1"/>
  <c r="D1162" i="1" s="1"/>
  <c r="G1162" i="1" s="1"/>
  <c r="E1162" i="1"/>
  <c r="C1162" i="1"/>
  <c r="B1163" i="1" l="1"/>
  <c r="H1163" i="1" l="1"/>
  <c r="E1163" i="1"/>
  <c r="F1163" i="1"/>
  <c r="D1163" i="1" s="1"/>
  <c r="G1163" i="1" s="1"/>
  <c r="C1163" i="1"/>
  <c r="B1164" i="1" l="1"/>
  <c r="C1164" i="1" l="1"/>
  <c r="F1164" i="1"/>
  <c r="D1164" i="1" s="1"/>
  <c r="G1164" i="1" s="1"/>
  <c r="H1164" i="1"/>
  <c r="E1164" i="1"/>
  <c r="B1165" i="1" l="1"/>
  <c r="F1165" i="1" s="1"/>
  <c r="D1165" i="1" s="1"/>
  <c r="G1165" i="1" s="1"/>
  <c r="H1165" i="1" l="1"/>
  <c r="B1166" i="1" s="1"/>
  <c r="F1166" i="1" s="1"/>
  <c r="D1166" i="1" s="1"/>
  <c r="G1166" i="1" s="1"/>
  <c r="C1165" i="1"/>
  <c r="E1165" i="1"/>
  <c r="C1166" i="1"/>
  <c r="H1166" i="1"/>
  <c r="E1166" i="1" l="1"/>
  <c r="B1167" i="1"/>
  <c r="C1167" i="1" l="1"/>
  <c r="H1167" i="1"/>
  <c r="F1167" i="1"/>
  <c r="D1167" i="1" s="1"/>
  <c r="G1167" i="1" s="1"/>
  <c r="E1167" i="1"/>
  <c r="B1168" i="1" l="1"/>
  <c r="H1168" i="1" l="1"/>
  <c r="F1168" i="1"/>
  <c r="D1168" i="1" s="1"/>
  <c r="G1168" i="1" s="1"/>
  <c r="E1168" i="1"/>
  <c r="C1168" i="1"/>
  <c r="B1169" i="1" l="1"/>
  <c r="C1169" i="1" l="1"/>
  <c r="F1169" i="1"/>
  <c r="D1169" i="1" s="1"/>
  <c r="G1169" i="1" s="1"/>
  <c r="E1169" i="1"/>
  <c r="H1169" i="1"/>
  <c r="B1170" i="1" l="1"/>
  <c r="F1170" i="1"/>
  <c r="D1170" i="1" s="1"/>
  <c r="G1170" i="1" s="1"/>
  <c r="C1170" i="1"/>
  <c r="H1170" i="1"/>
  <c r="B1171" i="1" s="1"/>
  <c r="E1170" i="1"/>
  <c r="E1171" i="1" l="1"/>
  <c r="F1171" i="1"/>
  <c r="D1171" i="1" s="1"/>
  <c r="G1171" i="1" s="1"/>
  <c r="H1171" i="1"/>
  <c r="C1171" i="1"/>
  <c r="B1172" i="1" l="1"/>
  <c r="C1172" i="1"/>
  <c r="E1172" i="1"/>
  <c r="F1172" i="1"/>
  <c r="D1172" i="1" s="1"/>
  <c r="G1172" i="1" s="1"/>
  <c r="H1172" i="1"/>
  <c r="B1173" i="1" s="1"/>
  <c r="E1173" i="1" l="1"/>
  <c r="H1173" i="1"/>
  <c r="C1173" i="1"/>
  <c r="F1173" i="1"/>
  <c r="D1173" i="1" s="1"/>
  <c r="G1173" i="1" s="1"/>
  <c r="B1174" i="1" l="1"/>
  <c r="E1174" i="1" l="1"/>
  <c r="F1174" i="1"/>
  <c r="D1174" i="1" s="1"/>
  <c r="G1174" i="1" s="1"/>
  <c r="H1174" i="1"/>
  <c r="B1175" i="1" s="1"/>
  <c r="C1174" i="1"/>
  <c r="E1175" i="1" l="1"/>
  <c r="H1175" i="1"/>
  <c r="F1175" i="1"/>
  <c r="D1175" i="1" s="1"/>
  <c r="G1175" i="1" s="1"/>
  <c r="C1175" i="1"/>
  <c r="B1176" i="1" l="1"/>
  <c r="F1176" i="1" l="1"/>
  <c r="D1176" i="1" s="1"/>
  <c r="G1176" i="1" s="1"/>
  <c r="C1176" i="1"/>
  <c r="H1176" i="1"/>
  <c r="B1177" i="1" s="1"/>
  <c r="E1176" i="1"/>
  <c r="F1177" i="1" l="1"/>
  <c r="D1177" i="1" s="1"/>
  <c r="G1177" i="1" s="1"/>
  <c r="E1177" i="1"/>
  <c r="C1177" i="1"/>
  <c r="H1177" i="1"/>
  <c r="B1178" i="1" s="1"/>
  <c r="H1178" i="1" l="1"/>
  <c r="F1178" i="1"/>
  <c r="D1178" i="1" s="1"/>
  <c r="G1178" i="1" s="1"/>
  <c r="E1178" i="1"/>
  <c r="C1178" i="1"/>
  <c r="B1179" i="1" l="1"/>
  <c r="E1179" i="1" l="1"/>
  <c r="F1179" i="1"/>
  <c r="D1179" i="1" s="1"/>
  <c r="G1179" i="1" s="1"/>
  <c r="C1179" i="1"/>
  <c r="H1179" i="1"/>
  <c r="B1180" i="1" l="1"/>
  <c r="H1180" i="1" s="1"/>
  <c r="C1180" i="1"/>
  <c r="E1180" i="1" l="1"/>
  <c r="F1180" i="1"/>
  <c r="D1180" i="1" s="1"/>
  <c r="G1180" i="1" s="1"/>
  <c r="B1181" i="1"/>
  <c r="H1181" i="1" l="1"/>
  <c r="F1181" i="1"/>
  <c r="D1181" i="1" s="1"/>
  <c r="G1181" i="1" s="1"/>
  <c r="C1181" i="1"/>
  <c r="E1181" i="1"/>
  <c r="B1182" i="1" l="1"/>
  <c r="F1182" i="1" l="1"/>
  <c r="D1182" i="1" s="1"/>
  <c r="G1182" i="1" s="1"/>
  <c r="C1182" i="1"/>
  <c r="E1182" i="1"/>
  <c r="H1182" i="1"/>
  <c r="B1183" i="1" s="1"/>
  <c r="E1183" i="1" l="1"/>
  <c r="C1183" i="1"/>
  <c r="F1183" i="1"/>
  <c r="D1183" i="1" s="1"/>
  <c r="G1183" i="1" s="1"/>
  <c r="H1183" i="1"/>
  <c r="B1184" i="1" l="1"/>
  <c r="E1184" i="1" s="1"/>
  <c r="F1184" i="1" l="1"/>
  <c r="D1184" i="1" s="1"/>
  <c r="G1184" i="1" s="1"/>
  <c r="H1184" i="1"/>
  <c r="C1184" i="1"/>
  <c r="B1185" i="1"/>
  <c r="F1185" i="1" l="1"/>
  <c r="D1185" i="1" s="1"/>
  <c r="G1185" i="1" s="1"/>
  <c r="E1185" i="1"/>
  <c r="C1185" i="1"/>
  <c r="H1185" i="1"/>
  <c r="B1186" i="1" l="1"/>
  <c r="E1186" i="1"/>
  <c r="C1186" i="1"/>
  <c r="H1186" i="1"/>
  <c r="F1186" i="1"/>
  <c r="D1186" i="1" s="1"/>
  <c r="G1186" i="1" s="1"/>
  <c r="B1187" i="1" l="1"/>
  <c r="F1187" i="1" l="1"/>
  <c r="D1187" i="1" s="1"/>
  <c r="G1187" i="1" s="1"/>
  <c r="H1187" i="1"/>
  <c r="B1188" i="1" s="1"/>
  <c r="E1187" i="1"/>
  <c r="C1187" i="1"/>
  <c r="H1188" i="1" l="1"/>
  <c r="F1188" i="1"/>
  <c r="D1188" i="1" s="1"/>
  <c r="G1188" i="1" s="1"/>
  <c r="E1188" i="1"/>
  <c r="C1188" i="1"/>
  <c r="B1189" i="1" l="1"/>
  <c r="H1189" i="1" l="1"/>
  <c r="E1189" i="1"/>
  <c r="C1189" i="1"/>
  <c r="F1189" i="1"/>
  <c r="D1189" i="1" s="1"/>
  <c r="G1189" i="1" s="1"/>
  <c r="B1190" i="1" l="1"/>
  <c r="C1190" i="1" l="1"/>
  <c r="H1190" i="1"/>
  <c r="E1190" i="1"/>
  <c r="F1190" i="1"/>
  <c r="D1190" i="1" s="1"/>
  <c r="G1190" i="1" s="1"/>
  <c r="B1191" i="1" l="1"/>
  <c r="E1191" i="1" l="1"/>
  <c r="F1191" i="1"/>
  <c r="D1191" i="1" s="1"/>
  <c r="G1191" i="1" s="1"/>
  <c r="C1191" i="1"/>
  <c r="H1191" i="1"/>
  <c r="B1192" i="1" l="1"/>
  <c r="E1192" i="1"/>
  <c r="F1192" i="1"/>
  <c r="D1192" i="1" s="1"/>
  <c r="G1192" i="1" s="1"/>
  <c r="H1192" i="1"/>
  <c r="B1193" i="1" s="1"/>
  <c r="C1192" i="1"/>
  <c r="C1193" i="1" l="1"/>
  <c r="F1193" i="1"/>
  <c r="D1193" i="1" s="1"/>
  <c r="G1193" i="1" s="1"/>
  <c r="H1193" i="1"/>
  <c r="E1193" i="1"/>
  <c r="B1194" i="1" l="1"/>
  <c r="E1194" i="1"/>
  <c r="H1194" i="1"/>
  <c r="F1194" i="1"/>
  <c r="D1194" i="1" s="1"/>
  <c r="G1194" i="1" s="1"/>
  <c r="C1194" i="1"/>
  <c r="B1195" i="1" l="1"/>
  <c r="E1195" i="1" l="1"/>
  <c r="C1195" i="1"/>
  <c r="F1195" i="1"/>
  <c r="D1195" i="1" s="1"/>
  <c r="G1195" i="1" s="1"/>
  <c r="H1195" i="1"/>
  <c r="B1196" i="1" l="1"/>
  <c r="C1196" i="1" s="1"/>
  <c r="E1196" i="1" l="1"/>
  <c r="F1196" i="1"/>
  <c r="D1196" i="1" s="1"/>
  <c r="G1196" i="1" s="1"/>
  <c r="H1196" i="1"/>
  <c r="B1197" i="1" s="1"/>
  <c r="H1197" i="1" s="1"/>
  <c r="F1197" i="1"/>
  <c r="D1197" i="1" s="1"/>
  <c r="G1197" i="1" s="1"/>
  <c r="E1197" i="1"/>
  <c r="B1198" i="1" l="1"/>
  <c r="C1197" i="1"/>
  <c r="E1198" i="1"/>
  <c r="F1198" i="1"/>
  <c r="D1198" i="1" s="1"/>
  <c r="G1198" i="1" s="1"/>
  <c r="H1198" i="1"/>
  <c r="B1199" i="1" s="1"/>
  <c r="C1198" i="1"/>
  <c r="F1199" i="1" l="1"/>
  <c r="D1199" i="1" s="1"/>
  <c r="G1199" i="1" s="1"/>
  <c r="E1199" i="1"/>
  <c r="H1199" i="1"/>
  <c r="B1200" i="1" s="1"/>
  <c r="C1199" i="1"/>
  <c r="E1200" i="1" l="1"/>
  <c r="F1200" i="1"/>
  <c r="D1200" i="1" s="1"/>
  <c r="G1200" i="1" s="1"/>
  <c r="H1200" i="1"/>
  <c r="C1200" i="1"/>
  <c r="B1201" i="1" l="1"/>
  <c r="C1201" i="1" s="1"/>
  <c r="F1201" i="1"/>
  <c r="D1201" i="1" s="1"/>
  <c r="G1201" i="1" s="1"/>
  <c r="E1201" i="1"/>
  <c r="H1201" i="1" l="1"/>
  <c r="B1202" i="1"/>
  <c r="E1202" i="1" l="1"/>
  <c r="F1202" i="1"/>
  <c r="D1202" i="1" s="1"/>
  <c r="G1202" i="1" s="1"/>
  <c r="H1202" i="1"/>
  <c r="B1203" i="1" s="1"/>
  <c r="C1202" i="1"/>
  <c r="F1203" i="1" l="1"/>
  <c r="D1203" i="1" s="1"/>
  <c r="G1203" i="1" s="1"/>
  <c r="E1203" i="1"/>
  <c r="H1203" i="1"/>
  <c r="B1204" i="1" s="1"/>
  <c r="C1203" i="1"/>
  <c r="F1204" i="1" l="1"/>
  <c r="D1204" i="1" s="1"/>
  <c r="G1204" i="1" s="1"/>
  <c r="H1204" i="1"/>
  <c r="B1205" i="1" s="1"/>
  <c r="C1204" i="1"/>
  <c r="E1204" i="1"/>
  <c r="F1205" i="1" l="1"/>
  <c r="D1205" i="1" s="1"/>
  <c r="G1205" i="1" s="1"/>
  <c r="C1205" i="1"/>
  <c r="H1205" i="1"/>
  <c r="B1206" i="1" s="1"/>
  <c r="E1205" i="1"/>
  <c r="C1206" i="1" l="1"/>
  <c r="E1206" i="1"/>
  <c r="F1206" i="1"/>
  <c r="D1206" i="1" s="1"/>
  <c r="G1206" i="1" s="1"/>
  <c r="H1206" i="1"/>
  <c r="B1207" i="1" s="1"/>
  <c r="C1207" i="1" l="1"/>
  <c r="H1207" i="1"/>
  <c r="E1207" i="1"/>
  <c r="F1207" i="1"/>
  <c r="D1207" i="1" s="1"/>
  <c r="G1207" i="1" s="1"/>
  <c r="B1208" i="1" l="1"/>
  <c r="E1208" i="1" l="1"/>
  <c r="F1208" i="1"/>
  <c r="D1208" i="1" s="1"/>
  <c r="G1208" i="1" s="1"/>
  <c r="H1208" i="1"/>
  <c r="B1209" i="1" s="1"/>
  <c r="C1208" i="1"/>
  <c r="E1209" i="1" l="1"/>
  <c r="C1209" i="1"/>
  <c r="F1209" i="1"/>
  <c r="D1209" i="1" s="1"/>
  <c r="G1209" i="1" s="1"/>
  <c r="H1209" i="1"/>
  <c r="B1210" i="1" l="1"/>
  <c r="F1210" i="1" l="1"/>
  <c r="D1210" i="1" s="1"/>
  <c r="G1210" i="1" s="1"/>
  <c r="H1210" i="1"/>
  <c r="C1210" i="1"/>
  <c r="E1210" i="1"/>
  <c r="B1211" i="1" l="1"/>
  <c r="H1211" i="1"/>
  <c r="F1211" i="1"/>
  <c r="D1211" i="1" s="1"/>
  <c r="G1211" i="1" s="1"/>
  <c r="C1211" i="1"/>
  <c r="E1211" i="1"/>
  <c r="B1212" i="1" l="1"/>
  <c r="C1212" i="1" l="1"/>
  <c r="E1212" i="1"/>
  <c r="F1212" i="1"/>
  <c r="D1212" i="1" s="1"/>
  <c r="G1212" i="1" s="1"/>
  <c r="H1212" i="1"/>
  <c r="B1213" i="1" s="1"/>
  <c r="F1213" i="1" l="1"/>
  <c r="D1213" i="1" s="1"/>
  <c r="G1213" i="1" s="1"/>
  <c r="C1213" i="1"/>
  <c r="H1213" i="1"/>
  <c r="E1213" i="1"/>
  <c r="B1214" i="1" l="1"/>
  <c r="C1214" i="1"/>
  <c r="E1214" i="1"/>
  <c r="H1214" i="1"/>
  <c r="F1214" i="1"/>
  <c r="D1214" i="1" s="1"/>
  <c r="G1214" i="1" s="1"/>
  <c r="B1215" i="1" l="1"/>
  <c r="H1215" i="1" l="1"/>
  <c r="C1215" i="1"/>
  <c r="E1215" i="1"/>
  <c r="F1215" i="1"/>
  <c r="D1215" i="1" s="1"/>
  <c r="G1215" i="1" s="1"/>
  <c r="B1216" i="1" l="1"/>
  <c r="C1216" i="1" l="1"/>
  <c r="H1216" i="1"/>
  <c r="F1216" i="1"/>
  <c r="D1216" i="1" s="1"/>
  <c r="G1216" i="1" s="1"/>
  <c r="E1216" i="1"/>
  <c r="B1217" i="1" l="1"/>
  <c r="C1217" i="1" l="1"/>
  <c r="F1217" i="1"/>
  <c r="D1217" i="1" s="1"/>
  <c r="G1217" i="1" s="1"/>
  <c r="H1217" i="1"/>
  <c r="B1218" i="1" s="1"/>
  <c r="E1217" i="1"/>
  <c r="H1218" i="1" l="1"/>
  <c r="E1218" i="1"/>
  <c r="F1218" i="1"/>
  <c r="D1218" i="1" s="1"/>
  <c r="G1218" i="1" s="1"/>
  <c r="C1218" i="1"/>
  <c r="B1219" i="1" l="1"/>
  <c r="H1219" i="1" l="1"/>
  <c r="E1219" i="1"/>
  <c r="F1219" i="1"/>
  <c r="D1219" i="1" s="1"/>
  <c r="G1219" i="1" s="1"/>
  <c r="C1219" i="1"/>
  <c r="B1220" i="1" l="1"/>
  <c r="H1220" i="1" l="1"/>
  <c r="F1220" i="1"/>
  <c r="D1220" i="1" s="1"/>
  <c r="G1220" i="1" s="1"/>
  <c r="E1220" i="1"/>
  <c r="C1220" i="1"/>
  <c r="B1221" i="1" l="1"/>
  <c r="C1221" i="1" l="1"/>
  <c r="H1221" i="1"/>
  <c r="E1221" i="1"/>
  <c r="F1221" i="1"/>
  <c r="D1221" i="1" s="1"/>
  <c r="G1221" i="1" s="1"/>
  <c r="B1222" i="1" l="1"/>
  <c r="H1222" i="1" l="1"/>
  <c r="E1222" i="1"/>
  <c r="C1222" i="1"/>
  <c r="F1222" i="1"/>
  <c r="D1222" i="1" s="1"/>
  <c r="G1222" i="1" s="1"/>
  <c r="B1223" i="1" l="1"/>
  <c r="C1223" i="1" l="1"/>
  <c r="H1223" i="1"/>
  <c r="F1223" i="1"/>
  <c r="D1223" i="1" s="1"/>
  <c r="G1223" i="1" s="1"/>
  <c r="E1223" i="1"/>
  <c r="B1224" i="1" l="1"/>
  <c r="C1224" i="1" l="1"/>
  <c r="H1224" i="1"/>
  <c r="F1224" i="1"/>
  <c r="D1224" i="1" s="1"/>
  <c r="G1224" i="1" s="1"/>
  <c r="E1224" i="1"/>
  <c r="B1225" i="1" l="1"/>
  <c r="C1225" i="1" l="1"/>
  <c r="E1225" i="1"/>
  <c r="H1225" i="1"/>
  <c r="F1225" i="1"/>
  <c r="D1225" i="1" s="1"/>
  <c r="G1225" i="1" s="1"/>
  <c r="B1226" i="1" l="1"/>
  <c r="C1226" i="1" l="1"/>
  <c r="F1226" i="1"/>
  <c r="D1226" i="1" s="1"/>
  <c r="G1226" i="1" s="1"/>
  <c r="H1226" i="1"/>
  <c r="B1227" i="1" s="1"/>
  <c r="E1226" i="1"/>
  <c r="F1227" i="1" l="1"/>
  <c r="D1227" i="1" s="1"/>
  <c r="G1227" i="1" s="1"/>
  <c r="H1227" i="1"/>
  <c r="B1228" i="1" s="1"/>
  <c r="E1227" i="1"/>
  <c r="C1227" i="1"/>
  <c r="F1228" i="1" l="1"/>
  <c r="D1228" i="1" s="1"/>
  <c r="G1228" i="1" s="1"/>
  <c r="H1228" i="1"/>
  <c r="B1229" i="1" s="1"/>
  <c r="E1228" i="1"/>
  <c r="C1228" i="1"/>
  <c r="C1229" i="1" l="1"/>
  <c r="F1229" i="1"/>
  <c r="D1229" i="1" s="1"/>
  <c r="G1229" i="1" s="1"/>
  <c r="H1229" i="1"/>
  <c r="B1230" i="1" s="1"/>
  <c r="E1229" i="1"/>
  <c r="H1230" i="1" l="1"/>
  <c r="E1230" i="1"/>
  <c r="F1230" i="1"/>
  <c r="D1230" i="1" s="1"/>
  <c r="G1230" i="1" s="1"/>
  <c r="C1230" i="1"/>
  <c r="B1231" i="1" l="1"/>
  <c r="F1231" i="1" l="1"/>
  <c r="D1231" i="1" s="1"/>
  <c r="G1231" i="1" s="1"/>
  <c r="H1231" i="1"/>
  <c r="E1231" i="1"/>
  <c r="C1231" i="1"/>
  <c r="B1232" i="1" l="1"/>
  <c r="H1232" i="1" s="1"/>
  <c r="E1232" i="1"/>
  <c r="F1232" i="1"/>
  <c r="D1232" i="1" s="1"/>
  <c r="G1232" i="1" s="1"/>
  <c r="C1232" i="1" l="1"/>
  <c r="B1233" i="1"/>
  <c r="E1233" i="1" s="1"/>
  <c r="H1233" i="1" l="1"/>
  <c r="F1233" i="1"/>
  <c r="D1233" i="1" s="1"/>
  <c r="G1233" i="1" s="1"/>
  <c r="C1233" i="1"/>
  <c r="B1234" i="1" l="1"/>
  <c r="E1234" i="1" l="1"/>
  <c r="C1234" i="1"/>
  <c r="F1234" i="1"/>
  <c r="D1234" i="1" s="1"/>
  <c r="G1234" i="1" s="1"/>
  <c r="H1234" i="1"/>
  <c r="B1235" i="1" s="1"/>
  <c r="C1235" i="1" s="1"/>
  <c r="E1235" i="1" l="1"/>
  <c r="F1235" i="1"/>
  <c r="D1235" i="1" s="1"/>
  <c r="G1235" i="1" s="1"/>
  <c r="H1235" i="1"/>
  <c r="B1236" i="1" s="1"/>
  <c r="F1236" i="1"/>
  <c r="D1236" i="1" s="1"/>
  <c r="G1236" i="1" s="1"/>
  <c r="E1236" i="1"/>
  <c r="H1236" i="1"/>
  <c r="C1236" i="1"/>
  <c r="B1237" i="1" l="1"/>
  <c r="H1237" i="1" l="1"/>
  <c r="C1237" i="1"/>
  <c r="F1237" i="1"/>
  <c r="D1237" i="1" s="1"/>
  <c r="G1237" i="1" s="1"/>
  <c r="E1237" i="1"/>
  <c r="B1238" i="1" l="1"/>
  <c r="E1238" i="1" l="1"/>
  <c r="F1238" i="1"/>
  <c r="D1238" i="1" s="1"/>
  <c r="G1238" i="1" s="1"/>
  <c r="H1238" i="1"/>
  <c r="B1239" i="1" s="1"/>
  <c r="C1238" i="1"/>
  <c r="E1239" i="1" l="1"/>
  <c r="F1239" i="1"/>
  <c r="D1239" i="1" s="1"/>
  <c r="G1239" i="1" s="1"/>
  <c r="H1239" i="1"/>
  <c r="B1240" i="1" s="1"/>
  <c r="C1239" i="1"/>
  <c r="F1240" i="1" l="1"/>
  <c r="D1240" i="1" s="1"/>
  <c r="G1240" i="1" s="1"/>
  <c r="E1240" i="1"/>
  <c r="C1240" i="1"/>
  <c r="H1240" i="1"/>
  <c r="B1241" i="1" s="1"/>
  <c r="E1241" i="1" l="1"/>
  <c r="C1241" i="1"/>
  <c r="H1241" i="1"/>
  <c r="F1241" i="1"/>
  <c r="D1241" i="1" s="1"/>
  <c r="G1241" i="1" s="1"/>
  <c r="B1242" i="1" l="1"/>
  <c r="E1242" i="1" l="1"/>
  <c r="H1242" i="1"/>
  <c r="F1242" i="1"/>
  <c r="D1242" i="1" s="1"/>
  <c r="G1242" i="1" s="1"/>
  <c r="C1242" i="1"/>
  <c r="B1243" i="1" l="1"/>
  <c r="C1243" i="1" l="1"/>
  <c r="H1243" i="1"/>
  <c r="E1243" i="1"/>
  <c r="F1243" i="1"/>
  <c r="D1243" i="1" s="1"/>
  <c r="G1243" i="1" s="1"/>
  <c r="B1244" i="1" l="1"/>
  <c r="E1244" i="1" l="1"/>
  <c r="C1244" i="1"/>
  <c r="H1244" i="1"/>
  <c r="F1244" i="1"/>
  <c r="D1244" i="1" s="1"/>
  <c r="G1244" i="1" s="1"/>
  <c r="B1245" i="1" l="1"/>
  <c r="C1245" i="1" l="1"/>
  <c r="H1245" i="1"/>
  <c r="F1245" i="1"/>
  <c r="D1245" i="1" s="1"/>
  <c r="G1245" i="1" s="1"/>
  <c r="E1245" i="1"/>
  <c r="B1246" i="1" l="1"/>
  <c r="F1246" i="1" l="1"/>
  <c r="D1246" i="1" s="1"/>
  <c r="G1246" i="1" s="1"/>
  <c r="C1246" i="1"/>
  <c r="E1246" i="1"/>
  <c r="H1246" i="1"/>
  <c r="B1247" i="1" l="1"/>
  <c r="C1247" i="1" l="1"/>
  <c r="E1247" i="1"/>
  <c r="H1247" i="1"/>
  <c r="F1247" i="1"/>
  <c r="D1247" i="1" s="1"/>
  <c r="G1247" i="1" s="1"/>
  <c r="B1248" i="1" l="1"/>
  <c r="C1248" i="1" l="1"/>
  <c r="E1248" i="1"/>
  <c r="F1248" i="1"/>
  <c r="D1248" i="1" s="1"/>
  <c r="G1248" i="1" s="1"/>
  <c r="H1248" i="1"/>
  <c r="B1249" i="1" s="1"/>
  <c r="E1249" i="1" l="1"/>
  <c r="H1249" i="1"/>
  <c r="C1249" i="1"/>
  <c r="F1249" i="1"/>
  <c r="D1249" i="1" s="1"/>
  <c r="G1249" i="1" s="1"/>
  <c r="B1250" i="1" l="1"/>
  <c r="E1250" i="1" l="1"/>
  <c r="F1250" i="1"/>
  <c r="D1250" i="1" s="1"/>
  <c r="G1250" i="1" s="1"/>
  <c r="H1250" i="1"/>
  <c r="B1251" i="1" s="1"/>
  <c r="C1250" i="1"/>
  <c r="E1251" i="1" l="1"/>
  <c r="C1251" i="1"/>
  <c r="H1251" i="1"/>
  <c r="F1251" i="1"/>
  <c r="D1251" i="1" s="1"/>
  <c r="G1251" i="1" s="1"/>
  <c r="B1252" i="1" l="1"/>
  <c r="C1252" i="1" l="1"/>
  <c r="F1252" i="1"/>
  <c r="D1252" i="1" s="1"/>
  <c r="G1252" i="1" s="1"/>
  <c r="H1252" i="1"/>
  <c r="B1253" i="1" s="1"/>
  <c r="E1252" i="1"/>
  <c r="H1253" i="1" l="1"/>
  <c r="E1253" i="1"/>
  <c r="C1253" i="1"/>
  <c r="F1253" i="1"/>
  <c r="D1253" i="1" s="1"/>
  <c r="G1253" i="1" s="1"/>
  <c r="B1254" i="1" l="1"/>
  <c r="H1254" i="1" l="1"/>
  <c r="F1254" i="1"/>
  <c r="D1254" i="1" s="1"/>
  <c r="G1254" i="1" s="1"/>
  <c r="E1254" i="1"/>
  <c r="C1254" i="1"/>
  <c r="B1255" i="1" l="1"/>
  <c r="C1255" i="1" l="1"/>
  <c r="H1255" i="1"/>
  <c r="E1255" i="1"/>
  <c r="F1255" i="1"/>
  <c r="D1255" i="1" s="1"/>
  <c r="G1255" i="1" s="1"/>
  <c r="B1256" i="1" l="1"/>
  <c r="F1256" i="1" l="1"/>
  <c r="D1256" i="1" s="1"/>
  <c r="G1256" i="1" s="1"/>
  <c r="H1256" i="1"/>
  <c r="C1256" i="1"/>
  <c r="E1256" i="1"/>
  <c r="B1257" i="1" l="1"/>
  <c r="F1257" i="1"/>
  <c r="D1257" i="1" s="1"/>
  <c r="G1257" i="1" s="1"/>
  <c r="H1257" i="1"/>
  <c r="B1258" i="1" s="1"/>
  <c r="E1257" i="1"/>
  <c r="C1257" i="1"/>
  <c r="C1258" i="1" l="1"/>
  <c r="F1258" i="1"/>
  <c r="D1258" i="1" s="1"/>
  <c r="G1258" i="1" s="1"/>
  <c r="H1258" i="1"/>
  <c r="E1258" i="1"/>
  <c r="B1259" i="1" l="1"/>
  <c r="E1259" i="1" s="1"/>
  <c r="F1259" i="1"/>
  <c r="D1259" i="1" s="1"/>
  <c r="G1259" i="1" s="1"/>
  <c r="C1259" i="1" l="1"/>
  <c r="H1259" i="1"/>
  <c r="B1260" i="1"/>
  <c r="C1260" i="1" l="1"/>
  <c r="F1260" i="1"/>
  <c r="D1260" i="1" s="1"/>
  <c r="G1260" i="1" s="1"/>
  <c r="H1260" i="1"/>
  <c r="E1260" i="1"/>
  <c r="B1261" i="1" l="1"/>
  <c r="C1261" i="1" s="1"/>
  <c r="F1261" i="1"/>
  <c r="D1261" i="1" s="1"/>
  <c r="G1261" i="1" s="1"/>
  <c r="H1261" i="1"/>
  <c r="E1261" i="1" l="1"/>
  <c r="B1262" i="1"/>
  <c r="F1262" i="1" l="1"/>
  <c r="D1262" i="1" s="1"/>
  <c r="G1262" i="1" s="1"/>
  <c r="H1262" i="1"/>
  <c r="C1262" i="1"/>
  <c r="E1262" i="1"/>
  <c r="B1263" i="1" l="1"/>
  <c r="E1263" i="1" l="1"/>
  <c r="C1263" i="1"/>
  <c r="H1263" i="1"/>
  <c r="F1263" i="1"/>
  <c r="D1263" i="1" s="1"/>
  <c r="G1263" i="1" s="1"/>
  <c r="B1264" i="1" l="1"/>
  <c r="H1264" i="1" l="1"/>
  <c r="C1264" i="1"/>
  <c r="F1264" i="1"/>
  <c r="D1264" i="1" s="1"/>
  <c r="G1264" i="1" s="1"/>
  <c r="E1264" i="1"/>
  <c r="B1265" i="1" l="1"/>
  <c r="H1265" i="1" l="1"/>
  <c r="F1265" i="1"/>
  <c r="D1265" i="1" s="1"/>
  <c r="G1265" i="1" s="1"/>
  <c r="E1265" i="1"/>
  <c r="C1265" i="1"/>
  <c r="B1266" i="1" l="1"/>
  <c r="F1266" i="1" l="1"/>
  <c r="D1266" i="1" s="1"/>
  <c r="G1266" i="1" s="1"/>
  <c r="E1266" i="1"/>
  <c r="H1266" i="1"/>
  <c r="B1267" i="1" s="1"/>
  <c r="C1266" i="1"/>
  <c r="F1267" i="1" l="1"/>
  <c r="D1267" i="1" s="1"/>
  <c r="G1267" i="1" s="1"/>
  <c r="H1267" i="1"/>
  <c r="B1268" i="1" s="1"/>
  <c r="C1267" i="1"/>
  <c r="E1267" i="1"/>
  <c r="F1268" i="1" l="1"/>
  <c r="D1268" i="1" s="1"/>
  <c r="G1268" i="1" s="1"/>
  <c r="C1268" i="1"/>
  <c r="E1268" i="1"/>
  <c r="H1268" i="1"/>
  <c r="B1269" i="1" l="1"/>
  <c r="F1269" i="1"/>
  <c r="D1269" i="1" s="1"/>
  <c r="G1269" i="1" s="1"/>
  <c r="C1269" i="1"/>
  <c r="H1269" i="1"/>
  <c r="B1270" i="1" s="1"/>
  <c r="E1269" i="1"/>
  <c r="F1270" i="1" l="1"/>
  <c r="D1270" i="1" s="1"/>
  <c r="G1270" i="1" s="1"/>
  <c r="C1270" i="1"/>
  <c r="E1270" i="1"/>
  <c r="H1270" i="1"/>
  <c r="B1271" i="1" l="1"/>
  <c r="C1271" i="1" s="1"/>
  <c r="H1271" i="1"/>
  <c r="E1271" i="1"/>
  <c r="F1271" i="1"/>
  <c r="D1271" i="1" s="1"/>
  <c r="G1271" i="1" s="1"/>
  <c r="B1272" i="1" l="1"/>
  <c r="E1272" i="1" l="1"/>
  <c r="H1272" i="1"/>
  <c r="C1272" i="1"/>
  <c r="F1272" i="1"/>
  <c r="D1272" i="1" s="1"/>
  <c r="G1272" i="1" s="1"/>
  <c r="B1273" i="1" l="1"/>
  <c r="E1273" i="1" s="1"/>
  <c r="D1273" i="1"/>
  <c r="F1273" i="1" l="1"/>
  <c r="C1273" i="1"/>
  <c r="G1273" i="1"/>
  <c r="H1273" i="1"/>
  <c r="B1274" i="1" s="1"/>
  <c r="F1274" i="1"/>
  <c r="D1274" i="1" s="1"/>
  <c r="G1274" i="1" s="1"/>
  <c r="H1274" i="1"/>
  <c r="B1275" i="1" s="1"/>
  <c r="E1274" i="1"/>
  <c r="C1274" i="1"/>
  <c r="E1275" i="1" l="1"/>
  <c r="C1275" i="1"/>
  <c r="H1275" i="1"/>
  <c r="F1275" i="1"/>
  <c r="D1275" i="1" s="1"/>
  <c r="G1275" i="1" s="1"/>
  <c r="B1276" i="1" l="1"/>
  <c r="C1276" i="1" l="1"/>
  <c r="E1276" i="1"/>
  <c r="F1276" i="1"/>
  <c r="D1276" i="1" s="1"/>
  <c r="G1276" i="1" s="1"/>
  <c r="H1276" i="1"/>
  <c r="B1277" i="1" l="1"/>
  <c r="E1277" i="1" s="1"/>
  <c r="H1277" i="1"/>
  <c r="C1277" i="1"/>
  <c r="F1277" i="1"/>
  <c r="D1277" i="1" s="1"/>
  <c r="G1277" i="1" s="1"/>
  <c r="B1278" i="1" l="1"/>
  <c r="C1278" i="1" l="1"/>
  <c r="F1278" i="1"/>
  <c r="D1278" i="1" s="1"/>
  <c r="G1278" i="1" s="1"/>
  <c r="H1278" i="1"/>
  <c r="E1278" i="1"/>
  <c r="B1279" i="1" l="1"/>
  <c r="F1279" i="1" s="1"/>
  <c r="D1279" i="1" s="1"/>
  <c r="G1279" i="1" s="1"/>
  <c r="E1279" i="1" l="1"/>
  <c r="C1279" i="1"/>
  <c r="H1279" i="1"/>
  <c r="B1280" i="1" s="1"/>
  <c r="F1280" i="1" s="1"/>
  <c r="D1280" i="1" s="1"/>
  <c r="G1280" i="1" s="1"/>
  <c r="C1280" i="1"/>
  <c r="E1280" i="1" l="1"/>
  <c r="H1280" i="1"/>
  <c r="B1281" i="1" s="1"/>
  <c r="F1281" i="1"/>
  <c r="D1281" i="1" s="1"/>
  <c r="G1281" i="1" s="1"/>
  <c r="H1281" i="1"/>
  <c r="B1282" i="1" s="1"/>
  <c r="E1281" i="1"/>
  <c r="C1281" i="1"/>
  <c r="H1282" i="1" l="1"/>
  <c r="C1282" i="1"/>
  <c r="F1282" i="1"/>
  <c r="D1282" i="1" s="1"/>
  <c r="G1282" i="1" s="1"/>
  <c r="E1282" i="1"/>
  <c r="B1283" i="1" l="1"/>
  <c r="H1283" i="1" l="1"/>
  <c r="E1283" i="1"/>
  <c r="C1283" i="1"/>
  <c r="F1283" i="1"/>
  <c r="D1283" i="1" s="1"/>
  <c r="G1283" i="1" s="1"/>
  <c r="B1284" i="1" l="1"/>
  <c r="H1284" i="1" l="1"/>
  <c r="E1284" i="1"/>
  <c r="C1284" i="1"/>
  <c r="F1284" i="1"/>
  <c r="D1284" i="1" s="1"/>
  <c r="G1284" i="1" s="1"/>
  <c r="B1285" i="1" l="1"/>
  <c r="H1285" i="1" l="1"/>
  <c r="C1285" i="1"/>
  <c r="F1285" i="1"/>
  <c r="D1285" i="1" s="1"/>
  <c r="G1285" i="1" s="1"/>
  <c r="E1285" i="1"/>
  <c r="B1286" i="1" l="1"/>
  <c r="C1286" i="1" l="1"/>
  <c r="E1286" i="1"/>
  <c r="H1286" i="1"/>
  <c r="F1286" i="1"/>
  <c r="D1286" i="1" s="1"/>
  <c r="G1286" i="1" s="1"/>
  <c r="B1287" i="1" l="1"/>
  <c r="F1287" i="1" l="1"/>
  <c r="D1287" i="1" s="1"/>
  <c r="G1287" i="1" s="1"/>
  <c r="H1287" i="1"/>
  <c r="C1287" i="1"/>
  <c r="E1287" i="1"/>
  <c r="B1288" i="1" l="1"/>
  <c r="H1288" i="1"/>
  <c r="C1288" i="1"/>
  <c r="E1288" i="1"/>
  <c r="F1288" i="1"/>
  <c r="D1288" i="1" s="1"/>
  <c r="G1288" i="1" s="1"/>
  <c r="B1289" i="1" l="1"/>
  <c r="E1289" i="1" l="1"/>
  <c r="C1289" i="1"/>
  <c r="F1289" i="1"/>
  <c r="D1289" i="1" s="1"/>
  <c r="G1289" i="1" s="1"/>
  <c r="H1289" i="1"/>
  <c r="B1290" i="1" l="1"/>
  <c r="E1290" i="1" s="1"/>
  <c r="H1290" i="1" l="1"/>
  <c r="C1290" i="1"/>
  <c r="F1290" i="1"/>
  <c r="D1290" i="1" s="1"/>
  <c r="G1290" i="1" s="1"/>
  <c r="B1291" i="1" l="1"/>
  <c r="C1291" i="1" l="1"/>
  <c r="H1291" i="1"/>
  <c r="F1291" i="1"/>
  <c r="D1291" i="1" s="1"/>
  <c r="G1291" i="1" s="1"/>
  <c r="E1291" i="1"/>
  <c r="B1292" i="1" l="1"/>
  <c r="E1292" i="1" l="1"/>
  <c r="F1292" i="1"/>
  <c r="D1292" i="1" s="1"/>
  <c r="G1292" i="1" s="1"/>
  <c r="C1292" i="1"/>
  <c r="H1292" i="1"/>
  <c r="B1293" i="1" l="1"/>
  <c r="C1293" i="1" l="1"/>
  <c r="H1293" i="1"/>
  <c r="E1293" i="1"/>
  <c r="F1293" i="1"/>
  <c r="D1293" i="1" s="1"/>
  <c r="G1293" i="1" s="1"/>
  <c r="B1294" i="1" l="1"/>
  <c r="H1294" i="1" l="1"/>
  <c r="F1294" i="1"/>
  <c r="D1294" i="1" s="1"/>
  <c r="G1294" i="1" s="1"/>
  <c r="E1294" i="1"/>
  <c r="C1294" i="1"/>
  <c r="B1295" i="1" l="1"/>
  <c r="F1295" i="1" l="1"/>
  <c r="D1295" i="1" s="1"/>
  <c r="G1295" i="1" s="1"/>
  <c r="H1295" i="1"/>
  <c r="B1296" i="1" s="1"/>
  <c r="C1295" i="1"/>
  <c r="E1295" i="1"/>
  <c r="H1296" i="1" l="1"/>
  <c r="F1296" i="1"/>
  <c r="D1296" i="1" s="1"/>
  <c r="G1296" i="1" s="1"/>
  <c r="C1296" i="1"/>
  <c r="E1296" i="1"/>
  <c r="B1297" i="1" l="1"/>
  <c r="E1297" i="1" l="1"/>
  <c r="H1297" i="1"/>
  <c r="F1297" i="1"/>
  <c r="D1297" i="1" s="1"/>
  <c r="G1297" i="1" s="1"/>
  <c r="C1297" i="1"/>
  <c r="B1298" i="1" l="1"/>
  <c r="H1298" i="1" l="1"/>
  <c r="E1298" i="1"/>
  <c r="C1298" i="1"/>
  <c r="F1298" i="1"/>
  <c r="D1298" i="1" s="1"/>
  <c r="G1298" i="1" s="1"/>
  <c r="B1299" i="1" l="1"/>
  <c r="E1299" i="1" l="1"/>
  <c r="H1299" i="1"/>
  <c r="F1299" i="1"/>
  <c r="D1299" i="1" s="1"/>
  <c r="G1299" i="1" s="1"/>
  <c r="C1299" i="1"/>
  <c r="B1300" i="1" l="1"/>
  <c r="H1300" i="1" l="1"/>
  <c r="E1300" i="1"/>
  <c r="C1300" i="1"/>
  <c r="F1300" i="1"/>
  <c r="D1300" i="1" s="1"/>
  <c r="G1300" i="1" s="1"/>
  <c r="B1301" i="1" l="1"/>
  <c r="C1301" i="1" l="1"/>
  <c r="F1301" i="1"/>
  <c r="D1301" i="1" s="1"/>
  <c r="G1301" i="1" s="1"/>
  <c r="E1301" i="1"/>
  <c r="H1301" i="1"/>
  <c r="B1302" i="1" s="1"/>
  <c r="H1302" i="1" l="1"/>
  <c r="E1302" i="1"/>
  <c r="C1302" i="1"/>
  <c r="F1302" i="1"/>
  <c r="D1302" i="1" s="1"/>
  <c r="G1302" i="1" s="1"/>
  <c r="B1303" i="1" l="1"/>
  <c r="H1303" i="1" l="1"/>
  <c r="E1303" i="1"/>
  <c r="F1303" i="1"/>
  <c r="D1303" i="1" s="1"/>
  <c r="G1303" i="1" s="1"/>
  <c r="C1303" i="1"/>
  <c r="B1304" i="1" l="1"/>
  <c r="F1304" i="1" l="1"/>
  <c r="D1304" i="1" s="1"/>
  <c r="G1304" i="1" s="1"/>
  <c r="E1304" i="1"/>
  <c r="H1304" i="1"/>
  <c r="B1305" i="1" s="1"/>
  <c r="C1304" i="1"/>
  <c r="C1305" i="1" l="1"/>
  <c r="F1305" i="1"/>
  <c r="D1305" i="1" s="1"/>
  <c r="G1305" i="1" s="1"/>
  <c r="H1305" i="1"/>
  <c r="B1306" i="1" s="1"/>
  <c r="E1305" i="1"/>
  <c r="H1306" i="1" l="1"/>
  <c r="E1306" i="1"/>
  <c r="C1306" i="1"/>
  <c r="F1306" i="1"/>
  <c r="D1306" i="1" s="1"/>
  <c r="G1306" i="1" s="1"/>
  <c r="B1307" i="1" l="1"/>
  <c r="H1307" i="1" l="1"/>
  <c r="F1307" i="1"/>
  <c r="D1307" i="1" s="1"/>
  <c r="G1307" i="1" s="1"/>
  <c r="E1307" i="1"/>
  <c r="C1307" i="1"/>
  <c r="B1308" i="1" l="1"/>
  <c r="E1308" i="1" l="1"/>
  <c r="C1308" i="1"/>
  <c r="F1308" i="1"/>
  <c r="D1308" i="1" s="1"/>
  <c r="G1308" i="1" s="1"/>
  <c r="H1308" i="1"/>
  <c r="B1309" i="1" s="1"/>
  <c r="E1309" i="1" l="1"/>
  <c r="H1309" i="1"/>
  <c r="C1309" i="1"/>
  <c r="F1309" i="1"/>
  <c r="D1309" i="1" s="1"/>
  <c r="G1309" i="1" s="1"/>
  <c r="B1310" i="1" l="1"/>
  <c r="F1310" i="1" l="1"/>
  <c r="D1310" i="1" s="1"/>
  <c r="G1310" i="1" s="1"/>
  <c r="H1310" i="1"/>
  <c r="C1310" i="1"/>
  <c r="E1310" i="1"/>
  <c r="B1311" i="1" l="1"/>
  <c r="H1311" i="1"/>
  <c r="E1311" i="1"/>
  <c r="C1311" i="1"/>
  <c r="F1311" i="1"/>
  <c r="D1311" i="1" s="1"/>
  <c r="G1311" i="1" s="1"/>
  <c r="B1312" i="1" l="1"/>
  <c r="H1312" i="1" l="1"/>
  <c r="F1312" i="1"/>
  <c r="D1312" i="1" s="1"/>
  <c r="G1312" i="1" s="1"/>
  <c r="C1312" i="1"/>
  <c r="E1312" i="1"/>
  <c r="B1313" i="1" l="1"/>
  <c r="C1313" i="1" l="1"/>
  <c r="E1313" i="1"/>
  <c r="H1313" i="1"/>
  <c r="F1313" i="1"/>
  <c r="D1313" i="1" s="1"/>
  <c r="G1313" i="1" s="1"/>
  <c r="B1314" i="1" l="1"/>
  <c r="H1314" i="1" l="1"/>
  <c r="C1314" i="1"/>
  <c r="E1314" i="1"/>
  <c r="F1314" i="1"/>
  <c r="D1314" i="1" s="1"/>
  <c r="G1314" i="1" s="1"/>
  <c r="B1315" i="1" l="1"/>
  <c r="H1315" i="1" l="1"/>
  <c r="C1315" i="1"/>
  <c r="F1315" i="1"/>
  <c r="D1315" i="1" s="1"/>
  <c r="G1315" i="1" s="1"/>
  <c r="E1315" i="1"/>
  <c r="B1316" i="1" l="1"/>
  <c r="E1316" i="1" l="1"/>
  <c r="C1316" i="1"/>
  <c r="F1316" i="1"/>
  <c r="D1316" i="1" s="1"/>
  <c r="G1316" i="1" s="1"/>
  <c r="H1316" i="1"/>
  <c r="B1317" i="1" s="1"/>
  <c r="H1317" i="1" l="1"/>
  <c r="F1317" i="1"/>
  <c r="D1317" i="1" s="1"/>
  <c r="G1317" i="1" s="1"/>
  <c r="E1317" i="1"/>
  <c r="C1317" i="1"/>
  <c r="B1318" i="1" l="1"/>
  <c r="H1318" i="1" l="1"/>
  <c r="F1318" i="1"/>
  <c r="D1318" i="1" s="1"/>
  <c r="G1318" i="1" s="1"/>
  <c r="E1318" i="1"/>
  <c r="C1318" i="1"/>
  <c r="B1319" i="1" l="1"/>
  <c r="E1319" i="1" l="1"/>
  <c r="H1319" i="1"/>
  <c r="F1319" i="1"/>
  <c r="D1319" i="1" s="1"/>
  <c r="G1319" i="1" s="1"/>
  <c r="C1319" i="1"/>
  <c r="B1320" i="1" l="1"/>
  <c r="E1320" i="1" l="1"/>
  <c r="C1320" i="1"/>
  <c r="H1320" i="1"/>
  <c r="F1320" i="1"/>
  <c r="D1320" i="1" s="1"/>
  <c r="G1320" i="1" s="1"/>
  <c r="B1321" i="1" l="1"/>
  <c r="H1321" i="1" l="1"/>
  <c r="F1321" i="1"/>
  <c r="D1321" i="1" s="1"/>
  <c r="G1321" i="1" s="1"/>
  <c r="E1321" i="1"/>
  <c r="C1321" i="1"/>
  <c r="B1322" i="1" l="1"/>
  <c r="E1322" i="1" l="1"/>
  <c r="H1322" i="1"/>
  <c r="F1322" i="1"/>
  <c r="D1322" i="1" s="1"/>
  <c r="G1322" i="1" s="1"/>
  <c r="C1322" i="1"/>
  <c r="B1323" i="1" l="1"/>
  <c r="E1323" i="1" l="1"/>
  <c r="F1323" i="1"/>
  <c r="D1323" i="1" s="1"/>
  <c r="G1323" i="1" s="1"/>
  <c r="H1323" i="1"/>
  <c r="B1324" i="1" s="1"/>
  <c r="C1323" i="1"/>
  <c r="F1324" i="1" l="1"/>
  <c r="D1324" i="1" s="1"/>
  <c r="G1324" i="1" s="1"/>
  <c r="H1324" i="1"/>
  <c r="B1325" i="1" s="1"/>
  <c r="E1324" i="1"/>
  <c r="C1324" i="1"/>
  <c r="C1325" i="1" l="1"/>
  <c r="H1325" i="1"/>
  <c r="E1325" i="1"/>
  <c r="F1325" i="1"/>
  <c r="D1325" i="1" s="1"/>
  <c r="G1325" i="1" s="1"/>
  <c r="B1326" i="1" l="1"/>
  <c r="C1326" i="1" l="1"/>
  <c r="F1326" i="1"/>
  <c r="D1326" i="1" s="1"/>
  <c r="G1326" i="1" s="1"/>
  <c r="H1326" i="1"/>
  <c r="B1327" i="1" s="1"/>
  <c r="E1326" i="1"/>
  <c r="E1327" i="1" l="1"/>
  <c r="H1327" i="1"/>
  <c r="C1327" i="1"/>
  <c r="F1327" i="1"/>
  <c r="D1327" i="1" s="1"/>
  <c r="G1327" i="1" s="1"/>
  <c r="B1328" i="1" l="1"/>
  <c r="H1328" i="1" l="1"/>
  <c r="F1328" i="1"/>
  <c r="D1328" i="1" s="1"/>
  <c r="G1328" i="1" s="1"/>
  <c r="C1328" i="1"/>
  <c r="E1328" i="1"/>
  <c r="B1329" i="1" l="1"/>
  <c r="F1329" i="1" l="1"/>
  <c r="D1329" i="1" s="1"/>
  <c r="G1329" i="1" s="1"/>
  <c r="H1329" i="1"/>
  <c r="B1330" i="1" s="1"/>
  <c r="E1329" i="1"/>
  <c r="C1329" i="1"/>
  <c r="E1330" i="1" l="1"/>
  <c r="C1330" i="1"/>
  <c r="F1330" i="1"/>
  <c r="D1330" i="1" s="1"/>
  <c r="G1330" i="1" s="1"/>
  <c r="H1330" i="1"/>
  <c r="B1331" i="1" s="1"/>
  <c r="C1331" i="1" l="1"/>
  <c r="E1331" i="1"/>
  <c r="H1331" i="1"/>
  <c r="F1331" i="1"/>
  <c r="D1331" i="1" s="1"/>
  <c r="G1331" i="1" s="1"/>
  <c r="B1332" i="1" l="1"/>
  <c r="C1332" i="1" l="1"/>
  <c r="F1332" i="1"/>
  <c r="D1332" i="1" s="1"/>
  <c r="G1332" i="1" s="1"/>
  <c r="E1332" i="1"/>
  <c r="H1332" i="1"/>
  <c r="B1333" i="1" s="1"/>
  <c r="F1333" i="1" l="1"/>
  <c r="D1333" i="1" s="1"/>
  <c r="G1333" i="1" s="1"/>
  <c r="H1333" i="1"/>
  <c r="B1334" i="1" s="1"/>
  <c r="C1333" i="1"/>
  <c r="E1333" i="1"/>
  <c r="C1334" i="1" l="1"/>
  <c r="H1334" i="1"/>
  <c r="E1334" i="1"/>
  <c r="F1334" i="1"/>
  <c r="D1334" i="1" s="1"/>
  <c r="G1334" i="1" s="1"/>
  <c r="B1335" i="1" l="1"/>
  <c r="H1335" i="1" l="1"/>
  <c r="F1335" i="1"/>
  <c r="D1335" i="1" s="1"/>
  <c r="G1335" i="1" s="1"/>
  <c r="C1335" i="1"/>
  <c r="E1335" i="1"/>
  <c r="B1336" i="1" l="1"/>
  <c r="E1336" i="1" l="1"/>
  <c r="C1336" i="1"/>
  <c r="F1336" i="1"/>
  <c r="D1336" i="1" s="1"/>
  <c r="G1336" i="1" s="1"/>
  <c r="H1336" i="1"/>
  <c r="B1337" i="1" s="1"/>
  <c r="C1337" i="1" l="1"/>
  <c r="E1337" i="1"/>
  <c r="H1337" i="1"/>
  <c r="F1337" i="1"/>
  <c r="D1337" i="1" s="1"/>
  <c r="G1337" i="1" s="1"/>
  <c r="B1338" i="1" l="1"/>
  <c r="F1338" i="1" l="1"/>
  <c r="D1338" i="1" s="1"/>
  <c r="G1338" i="1" s="1"/>
  <c r="E1338" i="1"/>
  <c r="C1338" i="1"/>
  <c r="H1338" i="1"/>
  <c r="B1339" i="1" s="1"/>
  <c r="C1339" i="1" l="1"/>
  <c r="F1339" i="1"/>
  <c r="D1339" i="1" s="1"/>
  <c r="G1339" i="1" s="1"/>
  <c r="H1339" i="1"/>
  <c r="B1340" i="1" s="1"/>
  <c r="E1339" i="1"/>
  <c r="E1340" i="1" l="1"/>
  <c r="C1340" i="1"/>
  <c r="F1340" i="1"/>
  <c r="D1340" i="1" s="1"/>
  <c r="G1340" i="1" s="1"/>
  <c r="H1340" i="1"/>
  <c r="B1341" i="1" s="1"/>
  <c r="E1341" i="1" l="1"/>
  <c r="F1341" i="1"/>
  <c r="D1341" i="1" s="1"/>
  <c r="G1341" i="1" s="1"/>
  <c r="H1341" i="1"/>
  <c r="B1342" i="1" s="1"/>
  <c r="C1341" i="1"/>
  <c r="E1342" i="1" l="1"/>
  <c r="C1342" i="1"/>
  <c r="H1342" i="1"/>
  <c r="F1342" i="1"/>
  <c r="D1342" i="1" s="1"/>
  <c r="G1342" i="1" s="1"/>
  <c r="B1343" i="1" l="1"/>
  <c r="C1343" i="1" l="1"/>
  <c r="E1343" i="1"/>
  <c r="F1343" i="1"/>
  <c r="D1343" i="1" s="1"/>
  <c r="G1343" i="1" s="1"/>
  <c r="H1343" i="1"/>
  <c r="B1344" i="1" s="1"/>
  <c r="E1344" i="1" l="1"/>
  <c r="F1344" i="1"/>
  <c r="D1344" i="1" s="1"/>
  <c r="G1344" i="1" s="1"/>
  <c r="H1344" i="1"/>
  <c r="B1345" i="1" s="1"/>
  <c r="C1344" i="1"/>
  <c r="E1345" i="1" l="1"/>
  <c r="F1345" i="1"/>
  <c r="D1345" i="1" s="1"/>
  <c r="G1345" i="1" s="1"/>
  <c r="C1345" i="1"/>
  <c r="H1345" i="1"/>
  <c r="B1346" i="1" l="1"/>
  <c r="C1346" i="1"/>
  <c r="E1346" i="1"/>
  <c r="F1346" i="1"/>
  <c r="D1346" i="1" s="1"/>
  <c r="G1346" i="1" s="1"/>
  <c r="H1346" i="1"/>
  <c r="B1347" i="1" s="1"/>
  <c r="E1347" i="1" l="1"/>
  <c r="F1347" i="1"/>
  <c r="D1347" i="1" s="1"/>
  <c r="G1347" i="1" s="1"/>
  <c r="H1347" i="1"/>
  <c r="B1348" i="1" s="1"/>
  <c r="C1347" i="1"/>
  <c r="E1348" i="1" l="1"/>
  <c r="H1348" i="1"/>
  <c r="F1348" i="1"/>
  <c r="D1348" i="1" s="1"/>
  <c r="G1348" i="1" s="1"/>
  <c r="C1348" i="1"/>
  <c r="B1349" i="1" l="1"/>
  <c r="E1349" i="1" l="1"/>
  <c r="F1349" i="1"/>
  <c r="D1349" i="1" s="1"/>
  <c r="G1349" i="1" s="1"/>
  <c r="C1349" i="1"/>
  <c r="H1349" i="1"/>
  <c r="B1350" i="1" s="1"/>
  <c r="F1350" i="1" l="1"/>
  <c r="D1350" i="1" s="1"/>
  <c r="G1350" i="1" s="1"/>
  <c r="E1350" i="1"/>
  <c r="C1350" i="1"/>
  <c r="H1350" i="1"/>
  <c r="B1351" i="1" s="1"/>
  <c r="F1351" i="1" l="1"/>
  <c r="D1351" i="1" s="1"/>
  <c r="G1351" i="1" s="1"/>
  <c r="E1351" i="1"/>
  <c r="C1351" i="1"/>
  <c r="H1351" i="1"/>
  <c r="B1352" i="1" l="1"/>
  <c r="C1352" i="1" l="1"/>
  <c r="F1352" i="1"/>
  <c r="D1352" i="1" s="1"/>
  <c r="G1352" i="1" s="1"/>
  <c r="E1352" i="1"/>
  <c r="H1352" i="1"/>
  <c r="B1353" i="1" s="1"/>
  <c r="E1353" i="1" l="1"/>
  <c r="F1353" i="1"/>
  <c r="D1353" i="1" s="1"/>
  <c r="G1353" i="1" s="1"/>
  <c r="H1353" i="1"/>
  <c r="B1354" i="1" s="1"/>
  <c r="C1353" i="1"/>
  <c r="F1354" i="1" l="1"/>
  <c r="D1354" i="1" s="1"/>
  <c r="G1354" i="1" s="1"/>
  <c r="C1354" i="1"/>
  <c r="H1354" i="1"/>
  <c r="B1355" i="1" s="1"/>
  <c r="E1354" i="1"/>
  <c r="F1355" i="1" l="1"/>
  <c r="D1355" i="1" s="1"/>
  <c r="G1355" i="1" s="1"/>
  <c r="H1355" i="1"/>
  <c r="B1356" i="1" s="1"/>
  <c r="C1355" i="1"/>
  <c r="E1355" i="1"/>
  <c r="C1356" i="1" l="1"/>
  <c r="H1356" i="1"/>
  <c r="E1356" i="1"/>
  <c r="F1356" i="1"/>
  <c r="D1356" i="1" s="1"/>
  <c r="G1356" i="1" s="1"/>
  <c r="B1357" i="1" l="1"/>
  <c r="F1357" i="1" l="1"/>
  <c r="D1357" i="1" s="1"/>
  <c r="G1357" i="1" s="1"/>
  <c r="C1357" i="1"/>
  <c r="E1357" i="1"/>
  <c r="H1357" i="1"/>
  <c r="B1358" i="1" s="1"/>
  <c r="E1358" i="1" l="1"/>
  <c r="H1358" i="1"/>
  <c r="F1358" i="1"/>
  <c r="D1358" i="1" s="1"/>
  <c r="G1358" i="1" s="1"/>
  <c r="C1358" i="1"/>
  <c r="B1359" i="1" l="1"/>
  <c r="H1359" i="1" s="1"/>
  <c r="E1359" i="1"/>
  <c r="C1359" i="1" l="1"/>
  <c r="F1359" i="1"/>
  <c r="D1359" i="1" s="1"/>
  <c r="G1359" i="1" s="1"/>
  <c r="B1360" i="1"/>
  <c r="C1360" i="1" l="1"/>
  <c r="E1360" i="1"/>
  <c r="F1360" i="1"/>
  <c r="D1360" i="1" s="1"/>
  <c r="G1360" i="1" s="1"/>
  <c r="H1360" i="1"/>
  <c r="B1361" i="1" s="1"/>
  <c r="F1361" i="1" l="1"/>
  <c r="D1361" i="1" s="1"/>
  <c r="G1361" i="1" s="1"/>
  <c r="H1361" i="1"/>
  <c r="B1362" i="1" s="1"/>
  <c r="C1361" i="1"/>
  <c r="E1361" i="1"/>
  <c r="C1362" i="1" l="1"/>
  <c r="F1362" i="1"/>
  <c r="D1362" i="1" s="1"/>
  <c r="G1362" i="1" s="1"/>
  <c r="H1362" i="1"/>
  <c r="B1363" i="1" s="1"/>
  <c r="E1362" i="1"/>
  <c r="H1363" i="1" l="1"/>
  <c r="C1363" i="1"/>
  <c r="E1363" i="1"/>
  <c r="F1363" i="1"/>
  <c r="D1363" i="1" s="1"/>
  <c r="G1363" i="1" s="1"/>
  <c r="B1364" i="1" l="1"/>
  <c r="C1364" i="1" l="1"/>
  <c r="F1364" i="1"/>
  <c r="D1364" i="1" s="1"/>
  <c r="G1364" i="1" s="1"/>
  <c r="H1364" i="1"/>
  <c r="B1365" i="1" s="1"/>
  <c r="E1364" i="1"/>
  <c r="E1365" i="1" l="1"/>
  <c r="F1365" i="1"/>
  <c r="D1365" i="1" s="1"/>
  <c r="G1365" i="1" s="1"/>
  <c r="H1365" i="1"/>
  <c r="C1365" i="1"/>
  <c r="B1366" i="1" l="1"/>
  <c r="E1366" i="1"/>
  <c r="C1366" i="1"/>
  <c r="F1366" i="1"/>
  <c r="D1366" i="1" s="1"/>
  <c r="G1366" i="1" s="1"/>
  <c r="H1366" i="1"/>
  <c r="B1367" i="1" l="1"/>
  <c r="F1367" i="1" s="1"/>
  <c r="D1367" i="1" s="1"/>
  <c r="G1367" i="1" s="1"/>
  <c r="C1367" i="1" l="1"/>
  <c r="H1367" i="1"/>
  <c r="B1368" i="1" s="1"/>
  <c r="C1368" i="1" s="1"/>
  <c r="E1367" i="1"/>
  <c r="E1368" i="1"/>
  <c r="H1368" i="1" l="1"/>
  <c r="F1368" i="1"/>
  <c r="D1368" i="1" s="1"/>
  <c r="G1368" i="1" s="1"/>
  <c r="B1369" i="1" l="1"/>
  <c r="F1369" i="1" l="1"/>
  <c r="D1369" i="1" s="1"/>
  <c r="G1369" i="1" s="1"/>
  <c r="E1369" i="1"/>
  <c r="H1369" i="1"/>
  <c r="B1370" i="1" s="1"/>
  <c r="C1369" i="1"/>
  <c r="F1370" i="1"/>
  <c r="D1370" i="1" s="1"/>
  <c r="G1370" i="1" s="1"/>
  <c r="E1370" i="1"/>
  <c r="C1370" i="1"/>
  <c r="H1370" i="1"/>
  <c r="B1371" i="1" s="1"/>
  <c r="F1371" i="1" l="1"/>
  <c r="D1371" i="1" s="1"/>
  <c r="G1371" i="1" s="1"/>
  <c r="H1371" i="1"/>
  <c r="B1372" i="1" s="1"/>
  <c r="C1371" i="1"/>
  <c r="E1371" i="1"/>
  <c r="H1372" i="1" l="1"/>
  <c r="F1372" i="1"/>
  <c r="D1372" i="1" s="1"/>
  <c r="G1372" i="1" s="1"/>
  <c r="E1372" i="1"/>
  <c r="C1372" i="1"/>
  <c r="B1373" i="1" l="1"/>
  <c r="F1373" i="1" l="1"/>
  <c r="D1373" i="1" s="1"/>
  <c r="G1373" i="1" s="1"/>
  <c r="E1373" i="1"/>
  <c r="C1373" i="1"/>
  <c r="H1373" i="1"/>
  <c r="B1374" i="1" l="1"/>
  <c r="C1374" i="1" l="1"/>
  <c r="E1374" i="1"/>
  <c r="F1374" i="1"/>
  <c r="D1374" i="1" s="1"/>
  <c r="G1374" i="1" s="1"/>
  <c r="H1374" i="1"/>
  <c r="B1375" i="1" s="1"/>
  <c r="H1375" i="1" l="1"/>
  <c r="F1375" i="1"/>
  <c r="D1375" i="1" s="1"/>
  <c r="G1375" i="1" s="1"/>
  <c r="E1375" i="1"/>
  <c r="C1375" i="1"/>
  <c r="B1376" i="1" l="1"/>
  <c r="H1376" i="1" l="1"/>
  <c r="C1376" i="1"/>
  <c r="F1376" i="1"/>
  <c r="D1376" i="1" s="1"/>
  <c r="G1376" i="1" s="1"/>
  <c r="E1376" i="1"/>
  <c r="B1377" i="1" l="1"/>
  <c r="F1377" i="1" l="1"/>
  <c r="D1377" i="1" s="1"/>
  <c r="G1377" i="1" s="1"/>
  <c r="H1377" i="1"/>
  <c r="E1377" i="1"/>
  <c r="C1377" i="1"/>
  <c r="B1378" i="1" l="1"/>
  <c r="E1378" i="1" l="1"/>
  <c r="H1378" i="1"/>
  <c r="F1378" i="1"/>
  <c r="D1378" i="1" s="1"/>
  <c r="G1378" i="1" s="1"/>
  <c r="C1378" i="1"/>
  <c r="B1379" i="1" l="1"/>
  <c r="C1379" i="1" l="1"/>
  <c r="F1379" i="1"/>
  <c r="D1379" i="1" s="1"/>
  <c r="G1379" i="1" s="1"/>
  <c r="H1379" i="1"/>
  <c r="B1380" i="1" s="1"/>
  <c r="E1379" i="1"/>
  <c r="E1380" i="1" l="1"/>
  <c r="H1380" i="1"/>
  <c r="C1380" i="1"/>
  <c r="F1380" i="1"/>
  <c r="D1380" i="1" s="1"/>
  <c r="G1380" i="1" s="1"/>
  <c r="B1381" i="1" l="1"/>
  <c r="C1381" i="1" l="1"/>
  <c r="H1381" i="1"/>
  <c r="E1381" i="1"/>
  <c r="F1381" i="1"/>
  <c r="D1381" i="1" s="1"/>
  <c r="G1381" i="1" s="1"/>
  <c r="B1382" i="1" l="1"/>
  <c r="E1382" i="1" l="1"/>
  <c r="F1382" i="1"/>
  <c r="D1382" i="1" s="1"/>
  <c r="G1382" i="1" s="1"/>
  <c r="C1382" i="1"/>
  <c r="H1382" i="1"/>
  <c r="B1383" i="1" s="1"/>
  <c r="F1383" i="1" l="1"/>
  <c r="D1383" i="1" s="1"/>
  <c r="G1383" i="1" s="1"/>
  <c r="C1383" i="1"/>
  <c r="E1383" i="1"/>
  <c r="H1383" i="1"/>
  <c r="B1384" i="1" s="1"/>
  <c r="C1384" i="1" l="1"/>
  <c r="E1384" i="1"/>
  <c r="H1384" i="1"/>
  <c r="F1384" i="1"/>
  <c r="D1384" i="1" s="1"/>
  <c r="G1384" i="1" s="1"/>
  <c r="B1385" i="1" l="1"/>
  <c r="C1385" i="1" l="1"/>
  <c r="E1385" i="1"/>
  <c r="F1385" i="1"/>
  <c r="D1385" i="1" s="1"/>
  <c r="G1385" i="1" s="1"/>
  <c r="H1385" i="1"/>
  <c r="B1386" i="1" s="1"/>
  <c r="F1386" i="1" l="1"/>
  <c r="D1386" i="1" s="1"/>
  <c r="G1386" i="1" s="1"/>
  <c r="E1386" i="1"/>
  <c r="H1386" i="1"/>
  <c r="C1386" i="1"/>
  <c r="B1387" i="1" l="1"/>
  <c r="F1387" i="1" s="1"/>
  <c r="D1387" i="1" s="1"/>
  <c r="G1387" i="1" s="1"/>
  <c r="C1387" i="1" l="1"/>
  <c r="H1387" i="1"/>
  <c r="B1388" i="1" s="1"/>
  <c r="C1388" i="1" s="1"/>
  <c r="E1387" i="1"/>
  <c r="H1388" i="1" l="1"/>
  <c r="E1388" i="1"/>
  <c r="F1388" i="1"/>
  <c r="D1388" i="1" s="1"/>
  <c r="G1388" i="1" s="1"/>
  <c r="B1389" i="1" l="1"/>
  <c r="E1389" i="1" l="1"/>
  <c r="F1389" i="1"/>
  <c r="D1389" i="1" s="1"/>
  <c r="G1389" i="1" s="1"/>
  <c r="H1389" i="1"/>
  <c r="B1390" i="1" s="1"/>
  <c r="C1389" i="1"/>
  <c r="C1390" i="1" l="1"/>
  <c r="E1390" i="1"/>
  <c r="F1390" i="1"/>
  <c r="D1390" i="1" s="1"/>
  <c r="G1390" i="1" s="1"/>
  <c r="H1390" i="1"/>
  <c r="B1391" i="1" l="1"/>
  <c r="H1391" i="1"/>
  <c r="C1391" i="1"/>
  <c r="F1391" i="1"/>
  <c r="D1391" i="1" s="1"/>
  <c r="G1391" i="1" s="1"/>
  <c r="E1391" i="1"/>
  <c r="B1392" i="1" l="1"/>
  <c r="H1392" i="1" l="1"/>
  <c r="C1392" i="1"/>
  <c r="E1392" i="1"/>
  <c r="F1392" i="1"/>
  <c r="D1392" i="1" s="1"/>
  <c r="G1392" i="1" s="1"/>
  <c r="B1393" i="1" l="1"/>
  <c r="C1393" i="1" l="1"/>
  <c r="H1393" i="1"/>
  <c r="F1393" i="1"/>
  <c r="D1393" i="1" s="1"/>
  <c r="G1393" i="1" s="1"/>
  <c r="E1393" i="1"/>
  <c r="B1394" i="1" l="1"/>
  <c r="F1394" i="1" l="1"/>
  <c r="D1394" i="1" s="1"/>
  <c r="G1394" i="1" s="1"/>
  <c r="E1394" i="1"/>
  <c r="C1394" i="1"/>
  <c r="H1394" i="1"/>
  <c r="B1395" i="1" s="1"/>
  <c r="F1395" i="1" l="1"/>
  <c r="D1395" i="1" s="1"/>
  <c r="G1395" i="1" s="1"/>
  <c r="H1395" i="1"/>
  <c r="B1396" i="1" s="1"/>
  <c r="C1395" i="1"/>
  <c r="E1395" i="1"/>
  <c r="H1396" i="1" l="1"/>
  <c r="C1396" i="1"/>
  <c r="E1396" i="1"/>
  <c r="F1396" i="1"/>
  <c r="D1396" i="1" s="1"/>
  <c r="G1396" i="1" s="1"/>
  <c r="B1397" i="1" l="1"/>
  <c r="C1397" i="1"/>
  <c r="H1397" i="1"/>
  <c r="E1397" i="1"/>
  <c r="F1397" i="1"/>
  <c r="D1397" i="1" s="1"/>
  <c r="G1397" i="1" s="1"/>
  <c r="B1398" i="1" l="1"/>
  <c r="E1398" i="1" l="1"/>
  <c r="C1398" i="1"/>
  <c r="F1398" i="1"/>
  <c r="D1398" i="1" s="1"/>
  <c r="G1398" i="1" s="1"/>
  <c r="H1398" i="1"/>
  <c r="B1399" i="1" s="1"/>
  <c r="C1399" i="1" l="1"/>
  <c r="H1399" i="1"/>
  <c r="E1399" i="1"/>
  <c r="F1399" i="1"/>
  <c r="D1399" i="1" s="1"/>
  <c r="G1399" i="1" s="1"/>
  <c r="B1400" i="1" l="1"/>
  <c r="F1400" i="1" l="1"/>
  <c r="D1400" i="1" s="1"/>
  <c r="G1400" i="1" s="1"/>
  <c r="H1400" i="1"/>
  <c r="C1400" i="1"/>
  <c r="E1400" i="1"/>
  <c r="B1401" i="1" l="1"/>
  <c r="C1401" i="1"/>
  <c r="F1401" i="1"/>
  <c r="D1401" i="1" s="1"/>
  <c r="G1401" i="1" s="1"/>
  <c r="E1401" i="1"/>
  <c r="H1401" i="1"/>
  <c r="B1402" i="1" l="1"/>
  <c r="F1402" i="1" l="1"/>
  <c r="D1402" i="1" s="1"/>
  <c r="G1402" i="1" s="1"/>
  <c r="E1402" i="1"/>
  <c r="C1402" i="1"/>
  <c r="H1402" i="1"/>
  <c r="B1403" i="1" s="1"/>
  <c r="F1403" i="1" l="1"/>
  <c r="D1403" i="1" s="1"/>
  <c r="G1403" i="1" s="1"/>
  <c r="C1403" i="1"/>
  <c r="E1403" i="1"/>
  <c r="H1403" i="1"/>
  <c r="B1404" i="1" s="1"/>
  <c r="H1404" i="1" l="1"/>
  <c r="C1404" i="1"/>
  <c r="F1404" i="1"/>
  <c r="D1404" i="1" s="1"/>
  <c r="G1404" i="1" s="1"/>
  <c r="E1404" i="1"/>
  <c r="B1405" i="1" l="1"/>
  <c r="H1405" i="1" l="1"/>
  <c r="C1405" i="1"/>
  <c r="E1405" i="1"/>
  <c r="F1405" i="1"/>
  <c r="D1405" i="1" s="1"/>
  <c r="G1405" i="1" s="1"/>
  <c r="B1406" i="1" l="1"/>
  <c r="F1406" i="1" l="1"/>
  <c r="D1406" i="1" s="1"/>
  <c r="G1406" i="1" s="1"/>
  <c r="E1406" i="1"/>
  <c r="C1406" i="1"/>
  <c r="H1406" i="1"/>
  <c r="B1407" i="1" s="1"/>
  <c r="H1407" i="1" l="1"/>
  <c r="F1407" i="1"/>
  <c r="D1407" i="1" s="1"/>
  <c r="G1407" i="1" s="1"/>
  <c r="C1407" i="1"/>
  <c r="E1407" i="1"/>
  <c r="B1408" i="1" l="1"/>
  <c r="C1408" i="1" l="1"/>
  <c r="E1408" i="1"/>
  <c r="H1408" i="1"/>
  <c r="F1408" i="1"/>
  <c r="D1408" i="1" s="1"/>
  <c r="G1408" i="1" s="1"/>
  <c r="B1409" i="1" l="1"/>
  <c r="F1409" i="1" l="1"/>
  <c r="D1409" i="1" s="1"/>
  <c r="G1409" i="1" s="1"/>
  <c r="H1409" i="1"/>
  <c r="B1410" i="1" s="1"/>
  <c r="C1409" i="1"/>
  <c r="E1409" i="1"/>
  <c r="C1410" i="1" l="1"/>
  <c r="E1410" i="1"/>
  <c r="F1410" i="1"/>
  <c r="D1410" i="1" s="1"/>
  <c r="G1410" i="1" s="1"/>
  <c r="H1410" i="1"/>
  <c r="B1411" i="1" s="1"/>
  <c r="F1411" i="1" l="1"/>
  <c r="D1411" i="1" s="1"/>
  <c r="G1411" i="1" s="1"/>
  <c r="E1411" i="1"/>
  <c r="H1411" i="1"/>
  <c r="B1412" i="1" s="1"/>
  <c r="C1411" i="1"/>
  <c r="F1412" i="1" l="1"/>
  <c r="D1412" i="1" s="1"/>
  <c r="G1412" i="1" s="1"/>
  <c r="E1412" i="1"/>
  <c r="C1412" i="1"/>
  <c r="H1412" i="1"/>
  <c r="B1413" i="1" s="1"/>
  <c r="H1413" i="1" l="1"/>
  <c r="F1413" i="1"/>
  <c r="D1413" i="1" s="1"/>
  <c r="G1413" i="1" s="1"/>
  <c r="E1413" i="1"/>
  <c r="C1413" i="1"/>
  <c r="B1414" i="1" l="1"/>
  <c r="E1414" i="1" l="1"/>
  <c r="F1414" i="1"/>
  <c r="D1414" i="1" s="1"/>
  <c r="G1414" i="1" s="1"/>
  <c r="C1414" i="1"/>
  <c r="H1414" i="1"/>
  <c r="B1415" i="1" s="1"/>
  <c r="F1415" i="1" l="1"/>
  <c r="D1415" i="1" s="1"/>
  <c r="G1415" i="1" s="1"/>
  <c r="C1415" i="1"/>
  <c r="H1415" i="1"/>
  <c r="B1416" i="1" s="1"/>
  <c r="E1415" i="1"/>
  <c r="C1416" i="1" l="1"/>
  <c r="H1416" i="1"/>
  <c r="F1416" i="1"/>
  <c r="D1416" i="1" s="1"/>
  <c r="G1416" i="1" s="1"/>
  <c r="E1416" i="1"/>
  <c r="B1417" i="1" l="1"/>
  <c r="F1417" i="1" l="1"/>
  <c r="D1417" i="1" s="1"/>
  <c r="G1417" i="1" s="1"/>
  <c r="H1417" i="1"/>
  <c r="B1418" i="1" s="1"/>
  <c r="E1417" i="1"/>
  <c r="C1417" i="1"/>
  <c r="F1418" i="1" l="1"/>
  <c r="D1418" i="1" s="1"/>
  <c r="G1418" i="1" s="1"/>
  <c r="H1418" i="1"/>
  <c r="B1419" i="1" s="1"/>
  <c r="C1418" i="1"/>
  <c r="E1418" i="1"/>
  <c r="H1419" i="1" l="1"/>
  <c r="C1419" i="1"/>
  <c r="F1419" i="1"/>
  <c r="D1419" i="1" s="1"/>
  <c r="G1419" i="1" s="1"/>
  <c r="E1419" i="1"/>
  <c r="B1420" i="1" l="1"/>
  <c r="F1420" i="1" l="1"/>
  <c r="D1420" i="1" s="1"/>
  <c r="G1420" i="1" s="1"/>
  <c r="C1420" i="1"/>
  <c r="E1420" i="1"/>
  <c r="H1420" i="1"/>
  <c r="B1421" i="1" s="1"/>
  <c r="F1421" i="1" s="1"/>
  <c r="D1421" i="1" s="1"/>
  <c r="G1421" i="1" s="1"/>
  <c r="C1421" i="1"/>
  <c r="E1421" i="1"/>
  <c r="H1421" i="1"/>
  <c r="B1422" i="1" l="1"/>
  <c r="F1422" i="1" l="1"/>
  <c r="D1422" i="1" s="1"/>
  <c r="G1422" i="1" s="1"/>
  <c r="E1422" i="1"/>
  <c r="H1422" i="1"/>
  <c r="B1423" i="1" s="1"/>
  <c r="C1422" i="1"/>
  <c r="H1423" i="1" l="1"/>
  <c r="E1423" i="1"/>
  <c r="C1423" i="1"/>
  <c r="F1423" i="1"/>
  <c r="D1423" i="1" s="1"/>
  <c r="G1423" i="1" s="1"/>
  <c r="B1424" i="1" l="1"/>
  <c r="F1424" i="1" l="1"/>
  <c r="D1424" i="1" s="1"/>
  <c r="G1424" i="1" s="1"/>
  <c r="E1424" i="1"/>
  <c r="H1424" i="1"/>
  <c r="B1425" i="1" s="1"/>
  <c r="C1424" i="1"/>
  <c r="F1425" i="1" l="1"/>
  <c r="D1425" i="1" s="1"/>
  <c r="G1425" i="1" s="1"/>
  <c r="C1425" i="1"/>
  <c r="H1425" i="1"/>
  <c r="E1425" i="1"/>
  <c r="B1426" i="1" l="1"/>
  <c r="F1426" i="1" l="1"/>
  <c r="D1426" i="1" s="1"/>
  <c r="G1426" i="1" s="1"/>
  <c r="E1426" i="1"/>
  <c r="C1426" i="1"/>
  <c r="H1426" i="1"/>
  <c r="B1427" i="1" l="1"/>
  <c r="E1427" i="1"/>
  <c r="C1427" i="1"/>
  <c r="F1427" i="1"/>
  <c r="D1427" i="1" s="1"/>
  <c r="G1427" i="1" s="1"/>
  <c r="H1427" i="1"/>
  <c r="B1428" i="1" s="1"/>
  <c r="F1428" i="1" l="1"/>
  <c r="D1428" i="1" s="1"/>
  <c r="G1428" i="1" s="1"/>
  <c r="E1428" i="1"/>
  <c r="H1428" i="1"/>
  <c r="C1428" i="1"/>
  <c r="B1429" i="1" l="1"/>
  <c r="E1429" i="1" s="1"/>
  <c r="H1429" i="1"/>
  <c r="F1429" i="1" l="1"/>
  <c r="D1429" i="1" s="1"/>
  <c r="G1429" i="1" s="1"/>
  <c r="C1429" i="1"/>
  <c r="B1430" i="1" l="1"/>
  <c r="C1430" i="1" l="1"/>
  <c r="E1430" i="1"/>
  <c r="H1430" i="1"/>
  <c r="F1430" i="1"/>
  <c r="D1430" i="1" s="1"/>
  <c r="G1430" i="1" s="1"/>
  <c r="B1431" i="1" l="1"/>
  <c r="C1431" i="1" l="1"/>
  <c r="H1431" i="1"/>
  <c r="F1431" i="1"/>
  <c r="D1431" i="1" s="1"/>
  <c r="G1431" i="1" s="1"/>
  <c r="E1431" i="1"/>
  <c r="B1432" i="1" l="1"/>
  <c r="H1432" i="1" l="1"/>
  <c r="C1432" i="1"/>
  <c r="E1432" i="1"/>
  <c r="F1432" i="1"/>
  <c r="D1432" i="1" s="1"/>
  <c r="G1432" i="1" s="1"/>
  <c r="B1433" i="1" l="1"/>
  <c r="C1433" i="1" l="1"/>
  <c r="F1433" i="1"/>
  <c r="D1433" i="1" s="1"/>
  <c r="G1433" i="1" s="1"/>
  <c r="H1433" i="1"/>
  <c r="B1434" i="1" s="1"/>
  <c r="C1434" i="1" s="1"/>
  <c r="E1433" i="1"/>
  <c r="H1434" i="1" l="1"/>
  <c r="E1434" i="1"/>
  <c r="F1434" i="1"/>
  <c r="D1434" i="1" s="1"/>
  <c r="G1434" i="1" s="1"/>
  <c r="B1435" i="1" l="1"/>
  <c r="H1435" i="1" l="1"/>
  <c r="E1435" i="1"/>
  <c r="C1435" i="1"/>
  <c r="F1435" i="1"/>
  <c r="D1435" i="1" s="1"/>
  <c r="G1435" i="1" s="1"/>
  <c r="B1436" i="1" l="1"/>
  <c r="E1436" i="1" l="1"/>
  <c r="C1436" i="1"/>
  <c r="H1436" i="1"/>
  <c r="F1436" i="1"/>
  <c r="D1436" i="1" s="1"/>
  <c r="G1436" i="1" s="1"/>
  <c r="B1437" i="1" l="1"/>
  <c r="H1437" i="1" l="1"/>
  <c r="C1437" i="1"/>
  <c r="E1437" i="1"/>
  <c r="F1437" i="1"/>
  <c r="D1437" i="1" s="1"/>
  <c r="G1437" i="1" s="1"/>
  <c r="B1438" i="1" l="1"/>
  <c r="H1438" i="1" l="1"/>
  <c r="E1438" i="1"/>
  <c r="C1438" i="1"/>
  <c r="F1438" i="1"/>
  <c r="D1438" i="1" s="1"/>
  <c r="G1438" i="1" s="1"/>
  <c r="B1439" i="1" l="1"/>
  <c r="C1439" i="1" l="1"/>
  <c r="E1439" i="1"/>
  <c r="F1439" i="1"/>
  <c r="D1439" i="1" s="1"/>
  <c r="G1439" i="1" s="1"/>
  <c r="H1439" i="1"/>
  <c r="B1440" i="1" l="1"/>
  <c r="F1440" i="1"/>
  <c r="D1440" i="1" s="1"/>
  <c r="G1440" i="1" s="1"/>
  <c r="E1440" i="1"/>
  <c r="H1440" i="1"/>
  <c r="B1441" i="1" s="1"/>
  <c r="C1440" i="1"/>
  <c r="E1441" i="1" l="1"/>
  <c r="C1441" i="1"/>
  <c r="F1441" i="1"/>
  <c r="D1441" i="1" s="1"/>
  <c r="G1441" i="1" s="1"/>
  <c r="H1441" i="1"/>
  <c r="B1442" i="1" s="1"/>
  <c r="E1442" i="1" l="1"/>
  <c r="F1442" i="1"/>
  <c r="D1442" i="1" s="1"/>
  <c r="G1442" i="1" s="1"/>
  <c r="H1442" i="1"/>
  <c r="B1443" i="1" s="1"/>
  <c r="C1442" i="1"/>
  <c r="H1443" i="1" l="1"/>
  <c r="F1443" i="1"/>
  <c r="D1443" i="1" s="1"/>
  <c r="G1443" i="1" s="1"/>
  <c r="E1443" i="1"/>
  <c r="C1443" i="1"/>
  <c r="B1444" i="1" l="1"/>
  <c r="E1444" i="1" l="1"/>
  <c r="H1444" i="1"/>
  <c r="F1444" i="1"/>
  <c r="D1444" i="1" s="1"/>
  <c r="G1444" i="1" s="1"/>
  <c r="C1444" i="1"/>
  <c r="B1445" i="1" l="1"/>
  <c r="F1445" i="1" l="1"/>
  <c r="D1445" i="1" s="1"/>
  <c r="G1445" i="1" s="1"/>
  <c r="H1445" i="1"/>
  <c r="B1446" i="1" s="1"/>
  <c r="C1445" i="1"/>
  <c r="E1445" i="1"/>
  <c r="C1446" i="1" l="1"/>
  <c r="H1446" i="1"/>
  <c r="F1446" i="1"/>
  <c r="D1446" i="1" s="1"/>
  <c r="G1446" i="1" s="1"/>
  <c r="E1446" i="1"/>
  <c r="B1447" i="1" l="1"/>
  <c r="C1447" i="1" l="1"/>
  <c r="F1447" i="1"/>
  <c r="D1447" i="1" s="1"/>
  <c r="G1447" i="1" s="1"/>
  <c r="H1447" i="1"/>
  <c r="B1448" i="1" s="1"/>
  <c r="E1447" i="1"/>
  <c r="E1448" i="1" l="1"/>
  <c r="F1448" i="1"/>
  <c r="D1448" i="1" s="1"/>
  <c r="G1448" i="1" s="1"/>
  <c r="C1448" i="1"/>
  <c r="H1448" i="1"/>
  <c r="B1449" i="1" s="1"/>
  <c r="C1449" i="1" l="1"/>
  <c r="F1449" i="1"/>
  <c r="D1449" i="1" s="1"/>
  <c r="G1449" i="1" s="1"/>
  <c r="H1449" i="1"/>
  <c r="B1450" i="1" s="1"/>
  <c r="E1449" i="1"/>
  <c r="C1450" i="1" l="1"/>
  <c r="F1450" i="1"/>
  <c r="D1450" i="1" s="1"/>
  <c r="G1450" i="1" s="1"/>
  <c r="E1450" i="1"/>
  <c r="H1450" i="1"/>
  <c r="B1451" i="1" s="1"/>
  <c r="H1451" i="1" l="1"/>
  <c r="E1451" i="1"/>
  <c r="F1451" i="1"/>
  <c r="D1451" i="1" s="1"/>
  <c r="G1451" i="1" s="1"/>
  <c r="C1451" i="1"/>
  <c r="B1452" i="1" l="1"/>
  <c r="H1452" i="1" l="1"/>
  <c r="C1452" i="1"/>
  <c r="E1452" i="1"/>
  <c r="F1452" i="1"/>
  <c r="D1452" i="1" s="1"/>
  <c r="G1452" i="1" s="1"/>
  <c r="B1453" i="1" l="1"/>
  <c r="C1453" i="1" l="1"/>
  <c r="F1453" i="1"/>
  <c r="D1453" i="1" s="1"/>
  <c r="G1453" i="1" s="1"/>
  <c r="H1453" i="1"/>
  <c r="E1453" i="1"/>
  <c r="B1454" i="1" l="1"/>
  <c r="C1454" i="1" l="1"/>
  <c r="H1454" i="1"/>
  <c r="F1454" i="1"/>
  <c r="D1454" i="1" s="1"/>
  <c r="G1454" i="1" s="1"/>
  <c r="E1454" i="1"/>
  <c r="B1455" i="1" l="1"/>
  <c r="E1455" i="1" l="1"/>
  <c r="H1455" i="1"/>
  <c r="F1455" i="1"/>
  <c r="D1455" i="1" s="1"/>
  <c r="G1455" i="1" s="1"/>
  <c r="C1455" i="1"/>
  <c r="B1456" i="1" l="1"/>
  <c r="H1456" i="1" l="1"/>
  <c r="F1456" i="1"/>
  <c r="D1456" i="1" s="1"/>
  <c r="G1456" i="1" s="1"/>
  <c r="C1456" i="1"/>
  <c r="E1456" i="1"/>
  <c r="B1457" i="1" l="1"/>
  <c r="E1457" i="1" l="1"/>
  <c r="H1457" i="1"/>
  <c r="C1457" i="1"/>
  <c r="F1457" i="1"/>
  <c r="D1457" i="1" s="1"/>
  <c r="G1457" i="1" s="1"/>
  <c r="B1458" i="1" l="1"/>
  <c r="F1458" i="1" l="1"/>
  <c r="D1458" i="1" s="1"/>
  <c r="G1458" i="1" s="1"/>
  <c r="E1458" i="1"/>
  <c r="H1458" i="1"/>
  <c r="B1459" i="1" s="1"/>
  <c r="C1458" i="1"/>
  <c r="E1459" i="1" l="1"/>
  <c r="F1459" i="1"/>
  <c r="D1459" i="1" s="1"/>
  <c r="G1459" i="1" s="1"/>
  <c r="C1459" i="1"/>
  <c r="H1459" i="1"/>
  <c r="B1460" i="1" s="1"/>
  <c r="C1460" i="1" l="1"/>
  <c r="H1460" i="1"/>
  <c r="E1460" i="1"/>
  <c r="F1460" i="1"/>
  <c r="D1460" i="1" s="1"/>
  <c r="G1460" i="1" s="1"/>
  <c r="B1461" i="1" l="1"/>
  <c r="F1461" i="1" l="1"/>
  <c r="D1461" i="1" s="1"/>
  <c r="G1461" i="1" s="1"/>
  <c r="H1461" i="1"/>
  <c r="B1462" i="1" s="1"/>
  <c r="E1461" i="1"/>
  <c r="C1461" i="1"/>
  <c r="H1462" i="1" l="1"/>
  <c r="E1462" i="1"/>
  <c r="F1462" i="1"/>
  <c r="D1462" i="1" s="1"/>
  <c r="G1462" i="1" s="1"/>
  <c r="C1462" i="1"/>
  <c r="B1463" i="1" l="1"/>
  <c r="C1463" i="1" l="1"/>
  <c r="F1463" i="1"/>
  <c r="D1463" i="1" s="1"/>
  <c r="G1463" i="1" s="1"/>
  <c r="H1463" i="1"/>
  <c r="B1464" i="1" s="1"/>
  <c r="E1463" i="1"/>
  <c r="E1464" i="1" l="1"/>
  <c r="F1464" i="1"/>
  <c r="D1464" i="1" s="1"/>
  <c r="G1464" i="1" s="1"/>
  <c r="H1464" i="1"/>
  <c r="B1465" i="1" s="1"/>
  <c r="C1464" i="1"/>
  <c r="C1465" i="1" l="1"/>
  <c r="E1465" i="1"/>
  <c r="H1465" i="1"/>
  <c r="F1465" i="1"/>
  <c r="D1465" i="1" s="1"/>
  <c r="G1465" i="1" s="1"/>
  <c r="B1466" i="1" l="1"/>
  <c r="C1466" i="1" l="1"/>
  <c r="H1466" i="1"/>
  <c r="E1466" i="1"/>
  <c r="F1466" i="1"/>
  <c r="D1466" i="1" s="1"/>
  <c r="G1466" i="1" s="1"/>
  <c r="B1467" i="1" l="1"/>
  <c r="H1467" i="1"/>
  <c r="C1467" i="1"/>
  <c r="E1467" i="1"/>
  <c r="F1467" i="1"/>
  <c r="D1467" i="1" s="1"/>
  <c r="G1467" i="1" s="1"/>
  <c r="B1468" i="1" l="1"/>
  <c r="F1468" i="1" l="1"/>
  <c r="D1468" i="1" s="1"/>
  <c r="G1468" i="1" s="1"/>
  <c r="E1468" i="1"/>
  <c r="H1468" i="1"/>
  <c r="B1469" i="1" s="1"/>
  <c r="C1468" i="1"/>
  <c r="C1469" i="1" l="1"/>
  <c r="F1469" i="1"/>
  <c r="D1469" i="1" s="1"/>
  <c r="G1469" i="1" s="1"/>
  <c r="E1469" i="1"/>
  <c r="H1469" i="1"/>
  <c r="B1470" i="1" l="1"/>
  <c r="H1470" i="1"/>
  <c r="C1470" i="1"/>
  <c r="E1470" i="1"/>
  <c r="F1470" i="1"/>
  <c r="D1470" i="1" s="1"/>
  <c r="G1470" i="1" s="1"/>
  <c r="B1471" i="1" l="1"/>
  <c r="H1471" i="1" l="1"/>
  <c r="E1471" i="1"/>
  <c r="F1471" i="1"/>
  <c r="D1471" i="1" s="1"/>
  <c r="G1471" i="1" s="1"/>
  <c r="C1471" i="1"/>
  <c r="B1472" i="1" l="1"/>
  <c r="F1472" i="1" l="1"/>
  <c r="D1472" i="1" s="1"/>
  <c r="G1472" i="1" s="1"/>
  <c r="H1472" i="1"/>
  <c r="E1472" i="1"/>
  <c r="C1472" i="1"/>
  <c r="B1473" i="1" l="1"/>
  <c r="C1473" i="1"/>
  <c r="F1473" i="1"/>
  <c r="D1473" i="1" s="1"/>
  <c r="G1473" i="1" s="1"/>
  <c r="H1473" i="1"/>
  <c r="B1474" i="1" s="1"/>
  <c r="E1473" i="1"/>
  <c r="C1474" i="1" l="1"/>
  <c r="H1474" i="1"/>
  <c r="E1474" i="1"/>
  <c r="F1474" i="1"/>
  <c r="D1474" i="1" s="1"/>
  <c r="G1474" i="1" s="1"/>
  <c r="B1475" i="1" l="1"/>
  <c r="F1475" i="1" l="1"/>
  <c r="D1475" i="1" s="1"/>
  <c r="G1475" i="1" s="1"/>
  <c r="H1475" i="1"/>
  <c r="B1476" i="1" s="1"/>
  <c r="E1475" i="1"/>
  <c r="C1475" i="1"/>
  <c r="H1476" i="1" l="1"/>
  <c r="C1476" i="1"/>
  <c r="F1476" i="1"/>
  <c r="D1476" i="1" s="1"/>
  <c r="G1476" i="1" s="1"/>
  <c r="E1476" i="1"/>
  <c r="B1477" i="1" l="1"/>
  <c r="C1477" i="1" l="1"/>
  <c r="H1477" i="1"/>
  <c r="F1477" i="1"/>
  <c r="D1477" i="1" s="1"/>
  <c r="G1477" i="1" s="1"/>
  <c r="E1477" i="1"/>
  <c r="B1478" i="1" l="1"/>
  <c r="F1478" i="1" l="1"/>
  <c r="D1478" i="1" s="1"/>
  <c r="G1478" i="1" s="1"/>
  <c r="C1478" i="1"/>
  <c r="H1478" i="1"/>
  <c r="B1479" i="1" s="1"/>
  <c r="E1478" i="1"/>
  <c r="H1479" i="1" l="1"/>
  <c r="F1479" i="1"/>
  <c r="D1479" i="1" s="1"/>
  <c r="G1479" i="1" s="1"/>
  <c r="C1479" i="1"/>
  <c r="E1479" i="1"/>
  <c r="B1480" i="1" l="1"/>
  <c r="H1480" i="1" l="1"/>
  <c r="F1480" i="1"/>
  <c r="D1480" i="1" s="1"/>
  <c r="G1480" i="1" s="1"/>
  <c r="E1480" i="1"/>
  <c r="C1480" i="1"/>
  <c r="B1481" i="1" l="1"/>
  <c r="C1481" i="1" l="1"/>
  <c r="H1481" i="1"/>
  <c r="F1481" i="1"/>
  <c r="D1481" i="1" s="1"/>
  <c r="G1481" i="1" s="1"/>
  <c r="E1481" i="1"/>
  <c r="B1482" i="1" l="1"/>
  <c r="C1482" i="1" l="1"/>
  <c r="H1482" i="1"/>
  <c r="E1482" i="1"/>
  <c r="F1482" i="1"/>
  <c r="D1482" i="1" s="1"/>
  <c r="G1482" i="1" s="1"/>
  <c r="B1483" i="1" l="1"/>
  <c r="H1483" i="1"/>
  <c r="E1483" i="1"/>
  <c r="C1483" i="1"/>
  <c r="F1483" i="1"/>
  <c r="D1483" i="1" s="1"/>
  <c r="G1483" i="1" s="1"/>
  <c r="B1484" i="1" l="1"/>
  <c r="H1484" i="1" l="1"/>
  <c r="E1484" i="1"/>
  <c r="C1484" i="1"/>
  <c r="F1484" i="1"/>
  <c r="D1484" i="1" s="1"/>
  <c r="G1484" i="1" s="1"/>
  <c r="B1485" i="1" l="1"/>
  <c r="F1485" i="1" l="1"/>
  <c r="D1485" i="1" s="1"/>
  <c r="G1485" i="1" s="1"/>
  <c r="E1485" i="1"/>
  <c r="C1485" i="1"/>
  <c r="H1485" i="1"/>
  <c r="B1486" i="1" s="1"/>
  <c r="C1486" i="1" l="1"/>
  <c r="H1486" i="1"/>
  <c r="F1486" i="1"/>
  <c r="D1486" i="1" s="1"/>
  <c r="G1486" i="1" s="1"/>
  <c r="E1486" i="1"/>
  <c r="B1487" i="1" l="1"/>
  <c r="E1487" i="1" l="1"/>
  <c r="C1487" i="1"/>
  <c r="F1487" i="1"/>
  <c r="D1487" i="1" s="1"/>
  <c r="G1487" i="1" s="1"/>
  <c r="H1487" i="1"/>
  <c r="B1488" i="1" s="1"/>
  <c r="F1488" i="1" l="1"/>
  <c r="D1488" i="1" s="1"/>
  <c r="G1488" i="1" s="1"/>
  <c r="H1488" i="1"/>
  <c r="B1489" i="1" s="1"/>
  <c r="C1488" i="1"/>
  <c r="E1488" i="1"/>
  <c r="C1489" i="1" l="1"/>
  <c r="H1489" i="1"/>
  <c r="F1489" i="1"/>
  <c r="D1489" i="1" s="1"/>
  <c r="G1489" i="1" s="1"/>
  <c r="E1489" i="1"/>
  <c r="B1490" i="1" l="1"/>
  <c r="C1490" i="1" l="1"/>
  <c r="E1490" i="1"/>
  <c r="H1490" i="1"/>
  <c r="F1490" i="1"/>
  <c r="D1490" i="1" s="1"/>
  <c r="G1490" i="1" s="1"/>
  <c r="B1491" i="1" l="1"/>
  <c r="E1491" i="1" l="1"/>
  <c r="C1491" i="1"/>
  <c r="H1491" i="1"/>
  <c r="F1491" i="1"/>
  <c r="D1491" i="1" s="1"/>
  <c r="G1491" i="1" s="1"/>
  <c r="B1492" i="1" l="1"/>
  <c r="F1492" i="1" l="1"/>
  <c r="D1492" i="1" s="1"/>
  <c r="G1492" i="1" s="1"/>
  <c r="C1492" i="1"/>
  <c r="H1492" i="1"/>
  <c r="B1493" i="1" s="1"/>
  <c r="H1493" i="1" s="1"/>
  <c r="E1492" i="1"/>
  <c r="E1493" i="1" l="1"/>
  <c r="C1493" i="1"/>
  <c r="F1493" i="1"/>
  <c r="D1493" i="1" s="1"/>
  <c r="G1493" i="1" s="1"/>
  <c r="B1494" i="1"/>
  <c r="C1494" i="1" l="1"/>
  <c r="F1494" i="1"/>
  <c r="D1494" i="1" s="1"/>
  <c r="G1494" i="1" s="1"/>
  <c r="H1494" i="1"/>
  <c r="E1494" i="1"/>
  <c r="B1495" i="1" l="1"/>
  <c r="F1495" i="1" s="1"/>
  <c r="D1495" i="1" s="1"/>
  <c r="G1495" i="1" s="1"/>
  <c r="H1495" i="1"/>
  <c r="C1495" i="1"/>
  <c r="E1495" i="1"/>
  <c r="B1496" i="1" l="1"/>
  <c r="H1496" i="1"/>
  <c r="F1496" i="1"/>
  <c r="D1496" i="1" s="1"/>
  <c r="G1496" i="1" s="1"/>
  <c r="E1496" i="1"/>
  <c r="C1496" i="1"/>
  <c r="B1497" i="1" l="1"/>
  <c r="F1497" i="1" l="1"/>
  <c r="D1497" i="1" s="1"/>
  <c r="G1497" i="1" s="1"/>
  <c r="C1497" i="1"/>
  <c r="E1497" i="1"/>
  <c r="H1497" i="1"/>
  <c r="B1498" i="1" l="1"/>
  <c r="H1498" i="1" s="1"/>
  <c r="E1498" i="1"/>
  <c r="C1498" i="1"/>
  <c r="F1498" i="1" l="1"/>
  <c r="D1498" i="1" s="1"/>
  <c r="G1498" i="1" s="1"/>
  <c r="B1499" i="1" l="1"/>
  <c r="H1499" i="1"/>
  <c r="E1499" i="1"/>
  <c r="C1499" i="1"/>
  <c r="F1499" i="1"/>
  <c r="D1499" i="1" s="1"/>
  <c r="G1499" i="1" s="1"/>
  <c r="B1500" i="1" l="1"/>
  <c r="H1500" i="1" l="1"/>
  <c r="C1500" i="1"/>
  <c r="F1500" i="1"/>
  <c r="D1500" i="1" s="1"/>
  <c r="G1500" i="1" s="1"/>
  <c r="E1500" i="1"/>
  <c r="B1501" i="1" l="1"/>
  <c r="F1501" i="1" l="1"/>
  <c r="D1501" i="1" s="1"/>
  <c r="G1501" i="1" s="1"/>
  <c r="H1501" i="1"/>
  <c r="B1502" i="1" s="1"/>
  <c r="E1501" i="1"/>
  <c r="C1501" i="1"/>
  <c r="C1502" i="1" l="1"/>
  <c r="H1502" i="1"/>
  <c r="E1502" i="1"/>
  <c r="F1502" i="1"/>
  <c r="D1502" i="1" s="1"/>
  <c r="G1502" i="1" s="1"/>
  <c r="B1503" i="1" l="1"/>
  <c r="C1503" i="1" l="1"/>
  <c r="F1503" i="1"/>
  <c r="D1503" i="1" s="1"/>
  <c r="G1503" i="1" s="1"/>
  <c r="E1503" i="1"/>
  <c r="H1503" i="1"/>
  <c r="B1504" i="1" s="1"/>
  <c r="C1504" i="1" l="1"/>
  <c r="H1504" i="1"/>
  <c r="F1504" i="1"/>
  <c r="D1504" i="1" s="1"/>
  <c r="G1504" i="1" s="1"/>
  <c r="E1504" i="1"/>
  <c r="B1505" i="1" l="1"/>
  <c r="C1505" i="1" s="1"/>
  <c r="E1505" i="1" l="1"/>
  <c r="H1505" i="1"/>
  <c r="F1505" i="1"/>
  <c r="D1505" i="1" s="1"/>
  <c r="G1505" i="1" s="1"/>
  <c r="B1506" i="1" l="1"/>
  <c r="F1506" i="1"/>
  <c r="D1506" i="1" s="1"/>
  <c r="G1506" i="1" s="1"/>
  <c r="H1506" i="1"/>
  <c r="B1507" i="1"/>
  <c r="E1506" i="1" l="1"/>
  <c r="C1506" i="1"/>
  <c r="F1507" i="1"/>
  <c r="D1507" i="1" s="1"/>
  <c r="G1507" i="1" s="1"/>
  <c r="H1507" i="1"/>
  <c r="B1508" i="1" s="1"/>
  <c r="E1507" i="1"/>
  <c r="C1507" i="1"/>
  <c r="H1508" i="1" l="1"/>
  <c r="F1508" i="1"/>
  <c r="D1508" i="1" s="1"/>
  <c r="G1508" i="1" s="1"/>
  <c r="C1508" i="1"/>
  <c r="E1508" i="1"/>
  <c r="B1509" i="1" l="1"/>
  <c r="H1509" i="1" l="1"/>
  <c r="E1509" i="1"/>
  <c r="C1509" i="1"/>
  <c r="F1509" i="1"/>
  <c r="D1509" i="1" s="1"/>
  <c r="G1509" i="1" s="1"/>
  <c r="B1510" i="1" l="1"/>
  <c r="F1510" i="1" l="1"/>
  <c r="D1510" i="1" s="1"/>
  <c r="G1510" i="1" s="1"/>
  <c r="H1510" i="1"/>
  <c r="B1511" i="1" s="1"/>
  <c r="C1510" i="1"/>
  <c r="E1510" i="1"/>
  <c r="H1511" i="1" l="1"/>
  <c r="F1511" i="1"/>
  <c r="D1511" i="1" s="1"/>
  <c r="G1511" i="1" s="1"/>
  <c r="C1511" i="1"/>
  <c r="E1511" i="1"/>
  <c r="B1512" i="1" l="1"/>
  <c r="C1512" i="1" l="1"/>
  <c r="H1512" i="1"/>
  <c r="E1512" i="1"/>
  <c r="F1512" i="1"/>
  <c r="D1512" i="1" s="1"/>
  <c r="G1512" i="1" s="1"/>
  <c r="B1513" i="1" l="1"/>
  <c r="H1513" i="1" l="1"/>
  <c r="C1513" i="1"/>
  <c r="E1513" i="1"/>
  <c r="F1513" i="1"/>
  <c r="D1513" i="1" s="1"/>
  <c r="G1513" i="1" s="1"/>
  <c r="B1514" i="1" l="1"/>
  <c r="F1514" i="1" l="1"/>
  <c r="D1514" i="1" s="1"/>
  <c r="G1514" i="1" s="1"/>
  <c r="C1514" i="1"/>
  <c r="H1514" i="1"/>
  <c r="B1515" i="1" s="1"/>
  <c r="E1514" i="1"/>
  <c r="F1515" i="1" l="1"/>
  <c r="D1515" i="1" s="1"/>
  <c r="G1515" i="1" s="1"/>
  <c r="C1515" i="1"/>
  <c r="H1515" i="1"/>
  <c r="E1515" i="1"/>
  <c r="B1516" i="1" l="1"/>
  <c r="H1516" i="1" s="1"/>
  <c r="C1516" i="1" l="1"/>
  <c r="E1516" i="1"/>
  <c r="F1516" i="1"/>
  <c r="D1516" i="1" s="1"/>
  <c r="G1516" i="1" s="1"/>
  <c r="B1517" i="1"/>
  <c r="C1517" i="1" l="1"/>
  <c r="F1517" i="1"/>
  <c r="D1517" i="1" s="1"/>
  <c r="G1517" i="1" s="1"/>
  <c r="E1517" i="1"/>
  <c r="H1517" i="1"/>
  <c r="B1518" i="1" l="1"/>
  <c r="H1518" i="1" l="1"/>
  <c r="F1518" i="1"/>
  <c r="D1518" i="1" s="1"/>
  <c r="G1518" i="1" s="1"/>
  <c r="E1518" i="1"/>
  <c r="C1518" i="1"/>
  <c r="B1519" i="1" l="1"/>
  <c r="H1519" i="1" l="1"/>
  <c r="E1519" i="1"/>
  <c r="C1519" i="1"/>
  <c r="F1519" i="1"/>
  <c r="D1519" i="1" s="1"/>
  <c r="G1519" i="1" s="1"/>
  <c r="B1520" i="1" l="1"/>
  <c r="H1520" i="1" l="1"/>
  <c r="E1520" i="1"/>
  <c r="F1520" i="1"/>
  <c r="D1520" i="1" s="1"/>
  <c r="G1520" i="1" s="1"/>
  <c r="C1520" i="1"/>
  <c r="B1521" i="1" l="1"/>
  <c r="H1521" i="1" l="1"/>
  <c r="E1521" i="1"/>
  <c r="F1521" i="1"/>
  <c r="D1521" i="1" s="1"/>
  <c r="G1521" i="1" s="1"/>
  <c r="C1521" i="1"/>
  <c r="B1522" i="1" l="1"/>
  <c r="E1522" i="1" l="1"/>
  <c r="H1522" i="1"/>
  <c r="F1522" i="1"/>
  <c r="D1522" i="1" s="1"/>
  <c r="G1522" i="1" s="1"/>
  <c r="C1522" i="1"/>
  <c r="B1523" i="1" l="1"/>
  <c r="E1523" i="1" s="1"/>
  <c r="H1523" i="1" l="1"/>
  <c r="F1523" i="1"/>
  <c r="D1523" i="1" s="1"/>
  <c r="G1523" i="1" s="1"/>
  <c r="C1523" i="1"/>
  <c r="B1524" i="1" l="1"/>
  <c r="H1524" i="1" l="1"/>
  <c r="F1524" i="1"/>
  <c r="D1524" i="1" s="1"/>
  <c r="G1524" i="1" s="1"/>
  <c r="E1524" i="1"/>
  <c r="C1524" i="1"/>
  <c r="B1525" i="1" l="1"/>
  <c r="E1525" i="1" l="1"/>
  <c r="H1525" i="1"/>
  <c r="C1525" i="1"/>
  <c r="F1525" i="1"/>
  <c r="D1525" i="1" s="1"/>
  <c r="G1525" i="1" s="1"/>
  <c r="B1526" i="1" l="1"/>
  <c r="C1526" i="1" l="1"/>
  <c r="F1526" i="1"/>
  <c r="D1526" i="1" s="1"/>
  <c r="G1526" i="1" s="1"/>
  <c r="H1526" i="1"/>
  <c r="B1527" i="1" s="1"/>
  <c r="E1526" i="1"/>
  <c r="C1527" i="1" l="1"/>
  <c r="F1527" i="1"/>
  <c r="D1527" i="1" s="1"/>
  <c r="G1527" i="1" s="1"/>
  <c r="E1527" i="1"/>
  <c r="H1527" i="1"/>
  <c r="B1528" i="1" s="1"/>
  <c r="E1528" i="1" l="1"/>
  <c r="H1528" i="1"/>
  <c r="F1528" i="1"/>
  <c r="D1528" i="1" s="1"/>
  <c r="G1528" i="1" s="1"/>
  <c r="C1528" i="1"/>
  <c r="B1529" i="1" l="1"/>
  <c r="F1529" i="1" l="1"/>
  <c r="D1529" i="1" s="1"/>
  <c r="G1529" i="1" s="1"/>
  <c r="E1529" i="1"/>
  <c r="H1529" i="1"/>
  <c r="B1530" i="1" s="1"/>
  <c r="C1529" i="1"/>
  <c r="H1530" i="1" l="1"/>
  <c r="F1530" i="1"/>
  <c r="D1530" i="1" s="1"/>
  <c r="G1530" i="1" s="1"/>
  <c r="C1530" i="1"/>
  <c r="E1530" i="1"/>
  <c r="B1531" i="1" l="1"/>
  <c r="F1531" i="1" l="1"/>
  <c r="D1531" i="1" s="1"/>
  <c r="G1531" i="1" s="1"/>
  <c r="H1531" i="1"/>
  <c r="E1531" i="1"/>
  <c r="C1531" i="1"/>
  <c r="B1532" i="1" l="1"/>
  <c r="H1532" i="1"/>
  <c r="F1532" i="1"/>
  <c r="D1532" i="1" s="1"/>
  <c r="G1532" i="1" s="1"/>
  <c r="C1532" i="1"/>
  <c r="E1532" i="1"/>
  <c r="B1533" i="1" l="1"/>
  <c r="H1533" i="1" l="1"/>
  <c r="E1533" i="1"/>
  <c r="C1533" i="1"/>
  <c r="F1533" i="1"/>
  <c r="D1533" i="1" s="1"/>
  <c r="G1533" i="1" s="1"/>
  <c r="B1534" i="1" l="1"/>
  <c r="F1534" i="1" l="1"/>
  <c r="D1534" i="1" s="1"/>
  <c r="G1534" i="1" s="1"/>
  <c r="H1534" i="1"/>
  <c r="B1535" i="1" s="1"/>
  <c r="E1534" i="1"/>
  <c r="C1534" i="1"/>
  <c r="F1535" i="1" l="1"/>
  <c r="D1535" i="1" s="1"/>
  <c r="G1535" i="1" s="1"/>
  <c r="H1535" i="1"/>
  <c r="B1536" i="1" s="1"/>
  <c r="C1535" i="1"/>
  <c r="E1535" i="1"/>
  <c r="F1536" i="1" l="1"/>
  <c r="D1536" i="1" s="1"/>
  <c r="G1536" i="1" s="1"/>
  <c r="E1536" i="1"/>
  <c r="C1536" i="1"/>
  <c r="H1536" i="1"/>
  <c r="B1537" i="1" l="1"/>
  <c r="F1537" i="1"/>
  <c r="D1537" i="1" s="1"/>
  <c r="G1537" i="1" s="1"/>
  <c r="E1537" i="1"/>
  <c r="C1537" i="1"/>
  <c r="H1537" i="1"/>
  <c r="B1538" i="1" s="1"/>
  <c r="F1538" i="1" l="1"/>
  <c r="D1538" i="1" s="1"/>
  <c r="G1538" i="1" s="1"/>
  <c r="E1538" i="1"/>
  <c r="C1538" i="1"/>
  <c r="H1538" i="1"/>
  <c r="B1539" i="1" s="1"/>
  <c r="E1539" i="1" l="1"/>
  <c r="C1539" i="1"/>
  <c r="H1539" i="1"/>
  <c r="F1539" i="1"/>
  <c r="D1539" i="1" s="1"/>
  <c r="G1539" i="1" s="1"/>
  <c r="B1540" i="1" l="1"/>
  <c r="H1540" i="1" l="1"/>
  <c r="C1540" i="1"/>
  <c r="F1540" i="1"/>
  <c r="D1540" i="1" s="1"/>
  <c r="G1540" i="1" s="1"/>
  <c r="E1540" i="1"/>
  <c r="B1541" i="1" l="1"/>
  <c r="C1541" i="1" l="1"/>
  <c r="E1541" i="1"/>
  <c r="F1541" i="1"/>
  <c r="D1541" i="1" s="1"/>
  <c r="G1541" i="1" s="1"/>
  <c r="H1541" i="1"/>
  <c r="B1542" i="1" s="1"/>
  <c r="E1542" i="1" s="1"/>
  <c r="H1542" i="1" l="1"/>
  <c r="F1542" i="1"/>
  <c r="D1542" i="1" s="1"/>
  <c r="C1542" i="1"/>
  <c r="B1543" i="1"/>
  <c r="G1542" i="1"/>
  <c r="F1543" i="1" l="1"/>
  <c r="D1543" i="1" s="1"/>
  <c r="H1543" i="1"/>
  <c r="E1543" i="1"/>
  <c r="C1543" i="1"/>
  <c r="G1543" i="1" l="1"/>
  <c r="B1544" i="1"/>
  <c r="F1544" i="1" l="1"/>
  <c r="D1544" i="1" s="1"/>
  <c r="G1544" i="1" s="1"/>
  <c r="H1544" i="1"/>
  <c r="C1544" i="1"/>
  <c r="E1544" i="1"/>
  <c r="B1545" i="1" l="1"/>
  <c r="E1545" i="1"/>
  <c r="C1545" i="1"/>
  <c r="H1545" i="1"/>
  <c r="F1545" i="1"/>
  <c r="D1545" i="1" s="1"/>
  <c r="G1545" i="1" s="1"/>
  <c r="B1546" i="1" l="1"/>
  <c r="E1546" i="1" l="1"/>
  <c r="F1546" i="1"/>
  <c r="D1546" i="1" s="1"/>
  <c r="G1546" i="1" s="1"/>
  <c r="C1546" i="1"/>
  <c r="H1546" i="1"/>
  <c r="B1547" i="1" l="1"/>
  <c r="E1547" i="1" s="1"/>
  <c r="H1547" i="1"/>
  <c r="C1547" i="1"/>
  <c r="F1547" i="1" l="1"/>
  <c r="D1547" i="1" s="1"/>
  <c r="G1547" i="1" s="1"/>
  <c r="B1548" i="1" l="1"/>
  <c r="F1548" i="1" l="1"/>
  <c r="D1548" i="1" s="1"/>
  <c r="G1548" i="1" s="1"/>
  <c r="C1548" i="1"/>
  <c r="H1548" i="1"/>
  <c r="B1549" i="1" s="1"/>
  <c r="E1548" i="1"/>
  <c r="H1549" i="1" l="1"/>
  <c r="E1549" i="1"/>
  <c r="F1549" i="1"/>
  <c r="D1549" i="1" s="1"/>
  <c r="G1549" i="1" s="1"/>
  <c r="C1549" i="1"/>
  <c r="B1550" i="1" l="1"/>
  <c r="F1550" i="1" l="1"/>
  <c r="D1550" i="1" s="1"/>
  <c r="G1550" i="1" s="1"/>
  <c r="E1550" i="1"/>
  <c r="H1550" i="1"/>
  <c r="B1551" i="1" s="1"/>
  <c r="C1550" i="1"/>
  <c r="E1551" i="1" l="1"/>
  <c r="C1551" i="1"/>
  <c r="H1551" i="1"/>
  <c r="F1551" i="1"/>
  <c r="D1551" i="1" s="1"/>
  <c r="G1551" i="1" s="1"/>
  <c r="B1552" i="1" l="1"/>
  <c r="E1552" i="1" l="1"/>
  <c r="F1552" i="1"/>
  <c r="D1552" i="1" s="1"/>
  <c r="G1552" i="1" s="1"/>
  <c r="C1552" i="1"/>
  <c r="H1552" i="1"/>
  <c r="B1553" i="1" l="1"/>
  <c r="E1553" i="1" l="1"/>
  <c r="C1553" i="1"/>
  <c r="H1553" i="1"/>
  <c r="B1554" i="1" s="1"/>
  <c r="F1553" i="1"/>
  <c r="D1553" i="1" s="1"/>
  <c r="G1553" i="1" s="1"/>
  <c r="C1554" i="1" l="1"/>
  <c r="E1554" i="1"/>
  <c r="F1554" i="1"/>
  <c r="D1554" i="1" s="1"/>
  <c r="G1554" i="1" s="1"/>
  <c r="H1554" i="1"/>
  <c r="B1555" i="1" s="1"/>
  <c r="E1555" i="1" l="1"/>
  <c r="C1555" i="1"/>
  <c r="H1555" i="1"/>
  <c r="F1555" i="1"/>
  <c r="D1555" i="1" s="1"/>
  <c r="G1555" i="1" s="1"/>
  <c r="B1556" i="1" l="1"/>
  <c r="E1556" i="1" l="1"/>
  <c r="H1556" i="1"/>
  <c r="C1556" i="1"/>
  <c r="F1556" i="1"/>
  <c r="D1556" i="1" s="1"/>
  <c r="G1556" i="1" s="1"/>
  <c r="B1557" i="1" l="1"/>
  <c r="C1557" i="1" l="1"/>
  <c r="H1557" i="1"/>
  <c r="F1557" i="1"/>
  <c r="D1557" i="1" s="1"/>
  <c r="G1557" i="1" s="1"/>
  <c r="E1557" i="1"/>
  <c r="B1558" i="1" l="1"/>
  <c r="E1558" i="1" l="1"/>
  <c r="C1558" i="1"/>
  <c r="H1558" i="1"/>
  <c r="F1558" i="1"/>
  <c r="D1558" i="1" s="1"/>
  <c r="G1558" i="1" s="1"/>
  <c r="B1559" i="1" l="1"/>
  <c r="F1559" i="1" l="1"/>
  <c r="D1559" i="1" s="1"/>
  <c r="E1559" i="1"/>
  <c r="C1559" i="1"/>
  <c r="H1559" i="1"/>
  <c r="B1560" i="1" l="1"/>
  <c r="G1559" i="1"/>
  <c r="E1560" i="1" l="1"/>
  <c r="F1560" i="1"/>
  <c r="D1560" i="1" s="1"/>
  <c r="C1560" i="1"/>
  <c r="H1560" i="1"/>
  <c r="B1561" i="1" l="1"/>
  <c r="G1560" i="1"/>
  <c r="H1561" i="1" l="1"/>
  <c r="F1561" i="1"/>
  <c r="D1561" i="1" s="1"/>
  <c r="C1561" i="1"/>
  <c r="R14" i="2" s="1"/>
  <c r="E1561" i="1"/>
  <c r="A2" i="6" a="1"/>
  <c r="A2" i="6" s="1"/>
  <c r="R10" i="2" l="1"/>
  <c r="R16" i="2"/>
  <c r="G1561" i="1"/>
  <c r="R9" i="2" s="1"/>
  <c r="R11" i="2" s="1"/>
  <c r="R15" i="2"/>
  <c r="K2" i="1"/>
  <c r="R12" i="2"/>
  <c r="Q12" i="2" l="1"/>
  <c r="Q13" i="2" s="1"/>
  <c r="R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 t</author>
  </authors>
  <commentList>
    <comment ref="A1561" authorId="0" shapeId="0" xr:uid="{1F1F25EC-1D73-2F48-891D-B9E1B5FCAE90}">
      <text>
        <r>
          <rPr>
            <sz val="10"/>
            <color rgb="FF000000"/>
            <rFont val="Tahoma"/>
            <family val="2"/>
          </rPr>
          <t>The absolute worst case scenario given there is a 30 year loan term with weekly payments and no extra payments.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 t</author>
  </authors>
  <commentList>
    <comment ref="A1561" authorId="0" shapeId="0" xr:uid="{CE3B4D3D-6ADD-6747-A585-1465D174E866}">
      <text>
        <r>
          <rPr>
            <sz val="10"/>
            <color rgb="FF000000"/>
            <rFont val="Tahoma"/>
            <family val="2"/>
          </rPr>
          <t>The absolute worst case scenario given there is a 30 year loan term with weekly payments and no extra payments.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<sst xmlns="http://schemas.openxmlformats.org/spreadsheetml/2006/main" count="36" uniqueCount="14">
  <si>
    <t>Interest Rate (Annual)</t>
  </si>
  <si>
    <t>Loan Amount</t>
  </si>
  <si>
    <t>Loan Term (Years)</t>
  </si>
  <si>
    <t>Start Date</t>
  </si>
  <si>
    <t>Payments Frequency</t>
  </si>
  <si>
    <t>Beginning Balance</t>
  </si>
  <si>
    <t>Extra Payment</t>
  </si>
  <si>
    <t>Interest</t>
  </si>
  <si>
    <t>Ending Balance</t>
  </si>
  <si>
    <t>Principal</t>
  </si>
  <si>
    <t>Total Payment</t>
  </si>
  <si>
    <t>Monthly</t>
  </si>
  <si>
    <t>Total Principal</t>
  </si>
  <si>
    <r>
      <t xml:space="preserve">Welcome to the Dynamic Loan Amortization and Prepayment Model.
← Please feel free to adjust the data in light blue.
</t>
    </r>
    <r>
      <rPr>
        <b/>
        <sz val="16"/>
        <color theme="0"/>
        <rFont val="Aptos Narrow"/>
        <scheme val="minor"/>
      </rPr>
      <t>Note</t>
    </r>
    <r>
      <rPr>
        <sz val="16"/>
        <color theme="0"/>
        <rFont val="Aptos Narrow"/>
        <family val="2"/>
        <scheme val="minor"/>
      </rPr>
      <t>: all numbers are rounded to the second decimal point. The last total payment may vary from the constant scheduled total payment to accommodate rounding and any extra payments.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</si>
</sst>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6"/>
      <color theme="0"/>
      <name val="Aptos Narrow"/>
      <family val="2"/>
      <scheme val="minor"/>
    </font>
    <font>
      <b/>
      <sz val="16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44" fontId="2" fillId="3" borderId="0" xfId="1" applyNumberFormat="1" applyFont="1" applyFill="1" applyAlignment="1">
      <alignment horizontal="center" wrapText="1"/>
    </xf>
    <xf numFmtId="44" fontId="0" fillId="0" borderId="0" xfId="1" applyNumberFormat="1" applyFont="1"/>
    <xf numFmtId="44" fontId="0" fillId="0" borderId="0" xfId="0" applyNumberFormat="1"/>
    <xf numFmtId="8" fontId="0" fillId="0" borderId="0" xfId="0" applyNumberFormat="1"/>
    <xf numFmtId="0" fontId="4" fillId="0" borderId="0" xfId="0" applyFont="1"/>
    <xf numFmtId="44" fontId="5" fillId="2" borderId="0" xfId="1" applyFont="1" applyFill="1" applyProtection="1">
      <protection locked="0"/>
    </xf>
    <xf numFmtId="10" fontId="5" fillId="2" borderId="0" xfId="2" applyNumberFormat="1" applyFont="1" applyFill="1" applyProtection="1">
      <protection locked="0"/>
    </xf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right"/>
      <protection locked="0"/>
    </xf>
    <xf numFmtId="14" fontId="5" fillId="2" borderId="0" xfId="0" applyNumberFormat="1" applyFont="1" applyFill="1" applyProtection="1">
      <protection locked="0"/>
    </xf>
    <xf numFmtId="0" fontId="0" fillId="0" borderId="0" xfId="0" applyNumberFormat="1"/>
    <xf numFmtId="14" fontId="0" fillId="0" borderId="0" xfId="0" applyNumberFormat="1"/>
    <xf numFmtId="0" fontId="6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wrapText="1"/>
    </xf>
    <xf numFmtId="44" fontId="2" fillId="5" borderId="0" xfId="1" applyNumberFormat="1" applyFont="1" applyFill="1" applyAlignment="1">
      <alignment horizontal="center" wrapText="1"/>
    </xf>
    <xf numFmtId="0" fontId="2" fillId="3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4" fontId="2" fillId="5" borderId="0" xfId="1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829732</xdr:colOff>
      <xdr:row>13</xdr:row>
      <xdr:rowOff>25400</xdr:rowOff>
    </xdr:from>
    <xdr:to>
      <xdr:col>3</xdr:col>
      <xdr:colOff>203200</xdr:colOff>
      <xdr:row>19</xdr:row>
      <xdr:rowOff>114300</xdr:rowOff>
    </xdr:to>
    <xdr:sp macro="" textlink="MonthlyPayment">
      <xdr:nvSpPr>
        <xdr:cNvPr id="3" name="ScheduledMonthlyPayment">
          <a:extLst>
            <a:ext uri="{FF2B5EF4-FFF2-40B4-BE49-F238E27FC236}">
              <a16:creationId xmlns:a16="http://schemas.microsoft.com/office/drawing/2014/main" id="{6B41E2E1-4A3C-360C-5557-A5760EC8E608}"/>
            </a:ext>
          </a:extLst>
        </xdr:cNvPr>
        <xdr:cNvSpPr/>
      </xdr:nvSpPr>
      <xdr:spPr>
        <a:xfrm>
          <a:off x="829732" y="2870200"/>
          <a:ext cx="3505201" cy="13081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E1EE34A-6EE7-CD46-97ED-8ACEE626EEF1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t>$608.44 </a:t>
          </a:fld>
          <a:endParaRPr lang="en-US" sz="2400" b="0"/>
        </a:p>
      </xdr:txBody>
    </xdr:sp>
    <xdr:clientData/>
  </xdr:twoCellAnchor>
  <xdr:twoCellAnchor>
    <xdr:from>
      <xdr:col>3</xdr:col>
      <xdr:colOff>203200</xdr:colOff>
      <xdr:row>10</xdr:row>
      <xdr:rowOff>165100</xdr:rowOff>
    </xdr:from>
    <xdr:to>
      <xdr:col>8</xdr:col>
      <xdr:colOff>359833</xdr:colOff>
      <xdr:row>13</xdr:row>
      <xdr:rowOff>25400</xdr:rowOff>
    </xdr:to>
    <xdr:sp macro="" textlink="">
      <xdr:nvSpPr>
        <xdr:cNvPr id="4" name="Title2">
          <a:extLst>
            <a:ext uri="{FF2B5EF4-FFF2-40B4-BE49-F238E27FC236}">
              <a16:creationId xmlns:a16="http://schemas.microsoft.com/office/drawing/2014/main" id="{8B04821C-5002-A160-85B1-FE93DBCAF245}"/>
            </a:ext>
          </a:extLst>
        </xdr:cNvPr>
        <xdr:cNvSpPr/>
      </xdr:nvSpPr>
      <xdr:spPr>
        <a:xfrm>
          <a:off x="5046133" y="2400300"/>
          <a:ext cx="4305300" cy="46990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rgbClr val="000000"/>
              </a:solidFill>
              <a:latin typeface="Aptos Narrow"/>
            </a:rPr>
            <a:t>Total Principal Paid:</a:t>
          </a:r>
        </a:p>
      </xdr:txBody>
    </xdr:sp>
    <xdr:clientData/>
  </xdr:twoCellAnchor>
  <xdr:twoCellAnchor>
    <xdr:from>
      <xdr:col>3</xdr:col>
      <xdr:colOff>203200</xdr:colOff>
      <xdr:row>13</xdr:row>
      <xdr:rowOff>25400</xdr:rowOff>
    </xdr:from>
    <xdr:to>
      <xdr:col>8</xdr:col>
      <xdr:colOff>359833</xdr:colOff>
      <xdr:row>19</xdr:row>
      <xdr:rowOff>114300</xdr:rowOff>
    </xdr:to>
    <xdr:sp macro="" textlink="TotalPrincipal">
      <xdr:nvSpPr>
        <xdr:cNvPr id="5" name="TotalPrincipalPaidValue">
          <a:extLst>
            <a:ext uri="{FF2B5EF4-FFF2-40B4-BE49-F238E27FC236}">
              <a16:creationId xmlns:a16="http://schemas.microsoft.com/office/drawing/2014/main" id="{45438B74-670A-3E25-0CD4-BBA713BA4873}"/>
            </a:ext>
          </a:extLst>
        </xdr:cNvPr>
        <xdr:cNvSpPr/>
      </xdr:nvSpPr>
      <xdr:spPr>
        <a:xfrm>
          <a:off x="4334933" y="2870200"/>
          <a:ext cx="4305300" cy="13081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36F1A82-79EB-E247-BF8F-3C9ADCD5A122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t> $20,000.00 </a:t>
          </a:fld>
          <a:endParaRPr lang="en-US" sz="2400" b="0"/>
        </a:p>
      </xdr:txBody>
    </xdr:sp>
    <xdr:clientData/>
  </xdr:twoCellAnchor>
  <xdr:twoCellAnchor>
    <xdr:from>
      <xdr:col>8</xdr:col>
      <xdr:colOff>338666</xdr:colOff>
      <xdr:row>10</xdr:row>
      <xdr:rowOff>165100</xdr:rowOff>
    </xdr:from>
    <xdr:to>
      <xdr:col>13</xdr:col>
      <xdr:colOff>16932</xdr:colOff>
      <xdr:row>13</xdr:row>
      <xdr:rowOff>25400</xdr:rowOff>
    </xdr:to>
    <xdr:sp macro="" textlink="">
      <xdr:nvSpPr>
        <xdr:cNvPr id="6" name="Title3">
          <a:extLst>
            <a:ext uri="{FF2B5EF4-FFF2-40B4-BE49-F238E27FC236}">
              <a16:creationId xmlns:a16="http://schemas.microsoft.com/office/drawing/2014/main" id="{42F14C1F-0BD8-A098-ED87-6EFB14C6CC1E}"/>
            </a:ext>
          </a:extLst>
        </xdr:cNvPr>
        <xdr:cNvSpPr/>
      </xdr:nvSpPr>
      <xdr:spPr>
        <a:xfrm>
          <a:off x="8619066" y="2400300"/>
          <a:ext cx="3826933" cy="46990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rgbClr val="000000"/>
              </a:solidFill>
              <a:latin typeface="Aptos Narrow"/>
            </a:rPr>
            <a:t>Total Interest Paid</a:t>
          </a:r>
        </a:p>
      </xdr:txBody>
    </xdr:sp>
    <xdr:clientData/>
  </xdr:twoCellAnchor>
  <xdr:twoCellAnchor>
    <xdr:from>
      <xdr:col>8</xdr:col>
      <xdr:colOff>338666</xdr:colOff>
      <xdr:row>13</xdr:row>
      <xdr:rowOff>25400</xdr:rowOff>
    </xdr:from>
    <xdr:to>
      <xdr:col>13</xdr:col>
      <xdr:colOff>16932</xdr:colOff>
      <xdr:row>19</xdr:row>
      <xdr:rowOff>114300</xdr:rowOff>
    </xdr:to>
    <xdr:sp macro="" textlink="TotalInterestPaid">
      <xdr:nvSpPr>
        <xdr:cNvPr id="7" name="TotalInterestPaidValue">
          <a:extLst>
            <a:ext uri="{FF2B5EF4-FFF2-40B4-BE49-F238E27FC236}">
              <a16:creationId xmlns:a16="http://schemas.microsoft.com/office/drawing/2014/main" id="{246B4353-8EA6-2A48-F108-5D37BCA3517F}"/>
            </a:ext>
          </a:extLst>
        </xdr:cNvPr>
        <xdr:cNvSpPr/>
      </xdr:nvSpPr>
      <xdr:spPr>
        <a:xfrm>
          <a:off x="8619066" y="2870200"/>
          <a:ext cx="3826933" cy="13081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46B81C0-3EB3-F64D-AC9F-482F67A6A7E3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t> $1,903.82 </a:t>
          </a:fld>
          <a:endParaRPr lang="en-US" sz="2400" b="0"/>
        </a:p>
      </xdr:txBody>
    </xdr:sp>
    <xdr:clientData/>
  </xdr:twoCellAnchor>
  <xdr:twoCellAnchor>
    <xdr:from>
      <xdr:col>0</xdr:col>
      <xdr:colOff>829732</xdr:colOff>
      <xdr:row>19</xdr:row>
      <xdr:rowOff>114300</xdr:rowOff>
    </xdr:from>
    <xdr:to>
      <xdr:col>2</xdr:col>
      <xdr:colOff>41588</xdr:colOff>
      <xdr:row>21</xdr:row>
      <xdr:rowOff>177800</xdr:rowOff>
    </xdr:to>
    <xdr:sp macro="" textlink="">
      <xdr:nvSpPr>
        <xdr:cNvPr id="8" name="Title4">
          <a:extLst>
            <a:ext uri="{FF2B5EF4-FFF2-40B4-BE49-F238E27FC236}">
              <a16:creationId xmlns:a16="http://schemas.microsoft.com/office/drawing/2014/main" id="{EE6707E3-0AB7-ABBF-2444-C8F631DF26A6}"/>
            </a:ext>
          </a:extLst>
        </xdr:cNvPr>
        <xdr:cNvSpPr/>
      </xdr:nvSpPr>
      <xdr:spPr>
        <a:xfrm>
          <a:off x="829732" y="4178300"/>
          <a:ext cx="2293723" cy="46990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rgbClr val="000000"/>
              </a:solidFill>
              <a:latin typeface="+mn-lt"/>
            </a:rPr>
            <a:t>Expected Payoff Date:</a:t>
          </a:r>
        </a:p>
      </xdr:txBody>
    </xdr:sp>
    <xdr:clientData/>
  </xdr:twoCellAnchor>
  <xdr:twoCellAnchor>
    <xdr:from>
      <xdr:col>0</xdr:col>
      <xdr:colOff>829732</xdr:colOff>
      <xdr:row>21</xdr:row>
      <xdr:rowOff>177800</xdr:rowOff>
    </xdr:from>
    <xdr:to>
      <xdr:col>2</xdr:col>
      <xdr:colOff>50800</xdr:colOff>
      <xdr:row>28</xdr:row>
      <xdr:rowOff>63500</xdr:rowOff>
    </xdr:to>
    <xdr:sp macro="" textlink="PayoffDate">
      <xdr:nvSpPr>
        <xdr:cNvPr id="9" name="PayoffDateExpected">
          <a:extLst>
            <a:ext uri="{FF2B5EF4-FFF2-40B4-BE49-F238E27FC236}">
              <a16:creationId xmlns:a16="http://schemas.microsoft.com/office/drawing/2014/main" id="{4829158F-79EE-0D99-BFFC-7394E4E9CB9D}"/>
            </a:ext>
          </a:extLst>
        </xdr:cNvPr>
        <xdr:cNvSpPr/>
      </xdr:nvSpPr>
      <xdr:spPr>
        <a:xfrm>
          <a:off x="829732" y="4648200"/>
          <a:ext cx="2302935" cy="13081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02A1266-B8D1-8944-B02C-323146BF10B9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t>2029-09-07</a:t>
          </a:fld>
          <a:endParaRPr lang="en-US" sz="2400" b="0"/>
        </a:p>
      </xdr:txBody>
    </xdr:sp>
    <xdr:clientData/>
  </xdr:twoCellAnchor>
  <xdr:twoCellAnchor>
    <xdr:from>
      <xdr:col>2</xdr:col>
      <xdr:colOff>43299</xdr:colOff>
      <xdr:row>19</xdr:row>
      <xdr:rowOff>114300</xdr:rowOff>
    </xdr:from>
    <xdr:to>
      <xdr:col>4</xdr:col>
      <xdr:colOff>745067</xdr:colOff>
      <xdr:row>21</xdr:row>
      <xdr:rowOff>177800</xdr:rowOff>
    </xdr:to>
    <xdr:sp macro="" textlink="">
      <xdr:nvSpPr>
        <xdr:cNvPr id="10" name="Title5">
          <a:extLst>
            <a:ext uri="{FF2B5EF4-FFF2-40B4-BE49-F238E27FC236}">
              <a16:creationId xmlns:a16="http://schemas.microsoft.com/office/drawing/2014/main" id="{746B9731-00FE-8841-846B-2B2F63E1CBDE}"/>
            </a:ext>
          </a:extLst>
        </xdr:cNvPr>
        <xdr:cNvSpPr/>
      </xdr:nvSpPr>
      <xdr:spPr>
        <a:xfrm>
          <a:off x="3125166" y="4178300"/>
          <a:ext cx="3292568" cy="46990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rgbClr val="000000"/>
              </a:solidFill>
              <a:latin typeface="+mn-lt"/>
            </a:rPr>
            <a:t>Time Saved with Extra Payment:</a:t>
          </a:r>
        </a:p>
      </xdr:txBody>
    </xdr:sp>
    <xdr:clientData/>
  </xdr:twoCellAnchor>
  <xdr:twoCellAnchor>
    <xdr:from>
      <xdr:col>2</xdr:col>
      <xdr:colOff>43299</xdr:colOff>
      <xdr:row>21</xdr:row>
      <xdr:rowOff>177800</xdr:rowOff>
    </xdr:from>
    <xdr:to>
      <xdr:col>4</xdr:col>
      <xdr:colOff>745067</xdr:colOff>
      <xdr:row>28</xdr:row>
      <xdr:rowOff>63500</xdr:rowOff>
    </xdr:to>
    <xdr:sp macro="" textlink="NumberOfMonthsSimplified">
      <xdr:nvSpPr>
        <xdr:cNvPr id="11" name="TimeSaved">
          <a:extLst>
            <a:ext uri="{FF2B5EF4-FFF2-40B4-BE49-F238E27FC236}">
              <a16:creationId xmlns:a16="http://schemas.microsoft.com/office/drawing/2014/main" id="{0CFF43E4-5204-DE56-75FF-DDCE6AE27AF7}"/>
            </a:ext>
          </a:extLst>
        </xdr:cNvPr>
        <xdr:cNvSpPr/>
      </xdr:nvSpPr>
      <xdr:spPr>
        <a:xfrm>
          <a:off x="3125166" y="4648200"/>
          <a:ext cx="3292568" cy="13081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1DD547-C7DB-1F4F-9235-803C4BA28FE3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t>0 Month(s)</a:t>
          </a:fld>
          <a:endParaRPr lang="en-US" sz="2400" b="0"/>
        </a:p>
      </xdr:txBody>
    </xdr:sp>
    <xdr:clientData/>
  </xdr:twoCellAnchor>
  <xdr:twoCellAnchor>
    <xdr:from>
      <xdr:col>8</xdr:col>
      <xdr:colOff>592667</xdr:colOff>
      <xdr:row>19</xdr:row>
      <xdr:rowOff>114300</xdr:rowOff>
    </xdr:from>
    <xdr:to>
      <xdr:col>13</xdr:col>
      <xdr:colOff>16929</xdr:colOff>
      <xdr:row>21</xdr:row>
      <xdr:rowOff>177800</xdr:rowOff>
    </xdr:to>
    <xdr:sp macro="" textlink="">
      <xdr:nvSpPr>
        <xdr:cNvPr id="12" name="Title6">
          <a:extLst>
            <a:ext uri="{FF2B5EF4-FFF2-40B4-BE49-F238E27FC236}">
              <a16:creationId xmlns:a16="http://schemas.microsoft.com/office/drawing/2014/main" id="{C82A4680-A5AA-34E4-01AD-0B94C92D456F}"/>
            </a:ext>
          </a:extLst>
        </xdr:cNvPr>
        <xdr:cNvSpPr/>
      </xdr:nvSpPr>
      <xdr:spPr>
        <a:xfrm>
          <a:off x="9584267" y="4178300"/>
          <a:ext cx="3572929" cy="46990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rgbClr val="000000"/>
              </a:solidFill>
              <a:latin typeface="+mn-lt"/>
            </a:rPr>
            <a:t>Interest Saved Due to Extra Payment(s):</a:t>
          </a:r>
        </a:p>
      </xdr:txBody>
    </xdr:sp>
    <xdr:clientData/>
  </xdr:twoCellAnchor>
  <xdr:twoCellAnchor>
    <xdr:from>
      <xdr:col>8</xdr:col>
      <xdr:colOff>592667</xdr:colOff>
      <xdr:row>21</xdr:row>
      <xdr:rowOff>177800</xdr:rowOff>
    </xdr:from>
    <xdr:to>
      <xdr:col>13</xdr:col>
      <xdr:colOff>16929</xdr:colOff>
      <xdr:row>28</xdr:row>
      <xdr:rowOff>63500</xdr:rowOff>
    </xdr:to>
    <xdr:sp macro="" textlink="InterestSaved">
      <xdr:nvSpPr>
        <xdr:cNvPr id="13" name="InterestedSaved">
          <a:extLst>
            <a:ext uri="{FF2B5EF4-FFF2-40B4-BE49-F238E27FC236}">
              <a16:creationId xmlns:a16="http://schemas.microsoft.com/office/drawing/2014/main" id="{3D9F3B6B-F4BA-6B30-8D81-AED0FACE8C93}"/>
            </a:ext>
          </a:extLst>
        </xdr:cNvPr>
        <xdr:cNvSpPr/>
      </xdr:nvSpPr>
      <xdr:spPr>
        <a:xfrm>
          <a:off x="9584267" y="4648200"/>
          <a:ext cx="3572929" cy="13081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A65255A-D289-6540-B91B-2B7F7B2B84EA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t> $-   </a:t>
          </a:fld>
          <a:endParaRPr lang="en-US" sz="2400" b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745069</xdr:colOff>
      <xdr:row>19</xdr:row>
      <xdr:rowOff>114303</xdr:rowOff>
    </xdr:from>
    <xdr:to>
      <xdr:col>8</xdr:col>
      <xdr:colOff>592667</xdr:colOff>
      <xdr:row>21</xdr:row>
      <xdr:rowOff>177803</xdr:rowOff>
    </xdr:to>
    <xdr:sp macro="" textlink="">
      <xdr:nvSpPr>
        <xdr:cNvPr id="15" name="Title7">
          <a:extLst>
            <a:ext uri="{FF2B5EF4-FFF2-40B4-BE49-F238E27FC236}">
              <a16:creationId xmlns:a16="http://schemas.microsoft.com/office/drawing/2014/main" id="{EE890D14-9962-893A-6CB7-393B95104502}"/>
            </a:ext>
          </a:extLst>
        </xdr:cNvPr>
        <xdr:cNvSpPr/>
      </xdr:nvSpPr>
      <xdr:spPr>
        <a:xfrm>
          <a:off x="6417736" y="4178303"/>
          <a:ext cx="3166531" cy="46990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rgbClr val="000000"/>
              </a:solidFill>
              <a:latin typeface="Aptos Narrow"/>
            </a:rPr>
            <a:t>Total</a:t>
          </a:r>
          <a:r>
            <a:rPr lang="en-US" sz="1600" b="1" i="0" u="none" strike="noStrike" baseline="0">
              <a:solidFill>
                <a:srgbClr val="000000"/>
              </a:solidFill>
              <a:latin typeface="Aptos Narrow"/>
            </a:rPr>
            <a:t> Extra Payment(s):</a:t>
          </a:r>
        </a:p>
      </xdr:txBody>
    </xdr:sp>
    <xdr:clientData/>
  </xdr:twoCellAnchor>
  <xdr:twoCellAnchor>
    <xdr:from>
      <xdr:col>4</xdr:col>
      <xdr:colOff>745069</xdr:colOff>
      <xdr:row>21</xdr:row>
      <xdr:rowOff>177803</xdr:rowOff>
    </xdr:from>
    <xdr:to>
      <xdr:col>8</xdr:col>
      <xdr:colOff>592667</xdr:colOff>
      <xdr:row>28</xdr:row>
      <xdr:rowOff>63503</xdr:rowOff>
    </xdr:to>
    <xdr:sp macro="" textlink="TotalExtraPayments">
      <xdr:nvSpPr>
        <xdr:cNvPr id="16" name="TotalExtraPaymentsValue">
          <a:extLst>
            <a:ext uri="{FF2B5EF4-FFF2-40B4-BE49-F238E27FC236}">
              <a16:creationId xmlns:a16="http://schemas.microsoft.com/office/drawing/2014/main" id="{46323849-8C0E-BB14-E21D-1B296106163B}"/>
            </a:ext>
          </a:extLst>
        </xdr:cNvPr>
        <xdr:cNvSpPr/>
      </xdr:nvSpPr>
      <xdr:spPr>
        <a:xfrm>
          <a:off x="6417736" y="4648203"/>
          <a:ext cx="3166531" cy="13081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6374197-22CE-B842-89F6-D66AFF08C9D1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t> $-   </a:t>
          </a:fld>
          <a:endParaRPr lang="en-US" sz="2400" b="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16932</xdr:colOff>
      <xdr:row>10</xdr:row>
      <xdr:rowOff>165103</xdr:rowOff>
    </xdr:from>
    <xdr:to>
      <xdr:col>15</xdr:col>
      <xdr:colOff>2336799</xdr:colOff>
      <xdr:row>13</xdr:row>
      <xdr:rowOff>25403</xdr:rowOff>
    </xdr:to>
    <xdr:sp macro="" textlink="">
      <xdr:nvSpPr>
        <xdr:cNvPr id="17" name="Title8">
          <a:extLst>
            <a:ext uri="{FF2B5EF4-FFF2-40B4-BE49-F238E27FC236}">
              <a16:creationId xmlns:a16="http://schemas.microsoft.com/office/drawing/2014/main" id="{AF6E5056-CC57-23D3-54BE-CCA82588C6B8}"/>
            </a:ext>
          </a:extLst>
        </xdr:cNvPr>
        <xdr:cNvSpPr/>
      </xdr:nvSpPr>
      <xdr:spPr>
        <a:xfrm>
          <a:off x="13157199" y="2400303"/>
          <a:ext cx="3979333" cy="46990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>
              <a:solidFill>
                <a:srgbClr val="000000"/>
              </a:solidFill>
              <a:latin typeface="Aptos Narrow"/>
            </a:rPr>
            <a:t>Total</a:t>
          </a:r>
          <a:r>
            <a:rPr lang="en-US" sz="1600" b="1" i="0" u="none" strike="noStrike" baseline="0">
              <a:solidFill>
                <a:srgbClr val="000000"/>
              </a:solidFill>
              <a:latin typeface="Aptos Narrow"/>
            </a:rPr>
            <a:t> Amount Paid</a:t>
          </a:r>
          <a:endParaRPr lang="en-US" sz="16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13</xdr:col>
      <xdr:colOff>16932</xdr:colOff>
      <xdr:row>13</xdr:row>
      <xdr:rowOff>25403</xdr:rowOff>
    </xdr:from>
    <xdr:to>
      <xdr:col>15</xdr:col>
      <xdr:colOff>2336799</xdr:colOff>
      <xdr:row>28</xdr:row>
      <xdr:rowOff>67733</xdr:rowOff>
    </xdr:to>
    <xdr:sp macro="" textlink="TotalAmountPaid">
      <xdr:nvSpPr>
        <xdr:cNvPr id="18" name="TotalInterestPaidValue">
          <a:extLst>
            <a:ext uri="{FF2B5EF4-FFF2-40B4-BE49-F238E27FC236}">
              <a16:creationId xmlns:a16="http://schemas.microsoft.com/office/drawing/2014/main" id="{1FCBB8AC-33EA-CF50-AAE8-D119295CE3BC}"/>
            </a:ext>
          </a:extLst>
        </xdr:cNvPr>
        <xdr:cNvSpPr/>
      </xdr:nvSpPr>
      <xdr:spPr>
        <a:xfrm>
          <a:off x="13157199" y="2870203"/>
          <a:ext cx="3979333" cy="309033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9460BF9-B17D-5542-BE11-3DA4BE8DB486}" type="TxLink">
            <a:rPr lang="en-US" sz="2400" b="1" i="0" u="sng" strike="noStrike">
              <a:solidFill>
                <a:srgbClr val="FFFF00"/>
              </a:solidFill>
              <a:latin typeface="Aptos Narrow"/>
            </a:rPr>
            <a:t> $21,903.82 </a:t>
          </a:fld>
          <a:endParaRPr lang="en-US" sz="2400" b="1" u="sng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829732</xdr:colOff>
      <xdr:row>10</xdr:row>
      <xdr:rowOff>165100</xdr:rowOff>
    </xdr:from>
    <xdr:to>
      <xdr:col>3</xdr:col>
      <xdr:colOff>203200</xdr:colOff>
      <xdr:row>13</xdr:row>
      <xdr:rowOff>16933</xdr:rowOff>
    </xdr:to>
    <xdr:sp macro="" textlink="$Q$8">
      <xdr:nvSpPr>
        <xdr:cNvPr id="2" name="Title1">
          <a:extLst>
            <a:ext uri="{FF2B5EF4-FFF2-40B4-BE49-F238E27FC236}">
              <a16:creationId xmlns:a16="http://schemas.microsoft.com/office/drawing/2014/main" id="{7D636EFF-605D-E962-BBE7-61EC1F6EE866}"/>
            </a:ext>
          </a:extLst>
        </xdr:cNvPr>
        <xdr:cNvSpPr/>
      </xdr:nvSpPr>
      <xdr:spPr>
        <a:xfrm>
          <a:off x="829732" y="2400300"/>
          <a:ext cx="4216401" cy="461433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28575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4AF3F2F-37DD-4E4B-9DCB-5DC8A035A9E0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t>Scheduled Monthly Payment:</a:t>
          </a:fld>
          <a:endParaRPr lang="en-US" sz="16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DD0F-174C-844E-9EC8-77C4CA5F9E16}">
  <dimension ref="B4:R16"/>
  <sheetViews>
    <sheetView showGridLines="0" showRowColHeaders="0" tabSelected="1" zoomScale="98" zoomScaleNormal="98" workbookViewId="0">
      <selection activeCell="E10" sqref="E10"/>
    </sheetView>
  </sheetViews>
  <sheetFormatPr baseColWidth="10" defaultRowHeight="16" x14ac:dyDescent="0.2"/>
  <cols>
    <col min="2" max="2" width="29.5" bestFit="1" customWidth="1"/>
    <col min="3" max="3" width="23" customWidth="1"/>
    <col min="16" max="16" width="30.6640625" customWidth="1"/>
    <col min="17" max="17" width="24.6640625" hidden="1" customWidth="1"/>
    <col min="18" max="18" width="21.83203125" hidden="1" customWidth="1"/>
  </cols>
  <sheetData>
    <row r="4" spans="2:18" ht="19" customHeight="1" x14ac:dyDescent="0.25">
      <c r="B4" s="8" t="s">
        <v>1</v>
      </c>
      <c r="C4" s="9">
        <v>20000</v>
      </c>
      <c r="E4" s="16" t="s">
        <v>13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R4" s="1">
        <f>IF(C7="Weekly",52,IF(C7="Bi-Weekly",26,IF(C7="Monthly",12,IF(C7="Semi-Annually",2,IF(C7="Annually",1)))))</f>
        <v>12</v>
      </c>
    </row>
    <row r="5" spans="2:18" ht="19" customHeight="1" x14ac:dyDescent="0.25">
      <c r="B5" s="8" t="s">
        <v>0</v>
      </c>
      <c r="C5" s="10">
        <v>0.06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2:18" ht="19" customHeight="1" x14ac:dyDescent="0.25">
      <c r="B6" s="8" t="s">
        <v>2</v>
      </c>
      <c r="C6" s="11">
        <v>3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2:18" ht="19" customHeight="1" x14ac:dyDescent="0.25">
      <c r="B7" s="8" t="s">
        <v>4</v>
      </c>
      <c r="C7" s="12" t="s">
        <v>11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2:18" ht="19" customHeight="1" x14ac:dyDescent="0.25">
      <c r="B8" s="8" t="s">
        <v>6</v>
      </c>
      <c r="C8" s="9">
        <v>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t="str">
        <f>"Scheduled " &amp; PaymentFrequency &amp; " Payment:"</f>
        <v>Scheduled Monthly Payment:</v>
      </c>
      <c r="R8" s="7">
        <f>PMT(InterestRate/PaymentsPerYear, PaymentsPerYear*LoanTerm, -LoanAmount) + ExtraPayment</f>
        <v>608.43874903110225</v>
      </c>
    </row>
    <row r="9" spans="2:18" ht="19" customHeight="1" x14ac:dyDescent="0.25">
      <c r="B9" s="8" t="s">
        <v>3</v>
      </c>
      <c r="C9" s="13">
        <v>46272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R9" s="6">
        <f>-SUM(AmortizationScheduleRaw!G2:'AmortizationScheduleRaw'!G1561)</f>
        <v>20000.000000000004</v>
      </c>
    </row>
    <row r="10" spans="2:18" x14ac:dyDescent="0.2">
      <c r="F10" s="7"/>
      <c r="R10" s="6">
        <f>-SUM(AmortizationScheduleRaw!E2:E1561)</f>
        <v>1903.82</v>
      </c>
    </row>
    <row r="11" spans="2:18" x14ac:dyDescent="0.2">
      <c r="R11" s="6">
        <f>R9+R10</f>
        <v>21903.820000000003</v>
      </c>
    </row>
    <row r="12" spans="2:18" x14ac:dyDescent="0.2">
      <c r="Q12">
        <f>IF(PaymentFrequency="Annually",((LoanTerm*PaymentsPerYear)-(NumberOfPeriods))*12,
IF(PaymentFrequency="Semi-Annually",((LoanTerm*PaymentsPerYear)-(NumberOfPeriods))*6,
IF(PaymentFrequency="Monthly",(LoanTerm*PaymentsPerYear)-(NumberOfPeriods),
IF(PaymentFrequency="Bi-Weekly",((LoanTerm*PaymentsPerYear)-(NumberOfPeriods))/2,
IF(PaymentFrequency="Weekly",((LoanTerm*PaymentsPerYear)-(NumberOfPeriods))/4)))))</f>
        <v>0</v>
      </c>
      <c r="R12" s="14">
        <f>COUNTIF(AmortizationScheduleRaw!H:H,"&gt;0") + 1</f>
        <v>36</v>
      </c>
    </row>
    <row r="13" spans="2:18" x14ac:dyDescent="0.2">
      <c r="Q13" t="str">
        <f>IF(NumberOfMonths &gt;= 12, ROUND(NumberOfMonths/12, 2) &amp; " Year(s)", NumberOfMonths &amp; " Month(s)")</f>
        <v>0 Month(s)</v>
      </c>
      <c r="R13" s="15">
        <f>IF(PaymentFrequency="Annually",EDATE(StartDate,NumberOfPeriods*12),
IF(PaymentFrequency="Semi-Annually",EDATE(StartDate,NumberOfPeriods*6),
IF(PaymentFrequency="Monthly",EDATE(StartDate,NumberOfPeriods),
IF(PaymentFrequency="Bi-Weekly",StartDate+(NumberOfPeriods*14),
IF(PaymentFrequency="Weekly",StartDate+(NumberOfPeriods*7))))))</f>
        <v>47368</v>
      </c>
    </row>
    <row r="14" spans="2:18" x14ac:dyDescent="0.2">
      <c r="R14" s="6">
        <f>-SUM(AmortizationScheduleRaw!C:C)</f>
        <v>21903.819999999992</v>
      </c>
    </row>
    <row r="15" spans="2:18" x14ac:dyDescent="0.2">
      <c r="R15" s="6">
        <f>-SUM(AmortizationScheduleRaw!D2:D1561)</f>
        <v>0</v>
      </c>
    </row>
    <row r="16" spans="2:18" x14ac:dyDescent="0.2">
      <c r="R16" s="6">
        <f>-SUM(AmortizationScheduleNoExtraRaw!E2:E1561) + SUM(AmortizationScheduleRaw!E2:E1561)</f>
        <v>0</v>
      </c>
    </row>
  </sheetData>
  <sheetProtection algorithmName="SHA-512" hashValue="+y4OiPWVAcfwR6FLXSPqMKa/fj5qMynGExdpPgI/bYZZgN4ZEHapUz6Odzu8CoG4G/7VX+/nMXLC2OWYXw0Yfg==" saltValue="qqS9EFcFkitcwKFTK/QGvQ==" spinCount="100000" sheet="1" objects="1" scenarios="1"/>
  <mergeCells count="1">
    <mergeCell ref="E4:P9"/>
  </mergeCells>
  <dataValidations count="6">
    <dataValidation type="list" allowBlank="1" showInputMessage="1" showErrorMessage="1" errorTitle="Payment Frequency Error" error="Please enter a valid payment frequency." sqref="C7" xr:uid="{C6845F63-1D9D-9D40-8AB6-B63F4CD6BE35}">
      <formula1>"Weekly,Bi-Weekly,Monthly,Semi-Annually,Annually"</formula1>
    </dataValidation>
    <dataValidation type="decimal" allowBlank="1" showInputMessage="1" showErrorMessage="1" errorTitle="Extra Payment Error" error="Please enter a valid extra payment amount." sqref="C8" xr:uid="{196E0A3A-8ED3-AB40-8CF1-DC9CCC7193A4}">
      <formula1>0</formula1>
      <formula2>C4</formula2>
    </dataValidation>
    <dataValidation type="custom" allowBlank="1" showInputMessage="1" showErrorMessage="1" errorTitle="Start Date Error" error="Please enter a valid date." sqref="C9" xr:uid="{C42F9961-3225-2649-9409-D891D9FA24D3}">
      <formula1>ISNUMBER(C9)</formula1>
    </dataValidation>
    <dataValidation type="decimal" allowBlank="1" showInputMessage="1" showErrorMessage="1" errorTitle="Loan Term Error" sqref="C6" xr:uid="{AA66D662-A9C4-0E42-91DD-A747B3BA123A}">
      <formula1>0</formula1>
      <formula2>30</formula2>
    </dataValidation>
    <dataValidation type="decimal" operator="greaterThanOrEqual" allowBlank="1" showInputMessage="1" showErrorMessage="1" errorTitle="Interest Rate Error" error="Please enter a valid percentage for the interest rate." sqref="C5" xr:uid="{3B81B073-62FD-274C-88DD-EAA056BA1FAF}">
      <formula1>0</formula1>
    </dataValidation>
    <dataValidation type="custom" allowBlank="1" showInputMessage="1" showErrorMessage="1" errorTitle="Loan Amount Error" error="Please enter a valid loan amount." sqref="C4" xr:uid="{5AC9F530-C69B-F74F-B74B-C9BC1FBC2A29}">
      <formula1>ISNUMBER(C4)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F3B3-ECC7-AB47-B347-FF7E766E99A3}">
  <dimension ref="A1:H37"/>
  <sheetViews>
    <sheetView showGridLines="0" showRowColHeaders="0" workbookViewId="0">
      <selection activeCell="I12" sqref="I12"/>
    </sheetView>
  </sheetViews>
  <sheetFormatPr baseColWidth="10" defaultColWidth="22.6640625" defaultRowHeight="16" x14ac:dyDescent="0.2"/>
  <cols>
    <col min="1" max="1" width="18.6640625" style="22" customWidth="1"/>
    <col min="2" max="3" width="22.6640625" style="6"/>
    <col min="4" max="4" width="20.83203125" style="6" customWidth="1"/>
    <col min="5" max="16384" width="22.6640625" style="6"/>
  </cols>
  <sheetData>
    <row r="1" spans="1:8" ht="17" x14ac:dyDescent="0.2">
      <c r="A1" s="19" t="str">
        <f>"Period (" &amp; PaymentFrequency &amp; ")"</f>
        <v>Period (Monthly)</v>
      </c>
      <c r="B1" s="4" t="s">
        <v>5</v>
      </c>
      <c r="C1" s="4" t="s">
        <v>10</v>
      </c>
      <c r="D1" s="4" t="s">
        <v>6</v>
      </c>
      <c r="E1" s="4" t="s">
        <v>7</v>
      </c>
      <c r="F1" s="4" t="s">
        <v>9</v>
      </c>
      <c r="G1" s="4" t="s">
        <v>12</v>
      </c>
      <c r="H1" s="4" t="s">
        <v>8</v>
      </c>
    </row>
    <row r="2" spans="1:8" x14ac:dyDescent="0.2">
      <c r="A2" s="22" cm="1">
        <f t="array" ref="A2:H37">_xlfn._xlws.FILTER(AmortizationScheduleRaw!A2:H1561, AmortizationScheduleRaw!B2:B1561 &gt; 0,"")</f>
        <v>1</v>
      </c>
      <c r="B2" s="6">
        <v>20000</v>
      </c>
      <c r="C2" s="6">
        <v>-608.44000000000005</v>
      </c>
      <c r="D2" s="6">
        <v>0</v>
      </c>
      <c r="E2" s="6">
        <v>-100</v>
      </c>
      <c r="F2" s="6">
        <v>-508.44</v>
      </c>
      <c r="G2" s="6">
        <v>-508.44</v>
      </c>
      <c r="H2" s="6">
        <v>19491.560000000001</v>
      </c>
    </row>
    <row r="3" spans="1:8" x14ac:dyDescent="0.2">
      <c r="A3" s="22">
        <v>2</v>
      </c>
      <c r="B3" s="6">
        <v>19491.560000000001</v>
      </c>
      <c r="C3" s="6">
        <v>-608.44000000000005</v>
      </c>
      <c r="D3" s="6">
        <v>0</v>
      </c>
      <c r="E3" s="6">
        <v>-97.46</v>
      </c>
      <c r="F3" s="6">
        <v>-510.98</v>
      </c>
      <c r="G3" s="6">
        <v>-510.98</v>
      </c>
      <c r="H3" s="6">
        <v>18980.580000000002</v>
      </c>
    </row>
    <row r="4" spans="1:8" x14ac:dyDescent="0.2">
      <c r="A4" s="22">
        <v>3</v>
      </c>
      <c r="B4" s="6">
        <v>18980.580000000002</v>
      </c>
      <c r="C4" s="6">
        <v>-608.43999999999994</v>
      </c>
      <c r="D4" s="6">
        <v>0</v>
      </c>
      <c r="E4" s="6">
        <v>-94.9</v>
      </c>
      <c r="F4" s="6">
        <v>-513.54</v>
      </c>
      <c r="G4" s="6">
        <v>-513.54</v>
      </c>
      <c r="H4" s="6">
        <v>18467.04</v>
      </c>
    </row>
    <row r="5" spans="1:8" x14ac:dyDescent="0.2">
      <c r="A5" s="22">
        <v>4</v>
      </c>
      <c r="B5" s="6">
        <v>18467.04</v>
      </c>
      <c r="C5" s="6">
        <v>-608.44000000000005</v>
      </c>
      <c r="D5" s="6">
        <v>0</v>
      </c>
      <c r="E5" s="6">
        <v>-92.34</v>
      </c>
      <c r="F5" s="6">
        <v>-516.1</v>
      </c>
      <c r="G5" s="6">
        <v>-516.1</v>
      </c>
      <c r="H5" s="6">
        <v>17950.939999999999</v>
      </c>
    </row>
    <row r="6" spans="1:8" x14ac:dyDescent="0.2">
      <c r="A6" s="22">
        <v>5</v>
      </c>
      <c r="B6" s="6">
        <v>17950.939999999999</v>
      </c>
      <c r="C6" s="6">
        <v>-608.44000000000005</v>
      </c>
      <c r="D6" s="6">
        <v>0</v>
      </c>
      <c r="E6" s="6">
        <v>-89.75</v>
      </c>
      <c r="F6" s="6">
        <v>-518.69000000000005</v>
      </c>
      <c r="G6" s="6">
        <v>-518.69000000000005</v>
      </c>
      <c r="H6" s="6">
        <v>17432.25</v>
      </c>
    </row>
    <row r="7" spans="1:8" x14ac:dyDescent="0.2">
      <c r="A7" s="22">
        <v>6</v>
      </c>
      <c r="B7" s="6">
        <v>17432.25</v>
      </c>
      <c r="C7" s="6">
        <v>-608.43999999999994</v>
      </c>
      <c r="D7" s="6">
        <v>0</v>
      </c>
      <c r="E7" s="6">
        <v>-87.16</v>
      </c>
      <c r="F7" s="6">
        <v>-521.28</v>
      </c>
      <c r="G7" s="6">
        <v>-521.28</v>
      </c>
      <c r="H7" s="6">
        <v>16910.97</v>
      </c>
    </row>
    <row r="8" spans="1:8" x14ac:dyDescent="0.2">
      <c r="A8" s="22">
        <v>7</v>
      </c>
      <c r="B8" s="6">
        <v>16910.97</v>
      </c>
      <c r="C8" s="6">
        <v>-608.43999999999994</v>
      </c>
      <c r="D8" s="6">
        <v>0</v>
      </c>
      <c r="E8" s="6">
        <v>-84.55</v>
      </c>
      <c r="F8" s="6">
        <v>-523.89</v>
      </c>
      <c r="G8" s="6">
        <v>-523.89</v>
      </c>
      <c r="H8" s="6">
        <v>16387.080000000002</v>
      </c>
    </row>
    <row r="9" spans="1:8" x14ac:dyDescent="0.2">
      <c r="A9" s="22">
        <v>8</v>
      </c>
      <c r="B9" s="6">
        <v>16387.080000000002</v>
      </c>
      <c r="C9" s="6">
        <v>-608.44000000000005</v>
      </c>
      <c r="D9" s="6">
        <v>0</v>
      </c>
      <c r="E9" s="6">
        <v>-81.94</v>
      </c>
      <c r="F9" s="6">
        <v>-526.5</v>
      </c>
      <c r="G9" s="6">
        <v>-526.5</v>
      </c>
      <c r="H9" s="6">
        <v>15860.58</v>
      </c>
    </row>
    <row r="10" spans="1:8" x14ac:dyDescent="0.2">
      <c r="A10" s="22">
        <v>9</v>
      </c>
      <c r="B10" s="6">
        <v>15860.58</v>
      </c>
      <c r="C10" s="6">
        <v>-608.43999999999994</v>
      </c>
      <c r="D10" s="6">
        <v>0</v>
      </c>
      <c r="E10" s="6">
        <v>-79.3</v>
      </c>
      <c r="F10" s="6">
        <v>-529.14</v>
      </c>
      <c r="G10" s="6">
        <v>-529.14</v>
      </c>
      <c r="H10" s="6">
        <v>15331.44</v>
      </c>
    </row>
    <row r="11" spans="1:8" x14ac:dyDescent="0.2">
      <c r="A11" s="22">
        <v>10</v>
      </c>
      <c r="B11" s="6">
        <v>15331.44</v>
      </c>
      <c r="C11" s="6">
        <v>-608.43999999999994</v>
      </c>
      <c r="D11" s="6">
        <v>0</v>
      </c>
      <c r="E11" s="6">
        <v>-76.66</v>
      </c>
      <c r="F11" s="6">
        <v>-531.78</v>
      </c>
      <c r="G11" s="6">
        <v>-531.78</v>
      </c>
      <c r="H11" s="6">
        <v>14799.66</v>
      </c>
    </row>
    <row r="12" spans="1:8" x14ac:dyDescent="0.2">
      <c r="A12" s="22">
        <v>11</v>
      </c>
      <c r="B12" s="6">
        <v>14799.66</v>
      </c>
      <c r="C12" s="6">
        <v>-608.44000000000005</v>
      </c>
      <c r="D12" s="6">
        <v>0</v>
      </c>
      <c r="E12" s="6">
        <v>-74</v>
      </c>
      <c r="F12" s="6">
        <v>-534.44000000000005</v>
      </c>
      <c r="G12" s="6">
        <v>-534.44000000000005</v>
      </c>
      <c r="H12" s="6">
        <v>14265.22</v>
      </c>
    </row>
    <row r="13" spans="1:8" x14ac:dyDescent="0.2">
      <c r="A13" s="22">
        <v>12</v>
      </c>
      <c r="B13" s="6">
        <v>14265.22</v>
      </c>
      <c r="C13" s="6">
        <v>-608.44000000000005</v>
      </c>
      <c r="D13" s="6">
        <v>0</v>
      </c>
      <c r="E13" s="6">
        <v>-71.33</v>
      </c>
      <c r="F13" s="6">
        <v>-537.11</v>
      </c>
      <c r="G13" s="6">
        <v>-537.11</v>
      </c>
      <c r="H13" s="6">
        <v>13728.11</v>
      </c>
    </row>
    <row r="14" spans="1:8" x14ac:dyDescent="0.2">
      <c r="A14" s="22">
        <v>13</v>
      </c>
      <c r="B14" s="6">
        <v>13728.11</v>
      </c>
      <c r="C14" s="6">
        <v>-608.43999999999994</v>
      </c>
      <c r="D14" s="6">
        <v>0</v>
      </c>
      <c r="E14" s="6">
        <v>-68.64</v>
      </c>
      <c r="F14" s="6">
        <v>-539.79999999999995</v>
      </c>
      <c r="G14" s="6">
        <v>-539.79999999999995</v>
      </c>
      <c r="H14" s="6">
        <v>13188.31</v>
      </c>
    </row>
    <row r="15" spans="1:8" x14ac:dyDescent="0.2">
      <c r="A15" s="22">
        <v>14</v>
      </c>
      <c r="B15" s="6">
        <v>13188.31</v>
      </c>
      <c r="C15" s="6">
        <v>-608.44000000000005</v>
      </c>
      <c r="D15" s="6">
        <v>0</v>
      </c>
      <c r="E15" s="6">
        <v>-65.94</v>
      </c>
      <c r="F15" s="6">
        <v>-542.5</v>
      </c>
      <c r="G15" s="6">
        <v>-542.5</v>
      </c>
      <c r="H15" s="6">
        <v>12645.81</v>
      </c>
    </row>
    <row r="16" spans="1:8" x14ac:dyDescent="0.2">
      <c r="A16" s="22">
        <v>15</v>
      </c>
      <c r="B16" s="6">
        <v>12645.81</v>
      </c>
      <c r="C16" s="6">
        <v>-608.44000000000005</v>
      </c>
      <c r="D16" s="6">
        <v>0</v>
      </c>
      <c r="E16" s="6">
        <v>-63.23</v>
      </c>
      <c r="F16" s="6">
        <v>-545.21</v>
      </c>
      <c r="G16" s="6">
        <v>-545.21</v>
      </c>
      <c r="H16" s="6">
        <v>12100.6</v>
      </c>
    </row>
    <row r="17" spans="1:8" x14ac:dyDescent="0.2">
      <c r="A17" s="22">
        <v>16</v>
      </c>
      <c r="B17" s="6">
        <v>12100.6</v>
      </c>
      <c r="C17" s="6">
        <v>-608.44000000000005</v>
      </c>
      <c r="D17" s="6">
        <v>0</v>
      </c>
      <c r="E17" s="6">
        <v>-60.5</v>
      </c>
      <c r="F17" s="6">
        <v>-547.94000000000005</v>
      </c>
      <c r="G17" s="6">
        <v>-547.94000000000005</v>
      </c>
      <c r="H17" s="6">
        <v>11552.66</v>
      </c>
    </row>
    <row r="18" spans="1:8" x14ac:dyDescent="0.2">
      <c r="A18" s="22">
        <v>17</v>
      </c>
      <c r="B18" s="6">
        <v>11552.66</v>
      </c>
      <c r="C18" s="6">
        <v>-608.43999999999994</v>
      </c>
      <c r="D18" s="6">
        <v>0</v>
      </c>
      <c r="E18" s="6">
        <v>-57.76</v>
      </c>
      <c r="F18" s="6">
        <v>-550.67999999999995</v>
      </c>
      <c r="G18" s="6">
        <v>-550.67999999999995</v>
      </c>
      <c r="H18" s="6">
        <v>11001.98</v>
      </c>
    </row>
    <row r="19" spans="1:8" x14ac:dyDescent="0.2">
      <c r="A19" s="22">
        <v>18</v>
      </c>
      <c r="B19" s="6">
        <v>11001.98</v>
      </c>
      <c r="C19" s="6">
        <v>-608.43999999999994</v>
      </c>
      <c r="D19" s="6">
        <v>0</v>
      </c>
      <c r="E19" s="6">
        <v>-55.01</v>
      </c>
      <c r="F19" s="6">
        <v>-553.42999999999995</v>
      </c>
      <c r="G19" s="6">
        <v>-553.42999999999995</v>
      </c>
      <c r="H19" s="6">
        <v>10448.549999999999</v>
      </c>
    </row>
    <row r="20" spans="1:8" x14ac:dyDescent="0.2">
      <c r="A20" s="22">
        <v>19</v>
      </c>
      <c r="B20" s="6">
        <v>10448.549999999999</v>
      </c>
      <c r="C20" s="6">
        <v>-608.44000000000005</v>
      </c>
      <c r="D20" s="6">
        <v>0</v>
      </c>
      <c r="E20" s="6">
        <v>-52.24</v>
      </c>
      <c r="F20" s="6">
        <v>-556.20000000000005</v>
      </c>
      <c r="G20" s="6">
        <v>-556.20000000000005</v>
      </c>
      <c r="H20" s="6">
        <v>9892.35</v>
      </c>
    </row>
    <row r="21" spans="1:8" x14ac:dyDescent="0.2">
      <c r="A21" s="22">
        <v>20</v>
      </c>
      <c r="B21" s="6">
        <v>9892.35</v>
      </c>
      <c r="C21" s="6">
        <v>-608.44000000000005</v>
      </c>
      <c r="D21" s="6">
        <v>0</v>
      </c>
      <c r="E21" s="6">
        <v>-49.46</v>
      </c>
      <c r="F21" s="6">
        <v>-558.98</v>
      </c>
      <c r="G21" s="6">
        <v>-558.98</v>
      </c>
      <c r="H21" s="6">
        <v>9333.3700000000008</v>
      </c>
    </row>
    <row r="22" spans="1:8" x14ac:dyDescent="0.2">
      <c r="A22" s="22">
        <v>21</v>
      </c>
      <c r="B22" s="6">
        <v>9333.3700000000008</v>
      </c>
      <c r="C22" s="6">
        <v>-608.43999999999994</v>
      </c>
      <c r="D22" s="6">
        <v>0</v>
      </c>
      <c r="E22" s="6">
        <v>-46.67</v>
      </c>
      <c r="F22" s="6">
        <v>-561.77</v>
      </c>
      <c r="G22" s="6">
        <v>-561.77</v>
      </c>
      <c r="H22" s="6">
        <v>8771.6</v>
      </c>
    </row>
    <row r="23" spans="1:8" x14ac:dyDescent="0.2">
      <c r="A23" s="22">
        <v>22</v>
      </c>
      <c r="B23" s="6">
        <v>8771.6</v>
      </c>
      <c r="C23" s="6">
        <v>-608.44000000000005</v>
      </c>
      <c r="D23" s="6">
        <v>0</v>
      </c>
      <c r="E23" s="6">
        <v>-43.86</v>
      </c>
      <c r="F23" s="6">
        <v>-564.58000000000004</v>
      </c>
      <c r="G23" s="6">
        <v>-564.58000000000004</v>
      </c>
      <c r="H23" s="6">
        <v>8207.02</v>
      </c>
    </row>
    <row r="24" spans="1:8" x14ac:dyDescent="0.2">
      <c r="A24" s="22">
        <v>23</v>
      </c>
      <c r="B24" s="6">
        <v>8207.02</v>
      </c>
      <c r="C24" s="6">
        <v>-608.43999999999994</v>
      </c>
      <c r="D24" s="6">
        <v>0</v>
      </c>
      <c r="E24" s="6">
        <v>-41.04</v>
      </c>
      <c r="F24" s="6">
        <v>-567.4</v>
      </c>
      <c r="G24" s="6">
        <v>-567.4</v>
      </c>
      <c r="H24" s="6">
        <v>7639.62</v>
      </c>
    </row>
    <row r="25" spans="1:8" x14ac:dyDescent="0.2">
      <c r="A25" s="22">
        <v>24</v>
      </c>
      <c r="B25" s="6">
        <v>7639.62</v>
      </c>
      <c r="C25" s="6">
        <v>-608.44000000000005</v>
      </c>
      <c r="D25" s="6">
        <v>0</v>
      </c>
      <c r="E25" s="6">
        <v>-38.200000000000003</v>
      </c>
      <c r="F25" s="6">
        <v>-570.24</v>
      </c>
      <c r="G25" s="6">
        <v>-570.24</v>
      </c>
      <c r="H25" s="6">
        <v>7069.38</v>
      </c>
    </row>
    <row r="26" spans="1:8" x14ac:dyDescent="0.2">
      <c r="A26" s="22">
        <v>25</v>
      </c>
      <c r="B26" s="6">
        <v>7069.38</v>
      </c>
      <c r="C26" s="6">
        <v>-608.44000000000005</v>
      </c>
      <c r="D26" s="6">
        <v>0</v>
      </c>
      <c r="E26" s="6">
        <v>-35.35</v>
      </c>
      <c r="F26" s="6">
        <v>-573.09</v>
      </c>
      <c r="G26" s="6">
        <v>-573.09</v>
      </c>
      <c r="H26" s="6">
        <v>6496.29</v>
      </c>
    </row>
    <row r="27" spans="1:8" x14ac:dyDescent="0.2">
      <c r="A27" s="22">
        <v>26</v>
      </c>
      <c r="B27" s="6">
        <v>6496.29</v>
      </c>
      <c r="C27" s="6">
        <v>-608.44000000000005</v>
      </c>
      <c r="D27" s="6">
        <v>0</v>
      </c>
      <c r="E27" s="6">
        <v>-32.479999999999997</v>
      </c>
      <c r="F27" s="6">
        <v>-575.96</v>
      </c>
      <c r="G27" s="6">
        <v>-575.96</v>
      </c>
      <c r="H27" s="6">
        <v>5920.33</v>
      </c>
    </row>
    <row r="28" spans="1:8" x14ac:dyDescent="0.2">
      <c r="A28" s="22">
        <v>27</v>
      </c>
      <c r="B28" s="6">
        <v>5920.33</v>
      </c>
      <c r="C28" s="6">
        <v>-608.44000000000005</v>
      </c>
      <c r="D28" s="6">
        <v>0</v>
      </c>
      <c r="E28" s="6">
        <v>-29.6</v>
      </c>
      <c r="F28" s="6">
        <v>-578.84</v>
      </c>
      <c r="G28" s="6">
        <v>-578.84</v>
      </c>
      <c r="H28" s="6">
        <v>5341.49</v>
      </c>
    </row>
    <row r="29" spans="1:8" x14ac:dyDescent="0.2">
      <c r="A29" s="22">
        <v>28</v>
      </c>
      <c r="B29" s="6">
        <v>5341.49</v>
      </c>
      <c r="C29" s="6">
        <v>-608.44000000000005</v>
      </c>
      <c r="D29" s="6">
        <v>0</v>
      </c>
      <c r="E29" s="6">
        <v>-26.71</v>
      </c>
      <c r="F29" s="6">
        <v>-581.73</v>
      </c>
      <c r="G29" s="6">
        <v>-581.73</v>
      </c>
      <c r="H29" s="6">
        <v>4759.76</v>
      </c>
    </row>
    <row r="30" spans="1:8" x14ac:dyDescent="0.2">
      <c r="A30" s="22">
        <v>29</v>
      </c>
      <c r="B30" s="6">
        <v>4759.76</v>
      </c>
      <c r="C30" s="6">
        <v>-608.43999999999994</v>
      </c>
      <c r="D30" s="6">
        <v>0</v>
      </c>
      <c r="E30" s="6">
        <v>-23.8</v>
      </c>
      <c r="F30" s="6">
        <v>-584.64</v>
      </c>
      <c r="G30" s="6">
        <v>-584.64</v>
      </c>
      <c r="H30" s="6">
        <v>4175.12</v>
      </c>
    </row>
    <row r="31" spans="1:8" x14ac:dyDescent="0.2">
      <c r="A31" s="22">
        <v>30</v>
      </c>
      <c r="B31" s="6">
        <v>4175.12</v>
      </c>
      <c r="C31" s="6">
        <v>-608.43999999999994</v>
      </c>
      <c r="D31" s="6">
        <v>0</v>
      </c>
      <c r="E31" s="6">
        <v>-20.88</v>
      </c>
      <c r="F31" s="6">
        <v>-587.55999999999995</v>
      </c>
      <c r="G31" s="6">
        <v>-587.55999999999995</v>
      </c>
      <c r="H31" s="6">
        <v>3587.56</v>
      </c>
    </row>
    <row r="32" spans="1:8" x14ac:dyDescent="0.2">
      <c r="A32" s="22">
        <v>31</v>
      </c>
      <c r="B32" s="6">
        <v>3587.56</v>
      </c>
      <c r="C32" s="6">
        <v>-608.44000000000005</v>
      </c>
      <c r="D32" s="6">
        <v>0</v>
      </c>
      <c r="E32" s="6">
        <v>-17.940000000000001</v>
      </c>
      <c r="F32" s="6">
        <v>-590.5</v>
      </c>
      <c r="G32" s="6">
        <v>-590.5</v>
      </c>
      <c r="H32" s="6">
        <v>2997.06</v>
      </c>
    </row>
    <row r="33" spans="1:8" x14ac:dyDescent="0.2">
      <c r="A33" s="22">
        <v>32</v>
      </c>
      <c r="B33" s="6">
        <v>2997.06</v>
      </c>
      <c r="C33" s="6">
        <v>-608.44000000000005</v>
      </c>
      <c r="D33" s="6">
        <v>0</v>
      </c>
      <c r="E33" s="6">
        <v>-14.99</v>
      </c>
      <c r="F33" s="6">
        <v>-593.45000000000005</v>
      </c>
      <c r="G33" s="6">
        <v>-593.45000000000005</v>
      </c>
      <c r="H33" s="6">
        <v>2403.61</v>
      </c>
    </row>
    <row r="34" spans="1:8" x14ac:dyDescent="0.2">
      <c r="A34" s="22">
        <v>33</v>
      </c>
      <c r="B34" s="6">
        <v>2403.61</v>
      </c>
      <c r="C34" s="6">
        <v>-608.43999999999994</v>
      </c>
      <c r="D34" s="6">
        <v>0</v>
      </c>
      <c r="E34" s="6">
        <v>-12.02</v>
      </c>
      <c r="F34" s="6">
        <v>-596.41999999999996</v>
      </c>
      <c r="G34" s="6">
        <v>-596.41999999999996</v>
      </c>
      <c r="H34" s="6">
        <v>1807.19</v>
      </c>
    </row>
    <row r="35" spans="1:8" x14ac:dyDescent="0.2">
      <c r="A35" s="22">
        <v>34</v>
      </c>
      <c r="B35" s="6">
        <v>1807.19</v>
      </c>
      <c r="C35" s="6">
        <v>-608.43999999999994</v>
      </c>
      <c r="D35" s="6">
        <v>0</v>
      </c>
      <c r="E35" s="6">
        <v>-9.0399999999999991</v>
      </c>
      <c r="F35" s="6">
        <v>-599.4</v>
      </c>
      <c r="G35" s="6">
        <v>-599.4</v>
      </c>
      <c r="H35" s="6">
        <v>1207.79</v>
      </c>
    </row>
    <row r="36" spans="1:8" x14ac:dyDescent="0.2">
      <c r="A36" s="22">
        <v>35</v>
      </c>
      <c r="B36" s="6">
        <v>1207.79</v>
      </c>
      <c r="C36" s="6">
        <v>-608.43999999999994</v>
      </c>
      <c r="D36" s="6">
        <v>0</v>
      </c>
      <c r="E36" s="6">
        <v>-6.04</v>
      </c>
      <c r="F36" s="6">
        <v>-602.4</v>
      </c>
      <c r="G36" s="6">
        <v>-602.4</v>
      </c>
      <c r="H36" s="6">
        <v>605.39</v>
      </c>
    </row>
    <row r="37" spans="1:8" x14ac:dyDescent="0.2">
      <c r="A37" s="22">
        <v>36</v>
      </c>
      <c r="B37" s="6">
        <v>605.39</v>
      </c>
      <c r="C37" s="6">
        <v>-608.41999999999996</v>
      </c>
      <c r="D37" s="6">
        <v>0</v>
      </c>
      <c r="E37" s="6">
        <v>-3.03</v>
      </c>
      <c r="F37" s="6">
        <v>-605.39</v>
      </c>
      <c r="G37" s="6">
        <v>-605.39</v>
      </c>
      <c r="H37" s="6">
        <v>0</v>
      </c>
    </row>
  </sheetData>
  <sheetProtection algorithmName="SHA-512" hashValue="P4luIzRXVQ4zv7+Jb0YIyKRxZWJ/Pv4Ke4EsI/P3a+lCYYeT1YY9TH3SvsBw5Cpc+9bGufkVKQwG+YV1DYfU6w==" saltValue="5HCCAzgGNCZvV8yS/oEDeQ==" spinCount="100000" sheet="1" objects="1" scenarios="1"/>
  <conditionalFormatting sqref="A2:H1561">
    <cfRule type="expression" dxfId="5" priority="1">
      <formula>AND($A2 &lt;= LoanTerm*PaymentsPerYear, $B2&gt;0,$A2)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72D2-A1C1-8547-8CB3-EA35F04A9184}">
  <dimension ref="A1:K1561"/>
  <sheetViews>
    <sheetView topLeftCell="A58" zoomScaleNormal="100" workbookViewId="0">
      <selection activeCell="E71" sqref="E71"/>
    </sheetView>
  </sheetViews>
  <sheetFormatPr baseColWidth="10" defaultRowHeight="16" x14ac:dyDescent="0.2"/>
  <cols>
    <col min="1" max="1" width="17.5" style="2" customWidth="1"/>
    <col min="2" max="2" width="21.5" style="6" customWidth="1"/>
    <col min="3" max="3" width="24.33203125" style="6" customWidth="1"/>
    <col min="4" max="4" width="17.1640625" style="6" customWidth="1"/>
    <col min="5" max="5" width="18.33203125" style="6" customWidth="1"/>
    <col min="6" max="6" width="19.33203125" style="6" customWidth="1"/>
    <col min="7" max="7" width="18.33203125" style="6" customWidth="1"/>
    <col min="8" max="8" width="25" style="6" customWidth="1"/>
    <col min="9" max="9" width="18.5" customWidth="1"/>
  </cols>
  <sheetData>
    <row r="1" spans="1:11" ht="17" x14ac:dyDescent="0.2">
      <c r="A1" s="3" t="str">
        <f>"Period (" &amp; PaymentFrequency &amp; ")"</f>
        <v>Period (Monthly)</v>
      </c>
      <c r="B1" s="4" t="s">
        <v>5</v>
      </c>
      <c r="C1" s="4" t="s">
        <v>10</v>
      </c>
      <c r="D1" s="4" t="s">
        <v>6</v>
      </c>
      <c r="E1" s="4" t="s">
        <v>7</v>
      </c>
      <c r="F1" s="4" t="s">
        <v>9</v>
      </c>
      <c r="G1" s="4" t="s">
        <v>12</v>
      </c>
      <c r="H1" s="4" t="s">
        <v>8</v>
      </c>
    </row>
    <row r="2" spans="1:11" x14ac:dyDescent="0.2">
      <c r="A2" s="2" cm="1">
        <f t="array" ref="A2:A1561">_xlfn.SEQUENCE(1560)</f>
        <v>1</v>
      </c>
      <c r="B2" s="5">
        <f>LoanAmount</f>
        <v>20000</v>
      </c>
      <c r="C2" s="5">
        <f>IF($B2&lt;=0, 0, $D2+$E2+$F2)</f>
        <v>-608.44000000000005</v>
      </c>
      <c r="D2" s="5">
        <f>IF(ExtraPayment=0, 0, IF(AND($B2&lt;&gt;0,ExtraPayment&lt;=LoanAmount),-ExtraPayment,-($F2)-$B2))</f>
        <v>0</v>
      </c>
      <c r="E2" s="5">
        <f>IF($B2 &lt;= 0, 0, -ROUND($B2 * (InterestRate / PaymentsPerYear), 2))</f>
        <v>-100</v>
      </c>
      <c r="F2" s="5">
        <f>ROUND(IFERROR(IF(OR($B2 &lt;=0, $B2 = ExtraPayment),0,
MAX(-$B2, -(-PMT(InterestRate/PaymentsPerYear,LoanTerm*PaymentsPerYear,LoanAmount) + $E2))), 0), 2)</f>
        <v>-508.44</v>
      </c>
      <c r="G2" s="5">
        <f>$D2+$F2</f>
        <v>-508.44</v>
      </c>
      <c r="H2" s="5">
        <f>ROUND(IF($B2 &lt;= 0, 0, MAX(0, $B2 + $G2)), 2)</f>
        <v>19491.560000000001</v>
      </c>
      <c r="K2" s="14">
        <f>COUNTIF(AmortizationScheduleRaw!H:H,"&gt;0") + 1</f>
        <v>36</v>
      </c>
    </row>
    <row r="3" spans="1:11" x14ac:dyDescent="0.2">
      <c r="A3" s="2">
        <v>2</v>
      </c>
      <c r="B3" s="5">
        <f>ROUND(IF($H2 &gt;= 0, MAX($H2, $F2), 0), 2)</f>
        <v>19491.560000000001</v>
      </c>
      <c r="C3" s="5">
        <f>IF($B3 &lt;= 0, 0, $D3+$E3+$F3)</f>
        <v>-608.44000000000005</v>
      </c>
      <c r="D3" s="5">
        <f>IF(ExtraPayment=0, 0, IF(AND($B3&lt;&gt;0,ExtraPayment&lt;=$B3),-ExtraPayment,-($F3)-$B3))</f>
        <v>0</v>
      </c>
      <c r="E3" s="5">
        <f>IF($B3 &lt;= 0, 0, -ROUND($B3 * (InterestRate / PaymentsPerYear), 2))</f>
        <v>-97.46</v>
      </c>
      <c r="F3" s="5">
        <f>ROUND(IFERROR(IF(OR($B3 &lt;=0, $B3 = ExtraPayment),0,
MAX(-$B3, -(-PMT(InterestRate/PaymentsPerYear,LoanTerm*PaymentsPerYear,LoanAmount) + $E3))), 0), 2)</f>
        <v>-510.98</v>
      </c>
      <c r="G3" s="5">
        <f>$D3+$F3</f>
        <v>-510.98</v>
      </c>
      <c r="H3" s="5">
        <f>ROUND(IF($B3 &lt;= 0, 0,MAX(0, $B3 + $G3)), 2)</f>
        <v>18980.580000000002</v>
      </c>
    </row>
    <row r="4" spans="1:11" x14ac:dyDescent="0.2">
      <c r="A4" s="2">
        <v>3</v>
      </c>
      <c r="B4" s="5">
        <f t="shared" ref="B4:B67" si="0">ROUND(IF($H3 &gt;= 0, MAX($H3, $F3), 0), 2)</f>
        <v>18980.580000000002</v>
      </c>
      <c r="C4" s="5">
        <f t="shared" ref="C4:C67" si="1">IF($B4 &lt;= 0, 0, $D4+$E4+$F4)</f>
        <v>-608.43999999999994</v>
      </c>
      <c r="D4" s="5">
        <f>IF(ExtraPayment=0, 0, IF(AND($B4&lt;&gt;0,ExtraPayment&lt;=$B4),-ExtraPayment,-($F4)-$B4))</f>
        <v>0</v>
      </c>
      <c r="E4" s="5">
        <f>IF($B4 &lt;= 0, 0, -ROUND($B4 * (InterestRate / PaymentsPerYear), 2))</f>
        <v>-94.9</v>
      </c>
      <c r="F4" s="5">
        <f>ROUND(IFERROR(IF(OR($B4 &lt;=0, $B4 = ExtraPayment),0,
MAX(-$B4, -(-PMT(InterestRate/PaymentsPerYear,LoanTerm*PaymentsPerYear,LoanAmount) + $E4))), 0), 2)</f>
        <v>-513.54</v>
      </c>
      <c r="G4" s="5">
        <f t="shared" ref="G4:G67" si="2">$D4+$F4</f>
        <v>-513.54</v>
      </c>
      <c r="H4" s="5">
        <f t="shared" ref="H4:H67" si="3">ROUND(IF($B4 &lt;= 0, 0,MAX(0, $B4 + $G4)), 2)</f>
        <v>18467.04</v>
      </c>
    </row>
    <row r="5" spans="1:11" x14ac:dyDescent="0.2">
      <c r="A5" s="2">
        <v>4</v>
      </c>
      <c r="B5" s="5">
        <f t="shared" si="0"/>
        <v>18467.04</v>
      </c>
      <c r="C5" s="5">
        <f t="shared" si="1"/>
        <v>-608.44000000000005</v>
      </c>
      <c r="D5" s="5">
        <f>IF(ExtraPayment=0, 0, IF(AND($B5&lt;&gt;0,ExtraPayment&lt;=$B5),-ExtraPayment,-($F5)-$B5))</f>
        <v>0</v>
      </c>
      <c r="E5" s="5">
        <f>IF($B5 &lt;= 0, 0, -ROUND($B5 * (InterestRate / PaymentsPerYear), 2))</f>
        <v>-92.34</v>
      </c>
      <c r="F5" s="5">
        <f>ROUND(IFERROR(IF(OR($B5 &lt;=0, $B5 = ExtraPayment),0,
MAX(-$B5, -(-PMT(InterestRate/PaymentsPerYear,LoanTerm*PaymentsPerYear,LoanAmount) + $E5))), 0), 2)</f>
        <v>-516.1</v>
      </c>
      <c r="G5" s="5">
        <f t="shared" si="2"/>
        <v>-516.1</v>
      </c>
      <c r="H5" s="5">
        <f t="shared" si="3"/>
        <v>17950.939999999999</v>
      </c>
    </row>
    <row r="6" spans="1:11" x14ac:dyDescent="0.2">
      <c r="A6" s="2">
        <v>5</v>
      </c>
      <c r="B6" s="5">
        <f t="shared" si="0"/>
        <v>17950.939999999999</v>
      </c>
      <c r="C6" s="5">
        <f t="shared" si="1"/>
        <v>-608.44000000000005</v>
      </c>
      <c r="D6" s="5">
        <f>IF(ExtraPayment=0, 0, IF(AND($B6&lt;&gt;0,ExtraPayment&lt;=$B6),-ExtraPayment,-($F6)-$B6))</f>
        <v>0</v>
      </c>
      <c r="E6" s="5">
        <f>IF($B6 &lt;= 0, 0, -ROUND($B6 * (InterestRate / PaymentsPerYear), 2))</f>
        <v>-89.75</v>
      </c>
      <c r="F6" s="5">
        <f>ROUND(IFERROR(IF(OR($B6 &lt;=0, $B6 = ExtraPayment),0,
MAX(-$B6, -(-PMT(InterestRate/PaymentsPerYear,LoanTerm*PaymentsPerYear,LoanAmount) + $E6))), 0), 2)</f>
        <v>-518.69000000000005</v>
      </c>
      <c r="G6" s="5">
        <f t="shared" si="2"/>
        <v>-518.69000000000005</v>
      </c>
      <c r="H6" s="5">
        <f t="shared" si="3"/>
        <v>17432.25</v>
      </c>
    </row>
    <row r="7" spans="1:11" x14ac:dyDescent="0.2">
      <c r="A7" s="2">
        <v>6</v>
      </c>
      <c r="B7" s="5">
        <f t="shared" si="0"/>
        <v>17432.25</v>
      </c>
      <c r="C7" s="5">
        <f t="shared" si="1"/>
        <v>-608.43999999999994</v>
      </c>
      <c r="D7" s="5">
        <f>IF(ExtraPayment=0, 0, IF(AND($B7&lt;&gt;0,ExtraPayment&lt;=$B7),-ExtraPayment,-($F7)-$B7))</f>
        <v>0</v>
      </c>
      <c r="E7" s="5">
        <f>IF($B7 &lt;= 0, 0, -ROUND($B7 * (InterestRate / PaymentsPerYear), 2))</f>
        <v>-87.16</v>
      </c>
      <c r="F7" s="5">
        <f>ROUND(IFERROR(IF(OR($B7 &lt;=0, $B7 = ExtraPayment),0,
MAX(-$B7, -(-PMT(InterestRate/PaymentsPerYear,LoanTerm*PaymentsPerYear,LoanAmount) + $E7))), 0), 2)</f>
        <v>-521.28</v>
      </c>
      <c r="G7" s="5">
        <f t="shared" si="2"/>
        <v>-521.28</v>
      </c>
      <c r="H7" s="5">
        <f t="shared" si="3"/>
        <v>16910.97</v>
      </c>
    </row>
    <row r="8" spans="1:11" x14ac:dyDescent="0.2">
      <c r="A8" s="2">
        <v>7</v>
      </c>
      <c r="B8" s="5">
        <f t="shared" si="0"/>
        <v>16910.97</v>
      </c>
      <c r="C8" s="5">
        <f t="shared" si="1"/>
        <v>-608.43999999999994</v>
      </c>
      <c r="D8" s="5">
        <f>IF(ExtraPayment=0, 0, IF(AND($B8&lt;&gt;0,ExtraPayment&lt;=$B8),-ExtraPayment,-($F8)-$B8))</f>
        <v>0</v>
      </c>
      <c r="E8" s="5">
        <f>IF($B8 &lt;= 0, 0, -ROUND($B8 * (InterestRate / PaymentsPerYear), 2))</f>
        <v>-84.55</v>
      </c>
      <c r="F8" s="5">
        <f>ROUND(IFERROR(IF(OR($B8 &lt;=0, $B8 = ExtraPayment),0,
MAX(-$B8, -(-PMT(InterestRate/PaymentsPerYear,LoanTerm*PaymentsPerYear,LoanAmount) + $E8))), 0), 2)</f>
        <v>-523.89</v>
      </c>
      <c r="G8" s="5">
        <f t="shared" si="2"/>
        <v>-523.89</v>
      </c>
      <c r="H8" s="5">
        <f t="shared" si="3"/>
        <v>16387.080000000002</v>
      </c>
    </row>
    <row r="9" spans="1:11" x14ac:dyDescent="0.2">
      <c r="A9" s="2">
        <v>8</v>
      </c>
      <c r="B9" s="5">
        <f t="shared" si="0"/>
        <v>16387.080000000002</v>
      </c>
      <c r="C9" s="5">
        <f t="shared" si="1"/>
        <v>-608.44000000000005</v>
      </c>
      <c r="D9" s="5">
        <f>IF(ExtraPayment=0, 0, IF(AND($B9&lt;&gt;0,ExtraPayment&lt;=$B9),-ExtraPayment,-($F9)-$B9))</f>
        <v>0</v>
      </c>
      <c r="E9" s="5">
        <f>IF($B9 &lt;= 0, 0, -ROUND($B9 * (InterestRate / PaymentsPerYear), 2))</f>
        <v>-81.94</v>
      </c>
      <c r="F9" s="5">
        <f>ROUND(IFERROR(IF(OR($B9 &lt;=0, $B9 = ExtraPayment),0,
MAX(-$B9, -(-PMT(InterestRate/PaymentsPerYear,LoanTerm*PaymentsPerYear,LoanAmount) + $E9))), 0), 2)</f>
        <v>-526.5</v>
      </c>
      <c r="G9" s="5">
        <f t="shared" si="2"/>
        <v>-526.5</v>
      </c>
      <c r="H9" s="5">
        <f t="shared" si="3"/>
        <v>15860.58</v>
      </c>
    </row>
    <row r="10" spans="1:11" x14ac:dyDescent="0.2">
      <c r="A10" s="2">
        <v>9</v>
      </c>
      <c r="B10" s="5">
        <f t="shared" si="0"/>
        <v>15860.58</v>
      </c>
      <c r="C10" s="5">
        <f t="shared" si="1"/>
        <v>-608.43999999999994</v>
      </c>
      <c r="D10" s="5">
        <f>IF(ExtraPayment=0, 0, IF(AND($B10&lt;&gt;0,ExtraPayment&lt;=$B10),-ExtraPayment,-($F10)-$B10))</f>
        <v>0</v>
      </c>
      <c r="E10" s="5">
        <f>IF($B10 &lt;= 0, 0, -ROUND($B10 * (InterestRate / PaymentsPerYear), 2))</f>
        <v>-79.3</v>
      </c>
      <c r="F10" s="5">
        <f>ROUND(IFERROR(IF(OR($B10 &lt;=0, $B10 = ExtraPayment),0,
MAX(-$B10, -(-PMT(InterestRate/PaymentsPerYear,LoanTerm*PaymentsPerYear,LoanAmount) + $E10))), 0), 2)</f>
        <v>-529.14</v>
      </c>
      <c r="G10" s="5">
        <f t="shared" si="2"/>
        <v>-529.14</v>
      </c>
      <c r="H10" s="5">
        <f t="shared" si="3"/>
        <v>15331.44</v>
      </c>
    </row>
    <row r="11" spans="1:11" x14ac:dyDescent="0.2">
      <c r="A11" s="2">
        <v>10</v>
      </c>
      <c r="B11" s="5">
        <f t="shared" si="0"/>
        <v>15331.44</v>
      </c>
      <c r="C11" s="5">
        <f t="shared" si="1"/>
        <v>-608.43999999999994</v>
      </c>
      <c r="D11" s="5">
        <f>IF(ExtraPayment=0, 0, IF(AND($B11&lt;&gt;0,ExtraPayment&lt;=$B11),-ExtraPayment,-($F11)-$B11))</f>
        <v>0</v>
      </c>
      <c r="E11" s="5">
        <f>IF($B11 &lt;= 0, 0, -ROUND($B11 * (InterestRate / PaymentsPerYear), 2))</f>
        <v>-76.66</v>
      </c>
      <c r="F11" s="5">
        <f>ROUND(IFERROR(IF(OR($B11 &lt;=0, $B11 = ExtraPayment),0,
MAX(-$B11, -(-PMT(InterestRate/PaymentsPerYear,LoanTerm*PaymentsPerYear,LoanAmount) + $E11))), 0), 2)</f>
        <v>-531.78</v>
      </c>
      <c r="G11" s="5">
        <f t="shared" si="2"/>
        <v>-531.78</v>
      </c>
      <c r="H11" s="5">
        <f t="shared" si="3"/>
        <v>14799.66</v>
      </c>
    </row>
    <row r="12" spans="1:11" x14ac:dyDescent="0.2">
      <c r="A12" s="2">
        <v>11</v>
      </c>
      <c r="B12" s="5">
        <f t="shared" si="0"/>
        <v>14799.66</v>
      </c>
      <c r="C12" s="5">
        <f t="shared" si="1"/>
        <v>-608.44000000000005</v>
      </c>
      <c r="D12" s="5">
        <f>IF(ExtraPayment=0, 0, IF(AND($B12&lt;&gt;0,ExtraPayment&lt;=$B12),-ExtraPayment,-($F12)-$B12))</f>
        <v>0</v>
      </c>
      <c r="E12" s="5">
        <f>IF($B12 &lt;= 0, 0, -ROUND($B12 * (InterestRate / PaymentsPerYear), 2))</f>
        <v>-74</v>
      </c>
      <c r="F12" s="5">
        <f>ROUND(IFERROR(IF(OR($B12 &lt;=0, $B12 = ExtraPayment),0,
MAX(-$B12, -(-PMT(InterestRate/PaymentsPerYear,LoanTerm*PaymentsPerYear,LoanAmount) + $E12))), 0), 2)</f>
        <v>-534.44000000000005</v>
      </c>
      <c r="G12" s="5">
        <f t="shared" si="2"/>
        <v>-534.44000000000005</v>
      </c>
      <c r="H12" s="5">
        <f t="shared" si="3"/>
        <v>14265.22</v>
      </c>
    </row>
    <row r="13" spans="1:11" x14ac:dyDescent="0.2">
      <c r="A13" s="2">
        <v>12</v>
      </c>
      <c r="B13" s="5">
        <f t="shared" si="0"/>
        <v>14265.22</v>
      </c>
      <c r="C13" s="5">
        <f t="shared" si="1"/>
        <v>-608.44000000000005</v>
      </c>
      <c r="D13" s="5">
        <f>IF(ExtraPayment=0, 0, IF(AND($B13&lt;&gt;0,ExtraPayment&lt;=$B13),-ExtraPayment,-($F13)-$B13))</f>
        <v>0</v>
      </c>
      <c r="E13" s="5">
        <f>IF($B13 &lt;= 0, 0, -ROUND($B13 * (InterestRate / PaymentsPerYear), 2))</f>
        <v>-71.33</v>
      </c>
      <c r="F13" s="5">
        <f>ROUND(IFERROR(IF(OR($B13 &lt;=0, $B13 = ExtraPayment),0,
MAX(-$B13, -(-PMT(InterestRate/PaymentsPerYear,LoanTerm*PaymentsPerYear,LoanAmount) + $E13))), 0), 2)</f>
        <v>-537.11</v>
      </c>
      <c r="G13" s="5">
        <f t="shared" si="2"/>
        <v>-537.11</v>
      </c>
      <c r="H13" s="5">
        <f t="shared" si="3"/>
        <v>13728.11</v>
      </c>
    </row>
    <row r="14" spans="1:11" x14ac:dyDescent="0.2">
      <c r="A14" s="2">
        <v>13</v>
      </c>
      <c r="B14" s="5">
        <f t="shared" si="0"/>
        <v>13728.11</v>
      </c>
      <c r="C14" s="5">
        <f t="shared" si="1"/>
        <v>-608.43999999999994</v>
      </c>
      <c r="D14" s="5">
        <f>IF(ExtraPayment=0, 0, IF(AND($B14&lt;&gt;0,ExtraPayment&lt;=$B14),-ExtraPayment,-($F14)-$B14))</f>
        <v>0</v>
      </c>
      <c r="E14" s="5">
        <f>IF($B14 &lt;= 0, 0, -ROUND($B14 * (InterestRate / PaymentsPerYear), 2))</f>
        <v>-68.64</v>
      </c>
      <c r="F14" s="5">
        <f>ROUND(IFERROR(IF(OR($B14 &lt;=0, $B14 = ExtraPayment),0,
MAX(-$B14, -(-PMT(InterestRate/PaymentsPerYear,LoanTerm*PaymentsPerYear,LoanAmount) + $E14))), 0), 2)</f>
        <v>-539.79999999999995</v>
      </c>
      <c r="G14" s="5">
        <f t="shared" si="2"/>
        <v>-539.79999999999995</v>
      </c>
      <c r="H14" s="5">
        <f t="shared" si="3"/>
        <v>13188.31</v>
      </c>
    </row>
    <row r="15" spans="1:11" x14ac:dyDescent="0.2">
      <c r="A15" s="2">
        <v>14</v>
      </c>
      <c r="B15" s="5">
        <f t="shared" si="0"/>
        <v>13188.31</v>
      </c>
      <c r="C15" s="5">
        <f t="shared" si="1"/>
        <v>-608.44000000000005</v>
      </c>
      <c r="D15" s="5">
        <f>IF(ExtraPayment=0, 0, IF(AND($B15&lt;&gt;0,ExtraPayment&lt;=$B15),-ExtraPayment,-($F15)-$B15))</f>
        <v>0</v>
      </c>
      <c r="E15" s="5">
        <f>IF($B15 &lt;= 0, 0, -ROUND($B15 * (InterestRate / PaymentsPerYear), 2))</f>
        <v>-65.94</v>
      </c>
      <c r="F15" s="5">
        <f>ROUND(IFERROR(IF(OR($B15 &lt;=0, $B15 = ExtraPayment),0,
MAX(-$B15, -(-PMT(InterestRate/PaymentsPerYear,LoanTerm*PaymentsPerYear,LoanAmount) + $E15))), 0), 2)</f>
        <v>-542.5</v>
      </c>
      <c r="G15" s="5">
        <f t="shared" si="2"/>
        <v>-542.5</v>
      </c>
      <c r="H15" s="5">
        <f t="shared" si="3"/>
        <v>12645.81</v>
      </c>
    </row>
    <row r="16" spans="1:11" x14ac:dyDescent="0.2">
      <c r="A16" s="2">
        <v>15</v>
      </c>
      <c r="B16" s="5">
        <f t="shared" si="0"/>
        <v>12645.81</v>
      </c>
      <c r="C16" s="5">
        <f t="shared" si="1"/>
        <v>-608.44000000000005</v>
      </c>
      <c r="D16" s="5">
        <f>IF(ExtraPayment=0, 0, IF(AND($B16&lt;&gt;0,ExtraPayment&lt;=$B16),-ExtraPayment,-($F16)-$B16))</f>
        <v>0</v>
      </c>
      <c r="E16" s="5">
        <f>IF($B16 &lt;= 0, 0, -ROUND($B16 * (InterestRate / PaymentsPerYear), 2))</f>
        <v>-63.23</v>
      </c>
      <c r="F16" s="5">
        <f>ROUND(IFERROR(IF(OR($B16 &lt;=0, $B16 = ExtraPayment),0,
MAX(-$B16, -(-PMT(InterestRate/PaymentsPerYear,LoanTerm*PaymentsPerYear,LoanAmount) + $E16))), 0), 2)</f>
        <v>-545.21</v>
      </c>
      <c r="G16" s="5">
        <f t="shared" si="2"/>
        <v>-545.21</v>
      </c>
      <c r="H16" s="5">
        <f t="shared" si="3"/>
        <v>12100.6</v>
      </c>
    </row>
    <row r="17" spans="1:8" x14ac:dyDescent="0.2">
      <c r="A17" s="2">
        <v>16</v>
      </c>
      <c r="B17" s="5">
        <f t="shared" si="0"/>
        <v>12100.6</v>
      </c>
      <c r="C17" s="5">
        <f t="shared" si="1"/>
        <v>-608.44000000000005</v>
      </c>
      <c r="D17" s="5">
        <f>IF(ExtraPayment=0, 0, IF(AND($B17&lt;&gt;0,ExtraPayment&lt;=$B17),-ExtraPayment,-($F17)-$B17))</f>
        <v>0</v>
      </c>
      <c r="E17" s="5">
        <f>IF($B17 &lt;= 0, 0, -ROUND($B17 * (InterestRate / PaymentsPerYear), 2))</f>
        <v>-60.5</v>
      </c>
      <c r="F17" s="5">
        <f>ROUND(IFERROR(IF(OR($B17 &lt;=0, $B17 = ExtraPayment),0,
MAX(-$B17, -(-PMT(InterestRate/PaymentsPerYear,LoanTerm*PaymentsPerYear,LoanAmount) + $E17))), 0), 2)</f>
        <v>-547.94000000000005</v>
      </c>
      <c r="G17" s="5">
        <f t="shared" si="2"/>
        <v>-547.94000000000005</v>
      </c>
      <c r="H17" s="5">
        <f t="shared" si="3"/>
        <v>11552.66</v>
      </c>
    </row>
    <row r="18" spans="1:8" x14ac:dyDescent="0.2">
      <c r="A18" s="2">
        <v>17</v>
      </c>
      <c r="B18" s="5">
        <f t="shared" si="0"/>
        <v>11552.66</v>
      </c>
      <c r="C18" s="5">
        <f t="shared" si="1"/>
        <v>-608.43999999999994</v>
      </c>
      <c r="D18" s="5">
        <f>IF(ExtraPayment=0, 0, IF(AND($B18&lt;&gt;0,ExtraPayment&lt;=$B18),-ExtraPayment,-($F18)-$B18))</f>
        <v>0</v>
      </c>
      <c r="E18" s="5">
        <f>IF($B18 &lt;= 0, 0, -ROUND($B18 * (InterestRate / PaymentsPerYear), 2))</f>
        <v>-57.76</v>
      </c>
      <c r="F18" s="5">
        <f>ROUND(IFERROR(IF(OR($B18 &lt;=0, $B18 = ExtraPayment),0,
MAX(-$B18, -(-PMT(InterestRate/PaymentsPerYear,LoanTerm*PaymentsPerYear,LoanAmount) + $E18))), 0), 2)</f>
        <v>-550.67999999999995</v>
      </c>
      <c r="G18" s="5">
        <f t="shared" si="2"/>
        <v>-550.67999999999995</v>
      </c>
      <c r="H18" s="5">
        <f t="shared" si="3"/>
        <v>11001.98</v>
      </c>
    </row>
    <row r="19" spans="1:8" x14ac:dyDescent="0.2">
      <c r="A19" s="2">
        <v>18</v>
      </c>
      <c r="B19" s="5">
        <f t="shared" si="0"/>
        <v>11001.98</v>
      </c>
      <c r="C19" s="5">
        <f t="shared" si="1"/>
        <v>-608.43999999999994</v>
      </c>
      <c r="D19" s="5">
        <f>IF(ExtraPayment=0, 0, IF(AND($B19&lt;&gt;0,ExtraPayment&lt;=$B19),-ExtraPayment,-($F19)-$B19))</f>
        <v>0</v>
      </c>
      <c r="E19" s="5">
        <f>IF($B19 &lt;= 0, 0, -ROUND($B19 * (InterestRate / PaymentsPerYear), 2))</f>
        <v>-55.01</v>
      </c>
      <c r="F19" s="5">
        <f>ROUND(IFERROR(IF(OR($B19 &lt;=0, $B19 = ExtraPayment),0,
MAX(-$B19, -(-PMT(InterestRate/PaymentsPerYear,LoanTerm*PaymentsPerYear,LoanAmount) + $E19))), 0), 2)</f>
        <v>-553.42999999999995</v>
      </c>
      <c r="G19" s="5">
        <f t="shared" si="2"/>
        <v>-553.42999999999995</v>
      </c>
      <c r="H19" s="5">
        <f t="shared" si="3"/>
        <v>10448.549999999999</v>
      </c>
    </row>
    <row r="20" spans="1:8" x14ac:dyDescent="0.2">
      <c r="A20" s="2">
        <v>19</v>
      </c>
      <c r="B20" s="5">
        <f t="shared" si="0"/>
        <v>10448.549999999999</v>
      </c>
      <c r="C20" s="5">
        <f t="shared" si="1"/>
        <v>-608.44000000000005</v>
      </c>
      <c r="D20" s="5">
        <f>IF(ExtraPayment=0, 0, IF(AND($B20&lt;&gt;0,ExtraPayment&lt;=$B20),-ExtraPayment,-($F20)-$B20))</f>
        <v>0</v>
      </c>
      <c r="E20" s="5">
        <f>IF($B20 &lt;= 0, 0, -ROUND($B20 * (InterestRate / PaymentsPerYear), 2))</f>
        <v>-52.24</v>
      </c>
      <c r="F20" s="5">
        <f>ROUND(IFERROR(IF(OR($B20 &lt;=0, $B20 = ExtraPayment),0,
MAX(-$B20, -(-PMT(InterestRate/PaymentsPerYear,LoanTerm*PaymentsPerYear,LoanAmount) + $E20))), 0), 2)</f>
        <v>-556.20000000000005</v>
      </c>
      <c r="G20" s="5">
        <f t="shared" si="2"/>
        <v>-556.20000000000005</v>
      </c>
      <c r="H20" s="5">
        <f t="shared" si="3"/>
        <v>9892.35</v>
      </c>
    </row>
    <row r="21" spans="1:8" x14ac:dyDescent="0.2">
      <c r="A21" s="2">
        <v>20</v>
      </c>
      <c r="B21" s="5">
        <f t="shared" si="0"/>
        <v>9892.35</v>
      </c>
      <c r="C21" s="5">
        <f t="shared" si="1"/>
        <v>-608.44000000000005</v>
      </c>
      <c r="D21" s="5">
        <f>IF(ExtraPayment=0, 0, IF(AND($B21&lt;&gt;0,ExtraPayment&lt;=$B21),-ExtraPayment,-($F21)-$B21))</f>
        <v>0</v>
      </c>
      <c r="E21" s="5">
        <f>IF($B21 &lt;= 0, 0, -ROUND($B21 * (InterestRate / PaymentsPerYear), 2))</f>
        <v>-49.46</v>
      </c>
      <c r="F21" s="5">
        <f>ROUND(IFERROR(IF(OR($B21 &lt;=0, $B21 = ExtraPayment),0,
MAX(-$B21, -(-PMT(InterestRate/PaymentsPerYear,LoanTerm*PaymentsPerYear,LoanAmount) + $E21))), 0), 2)</f>
        <v>-558.98</v>
      </c>
      <c r="G21" s="5">
        <f t="shared" si="2"/>
        <v>-558.98</v>
      </c>
      <c r="H21" s="5">
        <f t="shared" si="3"/>
        <v>9333.3700000000008</v>
      </c>
    </row>
    <row r="22" spans="1:8" x14ac:dyDescent="0.2">
      <c r="A22" s="2">
        <v>21</v>
      </c>
      <c r="B22" s="5">
        <f t="shared" si="0"/>
        <v>9333.3700000000008</v>
      </c>
      <c r="C22" s="5">
        <f t="shared" si="1"/>
        <v>-608.43999999999994</v>
      </c>
      <c r="D22" s="5">
        <f>IF(ExtraPayment=0, 0, IF(AND($B22&lt;&gt;0,ExtraPayment&lt;=$B22),-ExtraPayment,-($F22)-$B22))</f>
        <v>0</v>
      </c>
      <c r="E22" s="5">
        <f>IF($B22 &lt;= 0, 0, -ROUND($B22 * (InterestRate / PaymentsPerYear), 2))</f>
        <v>-46.67</v>
      </c>
      <c r="F22" s="5">
        <f>ROUND(IFERROR(IF(OR($B22 &lt;=0, $B22 = ExtraPayment),0,
MAX(-$B22, -(-PMT(InterestRate/PaymentsPerYear,LoanTerm*PaymentsPerYear,LoanAmount) + $E22))), 0), 2)</f>
        <v>-561.77</v>
      </c>
      <c r="G22" s="5">
        <f t="shared" si="2"/>
        <v>-561.77</v>
      </c>
      <c r="H22" s="5">
        <f t="shared" si="3"/>
        <v>8771.6</v>
      </c>
    </row>
    <row r="23" spans="1:8" x14ac:dyDescent="0.2">
      <c r="A23" s="2">
        <v>22</v>
      </c>
      <c r="B23" s="5">
        <f t="shared" si="0"/>
        <v>8771.6</v>
      </c>
      <c r="C23" s="5">
        <f t="shared" si="1"/>
        <v>-608.44000000000005</v>
      </c>
      <c r="D23" s="5">
        <f>IF(ExtraPayment=0, 0, IF(AND($B23&lt;&gt;0,ExtraPayment&lt;=$B23),-ExtraPayment,-($F23)-$B23))</f>
        <v>0</v>
      </c>
      <c r="E23" s="5">
        <f>IF($B23 &lt;= 0, 0, -ROUND($B23 * (InterestRate / PaymentsPerYear), 2))</f>
        <v>-43.86</v>
      </c>
      <c r="F23" s="5">
        <f>ROUND(IFERROR(IF(OR($B23 &lt;=0, $B23 = ExtraPayment),0,
MAX(-$B23, -(-PMT(InterestRate/PaymentsPerYear,LoanTerm*PaymentsPerYear,LoanAmount) + $E23))), 0), 2)</f>
        <v>-564.58000000000004</v>
      </c>
      <c r="G23" s="5">
        <f t="shared" si="2"/>
        <v>-564.58000000000004</v>
      </c>
      <c r="H23" s="5">
        <f t="shared" si="3"/>
        <v>8207.02</v>
      </c>
    </row>
    <row r="24" spans="1:8" x14ac:dyDescent="0.2">
      <c r="A24" s="2">
        <v>23</v>
      </c>
      <c r="B24" s="5">
        <f t="shared" si="0"/>
        <v>8207.02</v>
      </c>
      <c r="C24" s="5">
        <f t="shared" si="1"/>
        <v>-608.43999999999994</v>
      </c>
      <c r="D24" s="5">
        <f>IF(ExtraPayment=0, 0, IF(AND($B24&lt;&gt;0,ExtraPayment&lt;=$B24),-ExtraPayment,-($F24)-$B24))</f>
        <v>0</v>
      </c>
      <c r="E24" s="5">
        <f>IF($B24 &lt;= 0, 0, -ROUND($B24 * (InterestRate / PaymentsPerYear), 2))</f>
        <v>-41.04</v>
      </c>
      <c r="F24" s="5">
        <f>ROUND(IFERROR(IF(OR($B24 &lt;=0, $B24 = ExtraPayment),0,
MAX(-$B24, -(-PMT(InterestRate/PaymentsPerYear,LoanTerm*PaymentsPerYear,LoanAmount) + $E24))), 0), 2)</f>
        <v>-567.4</v>
      </c>
      <c r="G24" s="5">
        <f t="shared" si="2"/>
        <v>-567.4</v>
      </c>
      <c r="H24" s="5">
        <f t="shared" si="3"/>
        <v>7639.62</v>
      </c>
    </row>
    <row r="25" spans="1:8" x14ac:dyDescent="0.2">
      <c r="A25" s="2">
        <v>24</v>
      </c>
      <c r="B25" s="5">
        <f t="shared" si="0"/>
        <v>7639.62</v>
      </c>
      <c r="C25" s="5">
        <f t="shared" si="1"/>
        <v>-608.44000000000005</v>
      </c>
      <c r="D25" s="5">
        <f>IF(ExtraPayment=0, 0, IF(AND($B25&lt;&gt;0,ExtraPayment&lt;=$B25),-ExtraPayment,-($F25)-$B25))</f>
        <v>0</v>
      </c>
      <c r="E25" s="5">
        <f>IF($B25 &lt;= 0, 0, -ROUND($B25 * (InterestRate / PaymentsPerYear), 2))</f>
        <v>-38.200000000000003</v>
      </c>
      <c r="F25" s="5">
        <f>ROUND(IFERROR(IF(OR($B25 &lt;=0, $B25 = ExtraPayment),0,
MAX(-$B25, -(-PMT(InterestRate/PaymentsPerYear,LoanTerm*PaymentsPerYear,LoanAmount) + $E25))), 0), 2)</f>
        <v>-570.24</v>
      </c>
      <c r="G25" s="5">
        <f t="shared" si="2"/>
        <v>-570.24</v>
      </c>
      <c r="H25" s="5">
        <f t="shared" si="3"/>
        <v>7069.38</v>
      </c>
    </row>
    <row r="26" spans="1:8" x14ac:dyDescent="0.2">
      <c r="A26" s="2">
        <v>25</v>
      </c>
      <c r="B26" s="5">
        <f t="shared" si="0"/>
        <v>7069.38</v>
      </c>
      <c r="C26" s="5">
        <f t="shared" si="1"/>
        <v>-608.44000000000005</v>
      </c>
      <c r="D26" s="5">
        <f>IF(ExtraPayment=0, 0, IF(AND($B26&lt;&gt;0,ExtraPayment&lt;=$B26),-ExtraPayment,-($F26)-$B26))</f>
        <v>0</v>
      </c>
      <c r="E26" s="5">
        <f>IF($B26 &lt;= 0, 0, -ROUND($B26 * (InterestRate / PaymentsPerYear), 2))</f>
        <v>-35.35</v>
      </c>
      <c r="F26" s="5">
        <f>ROUND(IFERROR(IF(OR($B26 &lt;=0, $B26 = ExtraPayment),0,
MAX(-$B26, -(-PMT(InterestRate/PaymentsPerYear,LoanTerm*PaymentsPerYear,LoanAmount) + $E26))), 0), 2)</f>
        <v>-573.09</v>
      </c>
      <c r="G26" s="5">
        <f t="shared" si="2"/>
        <v>-573.09</v>
      </c>
      <c r="H26" s="5">
        <f t="shared" si="3"/>
        <v>6496.29</v>
      </c>
    </row>
    <row r="27" spans="1:8" x14ac:dyDescent="0.2">
      <c r="A27" s="2">
        <v>26</v>
      </c>
      <c r="B27" s="5">
        <f t="shared" si="0"/>
        <v>6496.29</v>
      </c>
      <c r="C27" s="5">
        <f t="shared" si="1"/>
        <v>-608.44000000000005</v>
      </c>
      <c r="D27" s="5">
        <f>IF(ExtraPayment=0, 0, IF(AND($B27&lt;&gt;0,ExtraPayment&lt;=$B27),-ExtraPayment,-($F27)-$B27))</f>
        <v>0</v>
      </c>
      <c r="E27" s="5">
        <f>IF($B27 &lt;= 0, 0, -ROUND($B27 * (InterestRate / PaymentsPerYear), 2))</f>
        <v>-32.479999999999997</v>
      </c>
      <c r="F27" s="5">
        <f>ROUND(IFERROR(IF(OR($B27 &lt;=0, $B27 = ExtraPayment),0,
MAX(-$B27, -(-PMT(InterestRate/PaymentsPerYear,LoanTerm*PaymentsPerYear,LoanAmount) + $E27))), 0), 2)</f>
        <v>-575.96</v>
      </c>
      <c r="G27" s="5">
        <f t="shared" si="2"/>
        <v>-575.96</v>
      </c>
      <c r="H27" s="5">
        <f t="shared" si="3"/>
        <v>5920.33</v>
      </c>
    </row>
    <row r="28" spans="1:8" x14ac:dyDescent="0.2">
      <c r="A28" s="2">
        <v>27</v>
      </c>
      <c r="B28" s="5">
        <f t="shared" si="0"/>
        <v>5920.33</v>
      </c>
      <c r="C28" s="5">
        <f t="shared" si="1"/>
        <v>-608.44000000000005</v>
      </c>
      <c r="D28" s="5">
        <f>IF(ExtraPayment=0, 0, IF(AND($B28&lt;&gt;0,ExtraPayment&lt;=$B28),-ExtraPayment,-($F28)-$B28))</f>
        <v>0</v>
      </c>
      <c r="E28" s="5">
        <f>IF($B28 &lt;= 0, 0, -ROUND($B28 * (InterestRate / PaymentsPerYear), 2))</f>
        <v>-29.6</v>
      </c>
      <c r="F28" s="5">
        <f>ROUND(IFERROR(IF(OR($B28 &lt;=0, $B28 = ExtraPayment),0,
MAX(-$B28, -(-PMT(InterestRate/PaymentsPerYear,LoanTerm*PaymentsPerYear,LoanAmount) + $E28))), 0), 2)</f>
        <v>-578.84</v>
      </c>
      <c r="G28" s="5">
        <f t="shared" si="2"/>
        <v>-578.84</v>
      </c>
      <c r="H28" s="5">
        <f t="shared" si="3"/>
        <v>5341.49</v>
      </c>
    </row>
    <row r="29" spans="1:8" x14ac:dyDescent="0.2">
      <c r="A29" s="2">
        <v>28</v>
      </c>
      <c r="B29" s="5">
        <f t="shared" si="0"/>
        <v>5341.49</v>
      </c>
      <c r="C29" s="5">
        <f t="shared" si="1"/>
        <v>-608.44000000000005</v>
      </c>
      <c r="D29" s="5">
        <f>IF(ExtraPayment=0, 0, IF(AND($B29&lt;&gt;0,ExtraPayment&lt;=$B29),-ExtraPayment,-($F29)-$B29))</f>
        <v>0</v>
      </c>
      <c r="E29" s="5">
        <f>IF($B29 &lt;= 0, 0, -ROUND($B29 * (InterestRate / PaymentsPerYear), 2))</f>
        <v>-26.71</v>
      </c>
      <c r="F29" s="5">
        <f>ROUND(IFERROR(IF(OR($B29 &lt;=0, $B29 = ExtraPayment),0,
MAX(-$B29, -(-PMT(InterestRate/PaymentsPerYear,LoanTerm*PaymentsPerYear,LoanAmount) + $E29))), 0), 2)</f>
        <v>-581.73</v>
      </c>
      <c r="G29" s="5">
        <f t="shared" si="2"/>
        <v>-581.73</v>
      </c>
      <c r="H29" s="5">
        <f t="shared" si="3"/>
        <v>4759.76</v>
      </c>
    </row>
    <row r="30" spans="1:8" x14ac:dyDescent="0.2">
      <c r="A30" s="2">
        <v>29</v>
      </c>
      <c r="B30" s="5">
        <f t="shared" si="0"/>
        <v>4759.76</v>
      </c>
      <c r="C30" s="5">
        <f t="shared" si="1"/>
        <v>-608.43999999999994</v>
      </c>
      <c r="D30" s="5">
        <f>IF(ExtraPayment=0, 0, IF(AND($B30&lt;&gt;0,ExtraPayment&lt;=$B30),-ExtraPayment,-($F30)-$B30))</f>
        <v>0</v>
      </c>
      <c r="E30" s="5">
        <f>IF($B30 &lt;= 0, 0, -ROUND($B30 * (InterestRate / PaymentsPerYear), 2))</f>
        <v>-23.8</v>
      </c>
      <c r="F30" s="5">
        <f>ROUND(IFERROR(IF(OR($B30 &lt;=0, $B30 = ExtraPayment),0,
MAX(-$B30, -(-PMT(InterestRate/PaymentsPerYear,LoanTerm*PaymentsPerYear,LoanAmount) + $E30))), 0), 2)</f>
        <v>-584.64</v>
      </c>
      <c r="G30" s="5">
        <f t="shared" si="2"/>
        <v>-584.64</v>
      </c>
      <c r="H30" s="5">
        <f t="shared" si="3"/>
        <v>4175.12</v>
      </c>
    </row>
    <row r="31" spans="1:8" x14ac:dyDescent="0.2">
      <c r="A31" s="2">
        <v>30</v>
      </c>
      <c r="B31" s="5">
        <f t="shared" si="0"/>
        <v>4175.12</v>
      </c>
      <c r="C31" s="5">
        <f t="shared" si="1"/>
        <v>-608.43999999999994</v>
      </c>
      <c r="D31" s="5">
        <f>IF(ExtraPayment=0, 0, IF(AND($B31&lt;&gt;0,ExtraPayment&lt;=$B31),-ExtraPayment,-($F31)-$B31))</f>
        <v>0</v>
      </c>
      <c r="E31" s="5">
        <f>IF($B31 &lt;= 0, 0, -ROUND($B31 * (InterestRate / PaymentsPerYear), 2))</f>
        <v>-20.88</v>
      </c>
      <c r="F31" s="5">
        <f>ROUND(IFERROR(IF(OR($B31 &lt;=0, $B31 = ExtraPayment),0,
MAX(-$B31, -(-PMT(InterestRate/PaymentsPerYear,LoanTerm*PaymentsPerYear,LoanAmount) + $E31))), 0), 2)</f>
        <v>-587.55999999999995</v>
      </c>
      <c r="G31" s="5">
        <f t="shared" si="2"/>
        <v>-587.55999999999995</v>
      </c>
      <c r="H31" s="5">
        <f t="shared" si="3"/>
        <v>3587.56</v>
      </c>
    </row>
    <row r="32" spans="1:8" x14ac:dyDescent="0.2">
      <c r="A32" s="2">
        <v>31</v>
      </c>
      <c r="B32" s="5">
        <f t="shared" si="0"/>
        <v>3587.56</v>
      </c>
      <c r="C32" s="5">
        <f t="shared" si="1"/>
        <v>-608.44000000000005</v>
      </c>
      <c r="D32" s="5">
        <f>IF(ExtraPayment=0, 0, IF(AND($B32&lt;&gt;0,ExtraPayment&lt;=$B32),-ExtraPayment,-($F32)-$B32))</f>
        <v>0</v>
      </c>
      <c r="E32" s="5">
        <f>IF($B32 &lt;= 0, 0, -ROUND($B32 * (InterestRate / PaymentsPerYear), 2))</f>
        <v>-17.940000000000001</v>
      </c>
      <c r="F32" s="5">
        <f>ROUND(IFERROR(IF(OR($B32 &lt;=0, $B32 = ExtraPayment),0,
MAX(-$B32, -(-PMT(InterestRate/PaymentsPerYear,LoanTerm*PaymentsPerYear,LoanAmount) + $E32))), 0), 2)</f>
        <v>-590.5</v>
      </c>
      <c r="G32" s="5">
        <f t="shared" si="2"/>
        <v>-590.5</v>
      </c>
      <c r="H32" s="5">
        <f t="shared" si="3"/>
        <v>2997.06</v>
      </c>
    </row>
    <row r="33" spans="1:8" x14ac:dyDescent="0.2">
      <c r="A33" s="2">
        <v>32</v>
      </c>
      <c r="B33" s="5">
        <f t="shared" si="0"/>
        <v>2997.06</v>
      </c>
      <c r="C33" s="5">
        <f t="shared" si="1"/>
        <v>-608.44000000000005</v>
      </c>
      <c r="D33" s="5">
        <f>IF(ExtraPayment=0, 0, IF(AND($B33&lt;&gt;0,ExtraPayment&lt;=$B33),-ExtraPayment,-($F33)-$B33))</f>
        <v>0</v>
      </c>
      <c r="E33" s="5">
        <f>IF($B33 &lt;= 0, 0, -ROUND($B33 * (InterestRate / PaymentsPerYear), 2))</f>
        <v>-14.99</v>
      </c>
      <c r="F33" s="5">
        <f>ROUND(IFERROR(IF(OR($B33 &lt;=0, $B33 = ExtraPayment),0,
MAX(-$B33, -(-PMT(InterestRate/PaymentsPerYear,LoanTerm*PaymentsPerYear,LoanAmount) + $E33))), 0), 2)</f>
        <v>-593.45000000000005</v>
      </c>
      <c r="G33" s="5">
        <f t="shared" si="2"/>
        <v>-593.45000000000005</v>
      </c>
      <c r="H33" s="5">
        <f t="shared" si="3"/>
        <v>2403.61</v>
      </c>
    </row>
    <row r="34" spans="1:8" x14ac:dyDescent="0.2">
      <c r="A34" s="2">
        <v>33</v>
      </c>
      <c r="B34" s="5">
        <f t="shared" si="0"/>
        <v>2403.61</v>
      </c>
      <c r="C34" s="5">
        <f t="shared" si="1"/>
        <v>-608.43999999999994</v>
      </c>
      <c r="D34" s="5">
        <f>IF(ExtraPayment=0, 0, IF(AND($B34&lt;&gt;0,ExtraPayment&lt;=$B34),-ExtraPayment,-($F34)-$B34))</f>
        <v>0</v>
      </c>
      <c r="E34" s="5">
        <f>IF($B34 &lt;= 0, 0, -ROUND($B34 * (InterestRate / PaymentsPerYear), 2))</f>
        <v>-12.02</v>
      </c>
      <c r="F34" s="5">
        <f>ROUND(IFERROR(IF(OR($B34 &lt;=0, $B34 = ExtraPayment),0,
MAX(-$B34, -(-PMT(InterestRate/PaymentsPerYear,LoanTerm*PaymentsPerYear,LoanAmount) + $E34))), 0), 2)</f>
        <v>-596.41999999999996</v>
      </c>
      <c r="G34" s="5">
        <f t="shared" si="2"/>
        <v>-596.41999999999996</v>
      </c>
      <c r="H34" s="5">
        <f t="shared" si="3"/>
        <v>1807.19</v>
      </c>
    </row>
    <row r="35" spans="1:8" x14ac:dyDescent="0.2">
      <c r="A35" s="2">
        <v>34</v>
      </c>
      <c r="B35" s="5">
        <f t="shared" si="0"/>
        <v>1807.19</v>
      </c>
      <c r="C35" s="5">
        <f t="shared" si="1"/>
        <v>-608.43999999999994</v>
      </c>
      <c r="D35" s="5">
        <f>IF(ExtraPayment=0, 0, IF(AND($B35&lt;&gt;0,ExtraPayment&lt;=$B35),-ExtraPayment,-($F35)-$B35))</f>
        <v>0</v>
      </c>
      <c r="E35" s="5">
        <f>IF($B35 &lt;= 0, 0, -ROUND($B35 * (InterestRate / PaymentsPerYear), 2))</f>
        <v>-9.0399999999999991</v>
      </c>
      <c r="F35" s="5">
        <f>ROUND(IFERROR(IF(OR($B35 &lt;=0, $B35 = ExtraPayment),0,
MAX(-$B35, -(-PMT(InterestRate/PaymentsPerYear,LoanTerm*PaymentsPerYear,LoanAmount) + $E35))), 0), 2)</f>
        <v>-599.4</v>
      </c>
      <c r="G35" s="5">
        <f t="shared" si="2"/>
        <v>-599.4</v>
      </c>
      <c r="H35" s="5">
        <f t="shared" si="3"/>
        <v>1207.79</v>
      </c>
    </row>
    <row r="36" spans="1:8" x14ac:dyDescent="0.2">
      <c r="A36" s="2">
        <v>35</v>
      </c>
      <c r="B36" s="5">
        <f t="shared" si="0"/>
        <v>1207.79</v>
      </c>
      <c r="C36" s="5">
        <f t="shared" si="1"/>
        <v>-608.43999999999994</v>
      </c>
      <c r="D36" s="5">
        <f>IF(ExtraPayment=0, 0, IF(AND($B36&lt;&gt;0,ExtraPayment&lt;=$B36),-ExtraPayment,-($F36)-$B36))</f>
        <v>0</v>
      </c>
      <c r="E36" s="5">
        <f>IF($B36 &lt;= 0, 0, -ROUND($B36 * (InterestRate / PaymentsPerYear), 2))</f>
        <v>-6.04</v>
      </c>
      <c r="F36" s="5">
        <f>ROUND(IFERROR(IF(OR($B36 &lt;=0, $B36 = ExtraPayment),0,
MAX(-$B36, -(-PMT(InterestRate/PaymentsPerYear,LoanTerm*PaymentsPerYear,LoanAmount) + $E36))), 0), 2)</f>
        <v>-602.4</v>
      </c>
      <c r="G36" s="5">
        <f t="shared" si="2"/>
        <v>-602.4</v>
      </c>
      <c r="H36" s="5">
        <f t="shared" si="3"/>
        <v>605.39</v>
      </c>
    </row>
    <row r="37" spans="1:8" x14ac:dyDescent="0.2">
      <c r="A37" s="2">
        <v>36</v>
      </c>
      <c r="B37" s="5">
        <f t="shared" si="0"/>
        <v>605.39</v>
      </c>
      <c r="C37" s="5">
        <f t="shared" si="1"/>
        <v>-608.41999999999996</v>
      </c>
      <c r="D37" s="5">
        <f>IF(ExtraPayment=0, 0, IF(AND($B37&lt;&gt;0,ExtraPayment&lt;=$B37),-ExtraPayment,-($F37)-$B37))</f>
        <v>0</v>
      </c>
      <c r="E37" s="5">
        <f>IF($B37 &lt;= 0, 0, -ROUND($B37 * (InterestRate / PaymentsPerYear), 2))</f>
        <v>-3.03</v>
      </c>
      <c r="F37" s="5">
        <f>ROUND(IFERROR(IF(OR($B37 &lt;=0, $B37 = ExtraPayment),0,
MAX(-$B37, -(-PMT(InterestRate/PaymentsPerYear,LoanTerm*PaymentsPerYear,LoanAmount) + $E37))), 0), 2)</f>
        <v>-605.39</v>
      </c>
      <c r="G37" s="5">
        <f t="shared" si="2"/>
        <v>-605.39</v>
      </c>
      <c r="H37" s="5">
        <f t="shared" si="3"/>
        <v>0</v>
      </c>
    </row>
    <row r="38" spans="1:8" x14ac:dyDescent="0.2">
      <c r="A38" s="2">
        <v>37</v>
      </c>
      <c r="B38" s="5">
        <f t="shared" si="0"/>
        <v>0</v>
      </c>
      <c r="C38" s="5">
        <f t="shared" si="1"/>
        <v>0</v>
      </c>
      <c r="D38" s="5">
        <f>IF(ExtraPayment=0, 0, IF(AND($B38&lt;&gt;0,ExtraPayment&lt;=$B38),-ExtraPayment,-($F38)-$B38))</f>
        <v>0</v>
      </c>
      <c r="E38" s="5">
        <f>IF($B38 &lt;= 0, 0, -ROUND($B38 * (InterestRate / PaymentsPerYear), 2))</f>
        <v>0</v>
      </c>
      <c r="F38" s="5">
        <f>ROUND(IFERROR(IF(OR($B38 &lt;=0, $B38 = ExtraPayment),0,
MAX(-$B38, -(-PMT(InterestRate/PaymentsPerYear,LoanTerm*PaymentsPerYear,LoanAmount) + $E38))), 0), 2)</f>
        <v>0</v>
      </c>
      <c r="G38" s="5">
        <f t="shared" si="2"/>
        <v>0</v>
      </c>
      <c r="H38" s="5">
        <f t="shared" si="3"/>
        <v>0</v>
      </c>
    </row>
    <row r="39" spans="1:8" x14ac:dyDescent="0.2">
      <c r="A39" s="2">
        <v>38</v>
      </c>
      <c r="B39" s="5">
        <f t="shared" si="0"/>
        <v>0</v>
      </c>
      <c r="C39" s="5">
        <f t="shared" si="1"/>
        <v>0</v>
      </c>
      <c r="D39" s="5">
        <f>IF(ExtraPayment=0, 0, IF(AND($B39&lt;&gt;0,ExtraPayment&lt;=$B39),-ExtraPayment,-($F39)-$B39))</f>
        <v>0</v>
      </c>
      <c r="E39" s="5">
        <f>IF($B39 &lt;= 0, 0, -ROUND($B39 * (InterestRate / PaymentsPerYear), 2))</f>
        <v>0</v>
      </c>
      <c r="F39" s="5">
        <f>ROUND(IFERROR(IF(OR($B39 &lt;=0, $B39 = ExtraPayment),0,
MAX(-$B39, -(-PMT(InterestRate/PaymentsPerYear,LoanTerm*PaymentsPerYear,LoanAmount) + $E39))), 0), 2)</f>
        <v>0</v>
      </c>
      <c r="G39" s="5">
        <f t="shared" si="2"/>
        <v>0</v>
      </c>
      <c r="H39" s="5">
        <f t="shared" si="3"/>
        <v>0</v>
      </c>
    </row>
    <row r="40" spans="1:8" x14ac:dyDescent="0.2">
      <c r="A40" s="2">
        <v>39</v>
      </c>
      <c r="B40" s="5">
        <f t="shared" si="0"/>
        <v>0</v>
      </c>
      <c r="C40" s="5">
        <f t="shared" si="1"/>
        <v>0</v>
      </c>
      <c r="D40" s="5">
        <f>IF(ExtraPayment=0, 0, IF(AND($B40&lt;&gt;0,ExtraPayment&lt;=$B40),-ExtraPayment,-($F40)-$B40))</f>
        <v>0</v>
      </c>
      <c r="E40" s="5">
        <f>IF($B40 &lt;= 0, 0, -ROUND($B40 * (InterestRate / PaymentsPerYear), 2))</f>
        <v>0</v>
      </c>
      <c r="F40" s="5">
        <f>ROUND(IFERROR(IF(OR($B40 &lt;=0, $B40 = ExtraPayment),0,
MAX(-$B40, -(-PMT(InterestRate/PaymentsPerYear,LoanTerm*PaymentsPerYear,LoanAmount) + $E40))), 0), 2)</f>
        <v>0</v>
      </c>
      <c r="G40" s="5">
        <f t="shared" si="2"/>
        <v>0</v>
      </c>
      <c r="H40" s="5">
        <f t="shared" si="3"/>
        <v>0</v>
      </c>
    </row>
    <row r="41" spans="1:8" x14ac:dyDescent="0.2">
      <c r="A41" s="2">
        <v>40</v>
      </c>
      <c r="B41" s="5">
        <f t="shared" si="0"/>
        <v>0</v>
      </c>
      <c r="C41" s="5">
        <f t="shared" si="1"/>
        <v>0</v>
      </c>
      <c r="D41" s="5">
        <f>IF(ExtraPayment=0, 0, IF(AND($B41&lt;&gt;0,ExtraPayment&lt;=$B41),-ExtraPayment,-($F41)-$B41))</f>
        <v>0</v>
      </c>
      <c r="E41" s="5">
        <f>IF($B41 &lt;= 0, 0, -ROUND($B41 * (InterestRate / PaymentsPerYear), 2))</f>
        <v>0</v>
      </c>
      <c r="F41" s="5">
        <f>ROUND(IFERROR(IF(OR($B41 &lt;=0, $B41 = ExtraPayment),0,
MAX(-$B41, -(-PMT(InterestRate/PaymentsPerYear,LoanTerm*PaymentsPerYear,LoanAmount) + $E41))), 0), 2)</f>
        <v>0</v>
      </c>
      <c r="G41" s="5">
        <f t="shared" si="2"/>
        <v>0</v>
      </c>
      <c r="H41" s="5">
        <f t="shared" si="3"/>
        <v>0</v>
      </c>
    </row>
    <row r="42" spans="1:8" x14ac:dyDescent="0.2">
      <c r="A42" s="2">
        <v>41</v>
      </c>
      <c r="B42" s="5">
        <f t="shared" si="0"/>
        <v>0</v>
      </c>
      <c r="C42" s="5">
        <f t="shared" si="1"/>
        <v>0</v>
      </c>
      <c r="D42" s="5">
        <f>IF(ExtraPayment=0, 0, IF(AND($B42&lt;&gt;0,ExtraPayment&lt;=$B42),-ExtraPayment,-($F42)-$B42))</f>
        <v>0</v>
      </c>
      <c r="E42" s="5">
        <f>IF($B42 &lt;= 0, 0, -ROUND($B42 * (InterestRate / PaymentsPerYear), 2))</f>
        <v>0</v>
      </c>
      <c r="F42" s="5">
        <f>ROUND(IFERROR(IF(OR($B42 &lt;=0, $B42 = ExtraPayment),0,
MAX(-$B42, -(-PMT(InterestRate/PaymentsPerYear,LoanTerm*PaymentsPerYear,LoanAmount) + $E42))), 0), 2)</f>
        <v>0</v>
      </c>
      <c r="G42" s="5">
        <f t="shared" si="2"/>
        <v>0</v>
      </c>
      <c r="H42" s="5">
        <f t="shared" si="3"/>
        <v>0</v>
      </c>
    </row>
    <row r="43" spans="1:8" x14ac:dyDescent="0.2">
      <c r="A43" s="2">
        <v>42</v>
      </c>
      <c r="B43" s="5">
        <f t="shared" si="0"/>
        <v>0</v>
      </c>
      <c r="C43" s="5">
        <f t="shared" si="1"/>
        <v>0</v>
      </c>
      <c r="D43" s="5">
        <f>IF(ExtraPayment=0, 0, IF(AND($B43&lt;&gt;0,ExtraPayment&lt;=$B43),-ExtraPayment,-($F43)-$B43))</f>
        <v>0</v>
      </c>
      <c r="E43" s="5">
        <f>IF($B43 &lt;= 0, 0, -ROUND($B43 * (InterestRate / PaymentsPerYear), 2))</f>
        <v>0</v>
      </c>
      <c r="F43" s="5">
        <f>ROUND(IFERROR(IF(OR($B43 &lt;=0, $B43 = ExtraPayment),0,
MAX(-$B43, -(-PMT(InterestRate/PaymentsPerYear,LoanTerm*PaymentsPerYear,LoanAmount) + $E43))), 0), 2)</f>
        <v>0</v>
      </c>
      <c r="G43" s="5">
        <f t="shared" si="2"/>
        <v>0</v>
      </c>
      <c r="H43" s="5">
        <f t="shared" si="3"/>
        <v>0</v>
      </c>
    </row>
    <row r="44" spans="1:8" x14ac:dyDescent="0.2">
      <c r="A44" s="2">
        <v>43</v>
      </c>
      <c r="B44" s="5">
        <f t="shared" si="0"/>
        <v>0</v>
      </c>
      <c r="C44" s="5">
        <f t="shared" si="1"/>
        <v>0</v>
      </c>
      <c r="D44" s="5">
        <f>IF(ExtraPayment=0, 0, IF(AND($B44&lt;&gt;0,ExtraPayment&lt;=$B44),-ExtraPayment,-($F44)-$B44))</f>
        <v>0</v>
      </c>
      <c r="E44" s="5">
        <f>IF($B44 &lt;= 0, 0, -ROUND($B44 * (InterestRate / PaymentsPerYear), 2))</f>
        <v>0</v>
      </c>
      <c r="F44" s="5">
        <f>ROUND(IFERROR(IF(OR($B44 &lt;=0, $B44 = ExtraPayment),0,
MAX(-$B44, -(-PMT(InterestRate/PaymentsPerYear,LoanTerm*PaymentsPerYear,LoanAmount) + $E44))), 0), 2)</f>
        <v>0</v>
      </c>
      <c r="G44" s="5">
        <f t="shared" si="2"/>
        <v>0</v>
      </c>
      <c r="H44" s="5">
        <f t="shared" si="3"/>
        <v>0</v>
      </c>
    </row>
    <row r="45" spans="1:8" x14ac:dyDescent="0.2">
      <c r="A45" s="2">
        <v>44</v>
      </c>
      <c r="B45" s="5">
        <f t="shared" si="0"/>
        <v>0</v>
      </c>
      <c r="C45" s="5">
        <f t="shared" si="1"/>
        <v>0</v>
      </c>
      <c r="D45" s="5">
        <f>IF(ExtraPayment=0, 0, IF(AND($B45&lt;&gt;0,ExtraPayment&lt;=$B45),-ExtraPayment,-($F45)-$B45))</f>
        <v>0</v>
      </c>
      <c r="E45" s="5">
        <f>IF($B45 &lt;= 0, 0, -ROUND($B45 * (InterestRate / PaymentsPerYear), 2))</f>
        <v>0</v>
      </c>
      <c r="F45" s="5">
        <f>ROUND(IFERROR(IF(OR($B45 &lt;=0, $B45 = ExtraPayment),0,
MAX(-$B45, -(-PMT(InterestRate/PaymentsPerYear,LoanTerm*PaymentsPerYear,LoanAmount) + $E45))), 0), 2)</f>
        <v>0</v>
      </c>
      <c r="G45" s="5">
        <f t="shared" si="2"/>
        <v>0</v>
      </c>
      <c r="H45" s="5">
        <f t="shared" si="3"/>
        <v>0</v>
      </c>
    </row>
    <row r="46" spans="1:8" x14ac:dyDescent="0.2">
      <c r="A46" s="2">
        <v>45</v>
      </c>
      <c r="B46" s="5">
        <f t="shared" si="0"/>
        <v>0</v>
      </c>
      <c r="C46" s="5">
        <f t="shared" si="1"/>
        <v>0</v>
      </c>
      <c r="D46" s="5">
        <f>IF(ExtraPayment=0, 0, IF(AND($B46&lt;&gt;0,ExtraPayment&lt;=$B46),-ExtraPayment,-($F46)-$B46))</f>
        <v>0</v>
      </c>
      <c r="E46" s="5">
        <f>IF($B46 &lt;= 0, 0, -ROUND($B46 * (InterestRate / PaymentsPerYear), 2))</f>
        <v>0</v>
      </c>
      <c r="F46" s="5">
        <f>ROUND(IFERROR(IF(OR($B46 &lt;=0, $B46 = ExtraPayment),0,
MAX(-$B46, -(-PMT(InterestRate/PaymentsPerYear,LoanTerm*PaymentsPerYear,LoanAmount) + $E46))), 0), 2)</f>
        <v>0</v>
      </c>
      <c r="G46" s="5">
        <f t="shared" si="2"/>
        <v>0</v>
      </c>
      <c r="H46" s="5">
        <f t="shared" si="3"/>
        <v>0</v>
      </c>
    </row>
    <row r="47" spans="1:8" x14ac:dyDescent="0.2">
      <c r="A47" s="2">
        <v>46</v>
      </c>
      <c r="B47" s="5">
        <f t="shared" si="0"/>
        <v>0</v>
      </c>
      <c r="C47" s="5">
        <f t="shared" si="1"/>
        <v>0</v>
      </c>
      <c r="D47" s="5">
        <f>IF(ExtraPayment=0, 0, IF(AND($B47&lt;&gt;0,ExtraPayment&lt;=$B47),-ExtraPayment,-($F47)-$B47))</f>
        <v>0</v>
      </c>
      <c r="E47" s="5">
        <f>IF($B47 &lt;= 0, 0, -ROUND($B47 * (InterestRate / PaymentsPerYear), 2))</f>
        <v>0</v>
      </c>
      <c r="F47" s="5">
        <f>ROUND(IFERROR(IF(OR($B47 &lt;=0, $B47 = ExtraPayment),0,
MAX(-$B47, -(-PMT(InterestRate/PaymentsPerYear,LoanTerm*PaymentsPerYear,LoanAmount) + $E47))), 0), 2)</f>
        <v>0</v>
      </c>
      <c r="G47" s="5">
        <f t="shared" si="2"/>
        <v>0</v>
      </c>
      <c r="H47" s="5">
        <f t="shared" si="3"/>
        <v>0</v>
      </c>
    </row>
    <row r="48" spans="1:8" x14ac:dyDescent="0.2">
      <c r="A48" s="2">
        <v>47</v>
      </c>
      <c r="B48" s="5">
        <f t="shared" si="0"/>
        <v>0</v>
      </c>
      <c r="C48" s="5">
        <f t="shared" si="1"/>
        <v>0</v>
      </c>
      <c r="D48" s="5">
        <f>IF(ExtraPayment=0, 0, IF(AND($B48&lt;&gt;0,ExtraPayment&lt;=$B48),-ExtraPayment,-($F48)-$B48))</f>
        <v>0</v>
      </c>
      <c r="E48" s="5">
        <f>IF($B48 &lt;= 0, 0, -ROUND($B48 * (InterestRate / PaymentsPerYear), 2))</f>
        <v>0</v>
      </c>
      <c r="F48" s="5">
        <f>ROUND(IFERROR(IF(OR($B48 &lt;=0, $B48 = ExtraPayment),0,
MAX(-$B48, -(-PMT(InterestRate/PaymentsPerYear,LoanTerm*PaymentsPerYear,LoanAmount) + $E48))), 0), 2)</f>
        <v>0</v>
      </c>
      <c r="G48" s="5">
        <f t="shared" si="2"/>
        <v>0</v>
      </c>
      <c r="H48" s="5">
        <f t="shared" si="3"/>
        <v>0</v>
      </c>
    </row>
    <row r="49" spans="1:8" x14ac:dyDescent="0.2">
      <c r="A49" s="2">
        <v>48</v>
      </c>
      <c r="B49" s="5">
        <f t="shared" si="0"/>
        <v>0</v>
      </c>
      <c r="C49" s="5">
        <f t="shared" si="1"/>
        <v>0</v>
      </c>
      <c r="D49" s="5">
        <f>IF(ExtraPayment=0, 0, IF(AND($B49&lt;&gt;0,ExtraPayment&lt;=$B49),-ExtraPayment,-($F49)-$B49))</f>
        <v>0</v>
      </c>
      <c r="E49" s="5">
        <f>IF($B49 &lt;= 0, 0, -ROUND($B49 * (InterestRate / PaymentsPerYear), 2))</f>
        <v>0</v>
      </c>
      <c r="F49" s="5">
        <f>ROUND(IFERROR(IF(OR($B49 &lt;=0, $B49 = ExtraPayment),0,
MAX(-$B49, -(-PMT(InterestRate/PaymentsPerYear,LoanTerm*PaymentsPerYear,LoanAmount) + $E49))), 0), 2)</f>
        <v>0</v>
      </c>
      <c r="G49" s="5">
        <f t="shared" si="2"/>
        <v>0</v>
      </c>
      <c r="H49" s="5">
        <f t="shared" si="3"/>
        <v>0</v>
      </c>
    </row>
    <row r="50" spans="1:8" x14ac:dyDescent="0.2">
      <c r="A50" s="2">
        <v>49</v>
      </c>
      <c r="B50" s="5">
        <f t="shared" si="0"/>
        <v>0</v>
      </c>
      <c r="C50" s="5">
        <f t="shared" si="1"/>
        <v>0</v>
      </c>
      <c r="D50" s="5">
        <f>IF(ExtraPayment=0, 0, IF(AND($B50&lt;&gt;0,ExtraPayment&lt;=$B50),-ExtraPayment,-($F50)-$B50))</f>
        <v>0</v>
      </c>
      <c r="E50" s="5">
        <f>IF($B50 &lt;= 0, 0, -ROUND($B50 * (InterestRate / PaymentsPerYear), 2))</f>
        <v>0</v>
      </c>
      <c r="F50" s="5">
        <f>ROUND(IFERROR(IF(OR($B50 &lt;=0, $B50 = ExtraPayment),0,
MAX(-$B50, -(-PMT(InterestRate/PaymentsPerYear,LoanTerm*PaymentsPerYear,LoanAmount) + $E50))), 0), 2)</f>
        <v>0</v>
      </c>
      <c r="G50" s="5">
        <f t="shared" si="2"/>
        <v>0</v>
      </c>
      <c r="H50" s="5">
        <f t="shared" si="3"/>
        <v>0</v>
      </c>
    </row>
    <row r="51" spans="1:8" x14ac:dyDescent="0.2">
      <c r="A51" s="2">
        <v>50</v>
      </c>
      <c r="B51" s="5">
        <f t="shared" si="0"/>
        <v>0</v>
      </c>
      <c r="C51" s="5">
        <f t="shared" si="1"/>
        <v>0</v>
      </c>
      <c r="D51" s="5">
        <f>IF(ExtraPayment=0, 0, IF(AND($B51&lt;&gt;0,ExtraPayment&lt;=$B51),-ExtraPayment,-($F51)-$B51))</f>
        <v>0</v>
      </c>
      <c r="E51" s="5">
        <f>IF($B51 &lt;= 0, 0, -ROUND($B51 * (InterestRate / PaymentsPerYear), 2))</f>
        <v>0</v>
      </c>
      <c r="F51" s="5">
        <f>ROUND(IFERROR(IF(OR($B51 &lt;=0, $B51 = ExtraPayment),0,
MAX(-$B51, -(-PMT(InterestRate/PaymentsPerYear,LoanTerm*PaymentsPerYear,LoanAmount) + $E51))), 0), 2)</f>
        <v>0</v>
      </c>
      <c r="G51" s="5">
        <f t="shared" si="2"/>
        <v>0</v>
      </c>
      <c r="H51" s="5">
        <f t="shared" si="3"/>
        <v>0</v>
      </c>
    </row>
    <row r="52" spans="1:8" x14ac:dyDescent="0.2">
      <c r="A52" s="2">
        <v>51</v>
      </c>
      <c r="B52" s="5">
        <f t="shared" si="0"/>
        <v>0</v>
      </c>
      <c r="C52" s="5">
        <f t="shared" si="1"/>
        <v>0</v>
      </c>
      <c r="D52" s="5">
        <f>IF(ExtraPayment=0, 0, IF(AND($B52&lt;&gt;0,ExtraPayment&lt;=$B52),-ExtraPayment,-($F52)-$B52))</f>
        <v>0</v>
      </c>
      <c r="E52" s="5">
        <f>IF($B52 &lt;= 0, 0, -ROUND($B52 * (InterestRate / PaymentsPerYear), 2))</f>
        <v>0</v>
      </c>
      <c r="F52" s="5">
        <f>ROUND(IFERROR(IF(OR($B52 &lt;=0, $B52 = ExtraPayment),0,
MAX(-$B52, -(-PMT(InterestRate/PaymentsPerYear,LoanTerm*PaymentsPerYear,LoanAmount) + $E52))), 0), 2)</f>
        <v>0</v>
      </c>
      <c r="G52" s="5">
        <f t="shared" si="2"/>
        <v>0</v>
      </c>
      <c r="H52" s="5">
        <f t="shared" si="3"/>
        <v>0</v>
      </c>
    </row>
    <row r="53" spans="1:8" x14ac:dyDescent="0.2">
      <c r="A53" s="2">
        <v>52</v>
      </c>
      <c r="B53" s="5">
        <f t="shared" si="0"/>
        <v>0</v>
      </c>
      <c r="C53" s="5">
        <f t="shared" si="1"/>
        <v>0</v>
      </c>
      <c r="D53" s="5">
        <f>IF(ExtraPayment=0, 0, IF(AND($B53&lt;&gt;0,ExtraPayment&lt;=$B53),-ExtraPayment,-($F53)-$B53))</f>
        <v>0</v>
      </c>
      <c r="E53" s="5">
        <f>IF($B53 &lt;= 0, 0, -ROUND($B53 * (InterestRate / PaymentsPerYear), 2))</f>
        <v>0</v>
      </c>
      <c r="F53" s="5">
        <f>ROUND(IFERROR(IF(OR($B53 &lt;=0, $B53 = ExtraPayment),0,
MAX(-$B53, -(-PMT(InterestRate/PaymentsPerYear,LoanTerm*PaymentsPerYear,LoanAmount) + $E53))), 0), 2)</f>
        <v>0</v>
      </c>
      <c r="G53" s="5">
        <f t="shared" si="2"/>
        <v>0</v>
      </c>
      <c r="H53" s="5">
        <f t="shared" si="3"/>
        <v>0</v>
      </c>
    </row>
    <row r="54" spans="1:8" x14ac:dyDescent="0.2">
      <c r="A54" s="2">
        <v>53</v>
      </c>
      <c r="B54" s="5">
        <f t="shared" si="0"/>
        <v>0</v>
      </c>
      <c r="C54" s="5">
        <f t="shared" si="1"/>
        <v>0</v>
      </c>
      <c r="D54" s="5">
        <f>IF(ExtraPayment=0, 0, IF(AND($B54&lt;&gt;0,ExtraPayment&lt;=$B54),-ExtraPayment,-($F54)-$B54))</f>
        <v>0</v>
      </c>
      <c r="E54" s="5">
        <f>IF($B54 &lt;= 0, 0, -ROUND($B54 * (InterestRate / PaymentsPerYear), 2))</f>
        <v>0</v>
      </c>
      <c r="F54" s="5">
        <f>ROUND(IFERROR(IF(OR($B54 &lt;=0, $B54 = ExtraPayment),0,
MAX(-$B54, -(-PMT(InterestRate/PaymentsPerYear,LoanTerm*PaymentsPerYear,LoanAmount) + $E54))), 0), 2)</f>
        <v>0</v>
      </c>
      <c r="G54" s="5">
        <f t="shared" si="2"/>
        <v>0</v>
      </c>
      <c r="H54" s="5">
        <f t="shared" si="3"/>
        <v>0</v>
      </c>
    </row>
    <row r="55" spans="1:8" x14ac:dyDescent="0.2">
      <c r="A55" s="2">
        <v>54</v>
      </c>
      <c r="B55" s="5">
        <f t="shared" si="0"/>
        <v>0</v>
      </c>
      <c r="C55" s="5">
        <f t="shared" si="1"/>
        <v>0</v>
      </c>
      <c r="D55" s="5">
        <f>IF(ExtraPayment=0, 0, IF(AND($B55&lt;&gt;0,ExtraPayment&lt;=$B55),-ExtraPayment,-($F55)-$B55))</f>
        <v>0</v>
      </c>
      <c r="E55" s="5">
        <f>IF($B55 &lt;= 0, 0, -ROUND($B55 * (InterestRate / PaymentsPerYear), 2))</f>
        <v>0</v>
      </c>
      <c r="F55" s="5">
        <f>ROUND(IFERROR(IF(OR($B55 &lt;=0, $B55 = ExtraPayment),0,
MAX(-$B55, -(-PMT(InterestRate/PaymentsPerYear,LoanTerm*PaymentsPerYear,LoanAmount) + $E55))), 0), 2)</f>
        <v>0</v>
      </c>
      <c r="G55" s="5">
        <f t="shared" si="2"/>
        <v>0</v>
      </c>
      <c r="H55" s="5">
        <f t="shared" si="3"/>
        <v>0</v>
      </c>
    </row>
    <row r="56" spans="1:8" x14ac:dyDescent="0.2">
      <c r="A56" s="2">
        <v>55</v>
      </c>
      <c r="B56" s="5">
        <f t="shared" si="0"/>
        <v>0</v>
      </c>
      <c r="C56" s="5">
        <f t="shared" si="1"/>
        <v>0</v>
      </c>
      <c r="D56" s="5">
        <f>IF(ExtraPayment=0, 0, IF(AND($B56&lt;&gt;0,ExtraPayment&lt;=$B56),-ExtraPayment,-($F56)-$B56))</f>
        <v>0</v>
      </c>
      <c r="E56" s="5">
        <f>IF($B56 &lt;= 0, 0, -ROUND($B56 * (InterestRate / PaymentsPerYear), 2))</f>
        <v>0</v>
      </c>
      <c r="F56" s="5">
        <f>ROUND(IFERROR(IF(OR($B56 &lt;=0, $B56 = ExtraPayment),0,
MAX(-$B56, -(-PMT(InterestRate/PaymentsPerYear,LoanTerm*PaymentsPerYear,LoanAmount) + $E56))), 0), 2)</f>
        <v>0</v>
      </c>
      <c r="G56" s="5">
        <f t="shared" si="2"/>
        <v>0</v>
      </c>
      <c r="H56" s="5">
        <f t="shared" si="3"/>
        <v>0</v>
      </c>
    </row>
    <row r="57" spans="1:8" x14ac:dyDescent="0.2">
      <c r="A57" s="2">
        <v>56</v>
      </c>
      <c r="B57" s="5">
        <f t="shared" si="0"/>
        <v>0</v>
      </c>
      <c r="C57" s="5">
        <f t="shared" si="1"/>
        <v>0</v>
      </c>
      <c r="D57" s="5">
        <f>IF(ExtraPayment=0, 0, IF(AND($B57&lt;&gt;0,ExtraPayment&lt;=$B57),-ExtraPayment,-($F57)-$B57))</f>
        <v>0</v>
      </c>
      <c r="E57" s="5">
        <f>IF($B57 &lt;= 0, 0, -ROUND($B57 * (InterestRate / PaymentsPerYear), 2))</f>
        <v>0</v>
      </c>
      <c r="F57" s="5">
        <f>ROUND(IFERROR(IF(OR($B57 &lt;=0, $B57 = ExtraPayment),0,
MAX(-$B57, -(-PMT(InterestRate/PaymentsPerYear,LoanTerm*PaymentsPerYear,LoanAmount) + $E57))), 0), 2)</f>
        <v>0</v>
      </c>
      <c r="G57" s="5">
        <f t="shared" si="2"/>
        <v>0</v>
      </c>
      <c r="H57" s="5">
        <f t="shared" si="3"/>
        <v>0</v>
      </c>
    </row>
    <row r="58" spans="1:8" x14ac:dyDescent="0.2">
      <c r="A58" s="2">
        <v>57</v>
      </c>
      <c r="B58" s="5">
        <f t="shared" si="0"/>
        <v>0</v>
      </c>
      <c r="C58" s="5">
        <f t="shared" si="1"/>
        <v>0</v>
      </c>
      <c r="D58" s="5">
        <f>IF(ExtraPayment=0, 0, IF(AND($B58&lt;&gt;0,ExtraPayment&lt;=$B58),-ExtraPayment,-($F58)-$B58))</f>
        <v>0</v>
      </c>
      <c r="E58" s="5">
        <f>IF($B58 &lt;= 0, 0, -ROUND($B58 * (InterestRate / PaymentsPerYear), 2))</f>
        <v>0</v>
      </c>
      <c r="F58" s="5">
        <f>ROUND(IFERROR(IF(OR($B58 &lt;=0, $B58 = ExtraPayment),0,
MAX(-$B58, -(-PMT(InterestRate/PaymentsPerYear,LoanTerm*PaymentsPerYear,LoanAmount) + $E58))), 0), 2)</f>
        <v>0</v>
      </c>
      <c r="G58" s="5">
        <f t="shared" si="2"/>
        <v>0</v>
      </c>
      <c r="H58" s="5">
        <f t="shared" si="3"/>
        <v>0</v>
      </c>
    </row>
    <row r="59" spans="1:8" x14ac:dyDescent="0.2">
      <c r="A59" s="2">
        <v>58</v>
      </c>
      <c r="B59" s="5">
        <f t="shared" si="0"/>
        <v>0</v>
      </c>
      <c r="C59" s="5">
        <f t="shared" si="1"/>
        <v>0</v>
      </c>
      <c r="D59" s="5">
        <f>IF(ExtraPayment=0, 0, IF(AND($B59&lt;&gt;0,ExtraPayment&lt;=$B59),-ExtraPayment,-($F59)-$B59))</f>
        <v>0</v>
      </c>
      <c r="E59" s="5">
        <f>IF($B59 &lt;= 0, 0, -ROUND($B59 * (InterestRate / PaymentsPerYear), 2))</f>
        <v>0</v>
      </c>
      <c r="F59" s="5">
        <f>ROUND(IFERROR(IF(OR($B59 &lt;=0, $B59 = ExtraPayment),0,
MAX(-$B59, -(-PMT(InterestRate/PaymentsPerYear,LoanTerm*PaymentsPerYear,LoanAmount) + $E59))), 0), 2)</f>
        <v>0</v>
      </c>
      <c r="G59" s="5">
        <f t="shared" si="2"/>
        <v>0</v>
      </c>
      <c r="H59" s="5">
        <f t="shared" si="3"/>
        <v>0</v>
      </c>
    </row>
    <row r="60" spans="1:8" x14ac:dyDescent="0.2">
      <c r="A60" s="2">
        <v>59</v>
      </c>
      <c r="B60" s="5">
        <f t="shared" si="0"/>
        <v>0</v>
      </c>
      <c r="C60" s="5">
        <f t="shared" si="1"/>
        <v>0</v>
      </c>
      <c r="D60" s="5">
        <f>IF(ExtraPayment=0, 0, IF(AND($B60&lt;&gt;0,ExtraPayment&lt;=$B60),-ExtraPayment,-($F60)-$B60))</f>
        <v>0</v>
      </c>
      <c r="E60" s="5">
        <f>IF($B60 &lt;= 0, 0, -ROUND($B60 * (InterestRate / PaymentsPerYear), 2))</f>
        <v>0</v>
      </c>
      <c r="F60" s="5">
        <f>ROUND(IFERROR(IF(OR($B60 &lt;=0, $B60 = ExtraPayment),0,
MAX(-$B60, -(-PMT(InterestRate/PaymentsPerYear,LoanTerm*PaymentsPerYear,LoanAmount) + $E60))), 0), 2)</f>
        <v>0</v>
      </c>
      <c r="G60" s="5">
        <f t="shared" si="2"/>
        <v>0</v>
      </c>
      <c r="H60" s="5">
        <f t="shared" si="3"/>
        <v>0</v>
      </c>
    </row>
    <row r="61" spans="1:8" x14ac:dyDescent="0.2">
      <c r="A61" s="2">
        <v>60</v>
      </c>
      <c r="B61" s="5">
        <f t="shared" si="0"/>
        <v>0</v>
      </c>
      <c r="C61" s="5">
        <f t="shared" si="1"/>
        <v>0</v>
      </c>
      <c r="D61" s="5">
        <f>IF(ExtraPayment=0, 0, IF(AND($B61&lt;&gt;0,ExtraPayment&lt;=$B61),-ExtraPayment,-($F61)-$B61))</f>
        <v>0</v>
      </c>
      <c r="E61" s="5">
        <f>IF($B61 &lt;= 0, 0, -ROUND($B61 * (InterestRate / PaymentsPerYear), 2))</f>
        <v>0</v>
      </c>
      <c r="F61" s="5">
        <f>ROUND(IFERROR(IF(OR($B61 &lt;=0, $B61 = ExtraPayment),0,
MAX(-$B61, -(-PMT(InterestRate/PaymentsPerYear,LoanTerm*PaymentsPerYear,LoanAmount) + $E61))), 0), 2)</f>
        <v>0</v>
      </c>
      <c r="G61" s="5">
        <f t="shared" si="2"/>
        <v>0</v>
      </c>
      <c r="H61" s="5">
        <f t="shared" si="3"/>
        <v>0</v>
      </c>
    </row>
    <row r="62" spans="1:8" x14ac:dyDescent="0.2">
      <c r="A62" s="2">
        <v>61</v>
      </c>
      <c r="B62" s="5">
        <f t="shared" si="0"/>
        <v>0</v>
      </c>
      <c r="C62" s="5">
        <f t="shared" si="1"/>
        <v>0</v>
      </c>
      <c r="D62" s="5">
        <f>IF(ExtraPayment=0, 0, IF(AND($B62&lt;&gt;0,ExtraPayment&lt;=$B62),-ExtraPayment,-($F62)-$B62))</f>
        <v>0</v>
      </c>
      <c r="E62" s="5">
        <f>IF($B62 &lt;= 0, 0, -ROUND($B62 * (InterestRate / PaymentsPerYear), 2))</f>
        <v>0</v>
      </c>
      <c r="F62" s="5">
        <f>ROUND(IFERROR(IF(OR($B62 &lt;=0, $B62 = ExtraPayment),0,
MAX(-$B62, -(-PMT(InterestRate/PaymentsPerYear,LoanTerm*PaymentsPerYear,LoanAmount) + $E62))), 0), 2)</f>
        <v>0</v>
      </c>
      <c r="G62" s="5">
        <f t="shared" si="2"/>
        <v>0</v>
      </c>
      <c r="H62" s="5">
        <f t="shared" si="3"/>
        <v>0</v>
      </c>
    </row>
    <row r="63" spans="1:8" x14ac:dyDescent="0.2">
      <c r="A63" s="2">
        <v>62</v>
      </c>
      <c r="B63" s="5">
        <f t="shared" si="0"/>
        <v>0</v>
      </c>
      <c r="C63" s="5">
        <f t="shared" si="1"/>
        <v>0</v>
      </c>
      <c r="D63" s="5">
        <f>IF(ExtraPayment=0, 0, IF(AND($B63&lt;&gt;0,ExtraPayment&lt;=$B63),-ExtraPayment,-($F63)-$B63))</f>
        <v>0</v>
      </c>
      <c r="E63" s="5">
        <f>IF($B63 &lt;= 0, 0, -ROUND($B63 * (InterestRate / PaymentsPerYear), 2))</f>
        <v>0</v>
      </c>
      <c r="F63" s="5">
        <f>ROUND(IFERROR(IF(OR($B63 &lt;=0, $B63 = ExtraPayment),0,
MAX(-$B63, -(-PMT(InterestRate/PaymentsPerYear,LoanTerm*PaymentsPerYear,LoanAmount) + $E63))), 0), 2)</f>
        <v>0</v>
      </c>
      <c r="G63" s="5">
        <f t="shared" si="2"/>
        <v>0</v>
      </c>
      <c r="H63" s="5">
        <f t="shared" si="3"/>
        <v>0</v>
      </c>
    </row>
    <row r="64" spans="1:8" x14ac:dyDescent="0.2">
      <c r="A64" s="2">
        <v>63</v>
      </c>
      <c r="B64" s="5">
        <f t="shared" si="0"/>
        <v>0</v>
      </c>
      <c r="C64" s="5">
        <f t="shared" si="1"/>
        <v>0</v>
      </c>
      <c r="D64" s="5">
        <f>IF(ExtraPayment=0, 0, IF(AND($B64&lt;&gt;0,ExtraPayment&lt;=$B64),-ExtraPayment,-($F64)-$B64))</f>
        <v>0</v>
      </c>
      <c r="E64" s="5">
        <f>IF($B64 &lt;= 0, 0, -ROUND($B64 * (InterestRate / PaymentsPerYear), 2))</f>
        <v>0</v>
      </c>
      <c r="F64" s="5">
        <f>ROUND(IFERROR(IF(OR($B64 &lt;=0, $B64 = ExtraPayment),0,
MAX(-$B64, -(-PMT(InterestRate/PaymentsPerYear,LoanTerm*PaymentsPerYear,LoanAmount) + $E64))), 0), 2)</f>
        <v>0</v>
      </c>
      <c r="G64" s="5">
        <f t="shared" si="2"/>
        <v>0</v>
      </c>
      <c r="H64" s="5">
        <f t="shared" si="3"/>
        <v>0</v>
      </c>
    </row>
    <row r="65" spans="1:8" x14ac:dyDescent="0.2">
      <c r="A65" s="2">
        <v>64</v>
      </c>
      <c r="B65" s="5">
        <f t="shared" si="0"/>
        <v>0</v>
      </c>
      <c r="C65" s="5">
        <f t="shared" si="1"/>
        <v>0</v>
      </c>
      <c r="D65" s="5">
        <f>IF(ExtraPayment=0, 0, IF(AND($B65&lt;&gt;0,ExtraPayment&lt;=$B65),-ExtraPayment,-($F65)-$B65))</f>
        <v>0</v>
      </c>
      <c r="E65" s="5">
        <f>IF($B65 &lt;= 0, 0, -ROUND($B65 * (InterestRate / PaymentsPerYear), 2))</f>
        <v>0</v>
      </c>
      <c r="F65" s="5">
        <f>ROUND(IFERROR(IF(OR($B65 &lt;=0, $B65 = ExtraPayment),0,
MAX(-$B65, -(-PMT(InterestRate/PaymentsPerYear,LoanTerm*PaymentsPerYear,LoanAmount) + $E65))), 0), 2)</f>
        <v>0</v>
      </c>
      <c r="G65" s="5">
        <f t="shared" si="2"/>
        <v>0</v>
      </c>
      <c r="H65" s="5">
        <f t="shared" si="3"/>
        <v>0</v>
      </c>
    </row>
    <row r="66" spans="1:8" x14ac:dyDescent="0.2">
      <c r="A66" s="2">
        <v>65</v>
      </c>
      <c r="B66" s="5">
        <f t="shared" si="0"/>
        <v>0</v>
      </c>
      <c r="C66" s="5">
        <f t="shared" si="1"/>
        <v>0</v>
      </c>
      <c r="D66" s="5">
        <f>IF(ExtraPayment=0, 0, IF(AND($B66&lt;&gt;0,ExtraPayment&lt;=$B66),-ExtraPayment,-($F66)-$B66))</f>
        <v>0</v>
      </c>
      <c r="E66" s="5">
        <f>IF($B66 &lt;= 0, 0, -ROUND($B66 * (InterestRate / PaymentsPerYear), 2))</f>
        <v>0</v>
      </c>
      <c r="F66" s="5">
        <f>ROUND(IFERROR(IF(OR($B66 &lt;=0, $B66 = ExtraPayment),0,
MAX(-$B66, -(-PMT(InterestRate/PaymentsPerYear,LoanTerm*PaymentsPerYear,LoanAmount) + $E66))), 0), 2)</f>
        <v>0</v>
      </c>
      <c r="G66" s="5">
        <f t="shared" si="2"/>
        <v>0</v>
      </c>
      <c r="H66" s="5">
        <f t="shared" si="3"/>
        <v>0</v>
      </c>
    </row>
    <row r="67" spans="1:8" x14ac:dyDescent="0.2">
      <c r="A67" s="2">
        <v>66</v>
      </c>
      <c r="B67" s="5">
        <f t="shared" si="0"/>
        <v>0</v>
      </c>
      <c r="C67" s="5">
        <f t="shared" si="1"/>
        <v>0</v>
      </c>
      <c r="D67" s="5">
        <f>IF(ExtraPayment=0, 0, IF(AND($B67&lt;&gt;0,ExtraPayment&lt;=$B67),-ExtraPayment,-($F67)-$B67))</f>
        <v>0</v>
      </c>
      <c r="E67" s="5">
        <f>IF($B67 &lt;= 0, 0, -ROUND($B67 * (InterestRate / PaymentsPerYear), 2))</f>
        <v>0</v>
      </c>
      <c r="F67" s="5">
        <f>ROUND(IFERROR(IF(OR($B67 &lt;=0, $B67 = ExtraPayment),0,
MAX(-$B67, -(-PMT(InterestRate/PaymentsPerYear,LoanTerm*PaymentsPerYear,LoanAmount) + $E67))), 0), 2)</f>
        <v>0</v>
      </c>
      <c r="G67" s="5">
        <f t="shared" si="2"/>
        <v>0</v>
      </c>
      <c r="H67" s="5">
        <f t="shared" si="3"/>
        <v>0</v>
      </c>
    </row>
    <row r="68" spans="1:8" x14ac:dyDescent="0.2">
      <c r="A68" s="2">
        <v>67</v>
      </c>
      <c r="B68" s="5">
        <f t="shared" ref="B68:B131" si="4">ROUND(IF($H67 &gt;= 0, MAX($H67, $F67), 0), 2)</f>
        <v>0</v>
      </c>
      <c r="C68" s="5">
        <f t="shared" ref="C68:C131" si="5">IF($B68 &lt;= 0, 0, $D68+$E68+$F68)</f>
        <v>0</v>
      </c>
      <c r="D68" s="5">
        <f>IF(ExtraPayment=0, 0, IF(AND($B68&lt;&gt;0,ExtraPayment&lt;=$B68),-ExtraPayment,-($F68)-$B68))</f>
        <v>0</v>
      </c>
      <c r="E68" s="5">
        <f>IF($B68 &lt;= 0, 0, -ROUND($B68 * (InterestRate / PaymentsPerYear), 2))</f>
        <v>0</v>
      </c>
      <c r="F68" s="5">
        <f>ROUND(IFERROR(IF(OR($B68 &lt;=0, $B68 = ExtraPayment),0,
MAX(-$B68, -(-PMT(InterestRate/PaymentsPerYear,LoanTerm*PaymentsPerYear,LoanAmount) + $E68))), 0), 2)</f>
        <v>0</v>
      </c>
      <c r="G68" s="5">
        <f t="shared" ref="G68:G131" si="6">$D68+$F68</f>
        <v>0</v>
      </c>
      <c r="H68" s="5">
        <f t="shared" ref="H68:H131" si="7">ROUND(IF($B68 &lt;= 0, 0,MAX(0, $B68 + $G68)), 2)</f>
        <v>0</v>
      </c>
    </row>
    <row r="69" spans="1:8" x14ac:dyDescent="0.2">
      <c r="A69" s="2">
        <v>68</v>
      </c>
      <c r="B69" s="5">
        <f t="shared" si="4"/>
        <v>0</v>
      </c>
      <c r="C69" s="5">
        <f t="shared" si="5"/>
        <v>0</v>
      </c>
      <c r="D69" s="5">
        <f>IF(ExtraPayment=0, 0, IF(AND($B69&lt;&gt;0,ExtraPayment&lt;=$B69),-ExtraPayment,-($F69)-$B69))</f>
        <v>0</v>
      </c>
      <c r="E69" s="5">
        <f>IF($B69 &lt;= 0, 0, -ROUND($B69 * (InterestRate / PaymentsPerYear), 2))</f>
        <v>0</v>
      </c>
      <c r="F69" s="5">
        <f>ROUND(IFERROR(IF(OR($B69 &lt;=0, $B69 = ExtraPayment),0,
MAX(-$B69, -(-PMT(InterestRate/PaymentsPerYear,LoanTerm*PaymentsPerYear,LoanAmount) + $E69))), 0), 2)</f>
        <v>0</v>
      </c>
      <c r="G69" s="5">
        <f t="shared" si="6"/>
        <v>0</v>
      </c>
      <c r="H69" s="5">
        <f t="shared" si="7"/>
        <v>0</v>
      </c>
    </row>
    <row r="70" spans="1:8" x14ac:dyDescent="0.2">
      <c r="A70" s="2">
        <v>69</v>
      </c>
      <c r="B70" s="5">
        <f t="shared" si="4"/>
        <v>0</v>
      </c>
      <c r="C70" s="5">
        <f t="shared" si="5"/>
        <v>0</v>
      </c>
      <c r="D70" s="5">
        <f>IF(ExtraPayment=0, 0, IF(AND($B70&lt;&gt;0,ExtraPayment&lt;=$B70),-ExtraPayment,-($F70)-$B70))</f>
        <v>0</v>
      </c>
      <c r="E70" s="5">
        <f>IF($B70 &lt;= 0, 0, -ROUND($B70 * (InterestRate / PaymentsPerYear), 2))</f>
        <v>0</v>
      </c>
      <c r="F70" s="5">
        <f>ROUND(IFERROR(IF(OR($B70 &lt;=0, $B70 = ExtraPayment),0,
MAX(-$B70, -(-PMT(InterestRate/PaymentsPerYear,LoanTerm*PaymentsPerYear,LoanAmount) + $E70))), 0), 2)</f>
        <v>0</v>
      </c>
      <c r="G70" s="5">
        <f t="shared" si="6"/>
        <v>0</v>
      </c>
      <c r="H70" s="5">
        <f t="shared" si="7"/>
        <v>0</v>
      </c>
    </row>
    <row r="71" spans="1:8" x14ac:dyDescent="0.2">
      <c r="A71" s="2">
        <v>70</v>
      </c>
      <c r="B71" s="5">
        <f t="shared" si="4"/>
        <v>0</v>
      </c>
      <c r="C71" s="5">
        <f t="shared" si="5"/>
        <v>0</v>
      </c>
      <c r="D71" s="5">
        <f>IF(ExtraPayment=0, 0, IF(AND($B71&lt;&gt;0,ExtraPayment&lt;=$B71),-ExtraPayment,-($F71)-$B71))</f>
        <v>0</v>
      </c>
      <c r="E71" s="5">
        <f>IF($B71 &lt;= 0, 0, -ROUND($B71 * (InterestRate / PaymentsPerYear), 2))</f>
        <v>0</v>
      </c>
      <c r="F71" s="5">
        <f>ROUND(IFERROR(IF(OR($B71 &lt;=0, $B71 = ExtraPayment),0,
MAX(-$B71, -(-PMT(InterestRate/PaymentsPerYear,LoanTerm*PaymentsPerYear,LoanAmount) + $E71))), 0), 2)</f>
        <v>0</v>
      </c>
      <c r="G71" s="5">
        <f t="shared" si="6"/>
        <v>0</v>
      </c>
      <c r="H71" s="5">
        <f t="shared" si="7"/>
        <v>0</v>
      </c>
    </row>
    <row r="72" spans="1:8" x14ac:dyDescent="0.2">
      <c r="A72" s="2">
        <v>71</v>
      </c>
      <c r="B72" s="5">
        <f t="shared" si="4"/>
        <v>0</v>
      </c>
      <c r="C72" s="5">
        <f t="shared" si="5"/>
        <v>0</v>
      </c>
      <c r="D72" s="5">
        <f>IF(ExtraPayment=0, 0, IF(AND($B72&lt;&gt;0,ExtraPayment&lt;=$B72),-ExtraPayment,-($F72)-$B72))</f>
        <v>0</v>
      </c>
      <c r="E72" s="5">
        <f>IF($B72 &lt;= 0, 0, -ROUND($B72 * (InterestRate / PaymentsPerYear), 2))</f>
        <v>0</v>
      </c>
      <c r="F72" s="5">
        <f>ROUND(IFERROR(IF(OR($B72 &lt;=0, $B72 = ExtraPayment),0,
MAX(-$B72, -(-PMT(InterestRate/PaymentsPerYear,LoanTerm*PaymentsPerYear,LoanAmount) + $E72))), 0), 2)</f>
        <v>0</v>
      </c>
      <c r="G72" s="5">
        <f t="shared" si="6"/>
        <v>0</v>
      </c>
      <c r="H72" s="5">
        <f t="shared" si="7"/>
        <v>0</v>
      </c>
    </row>
    <row r="73" spans="1:8" x14ac:dyDescent="0.2">
      <c r="A73" s="2">
        <v>72</v>
      </c>
      <c r="B73" s="5">
        <f t="shared" si="4"/>
        <v>0</v>
      </c>
      <c r="C73" s="5">
        <f t="shared" si="5"/>
        <v>0</v>
      </c>
      <c r="D73" s="5">
        <f>IF(ExtraPayment=0, 0, IF(AND($B73&lt;&gt;0,ExtraPayment&lt;=$B73),-ExtraPayment,-($F73)-$B73))</f>
        <v>0</v>
      </c>
      <c r="E73" s="5">
        <f>IF($B73 &lt;= 0, 0, -ROUND($B73 * (InterestRate / PaymentsPerYear), 2))</f>
        <v>0</v>
      </c>
      <c r="F73" s="5">
        <f>ROUND(IFERROR(IF(OR($B73 &lt;=0, $B73 = ExtraPayment),0,
MAX(-$B73, -(-PMT(InterestRate/PaymentsPerYear,LoanTerm*PaymentsPerYear,LoanAmount) + $E73))), 0), 2)</f>
        <v>0</v>
      </c>
      <c r="G73" s="5">
        <f t="shared" si="6"/>
        <v>0</v>
      </c>
      <c r="H73" s="5">
        <f t="shared" si="7"/>
        <v>0</v>
      </c>
    </row>
    <row r="74" spans="1:8" x14ac:dyDescent="0.2">
      <c r="A74" s="2">
        <v>73</v>
      </c>
      <c r="B74" s="5">
        <f t="shared" si="4"/>
        <v>0</v>
      </c>
      <c r="C74" s="5">
        <f t="shared" si="5"/>
        <v>0</v>
      </c>
      <c r="D74" s="5">
        <f>IF(ExtraPayment=0, 0, IF(AND($B74&lt;&gt;0,ExtraPayment&lt;=$B74),-ExtraPayment,-($F74)-$B74))</f>
        <v>0</v>
      </c>
      <c r="E74" s="5">
        <f>IF($B74 &lt;= 0, 0, -ROUND($B74 * (InterestRate / PaymentsPerYear), 2))</f>
        <v>0</v>
      </c>
      <c r="F74" s="5">
        <f>ROUND(IFERROR(IF(OR($B74 &lt;=0, $B74 = ExtraPayment),0,
MAX(-$B74, -(-PMT(InterestRate/PaymentsPerYear,LoanTerm*PaymentsPerYear,LoanAmount) + $E74))), 0), 2)</f>
        <v>0</v>
      </c>
      <c r="G74" s="5">
        <f t="shared" si="6"/>
        <v>0</v>
      </c>
      <c r="H74" s="5">
        <f t="shared" si="7"/>
        <v>0</v>
      </c>
    </row>
    <row r="75" spans="1:8" x14ac:dyDescent="0.2">
      <c r="A75" s="2">
        <v>74</v>
      </c>
      <c r="B75" s="5">
        <f t="shared" si="4"/>
        <v>0</v>
      </c>
      <c r="C75" s="5">
        <f t="shared" si="5"/>
        <v>0</v>
      </c>
      <c r="D75" s="5">
        <f>IF(ExtraPayment=0, 0, IF(AND($B75&lt;&gt;0,ExtraPayment&lt;=$B75),-ExtraPayment,-($F75)-$B75))</f>
        <v>0</v>
      </c>
      <c r="E75" s="5">
        <f>IF($B75 &lt;= 0, 0, -ROUND($B75 * (InterestRate / PaymentsPerYear), 2))</f>
        <v>0</v>
      </c>
      <c r="F75" s="5">
        <f>ROUND(IFERROR(IF(OR($B75 &lt;=0, $B75 = ExtraPayment),0,
MAX(-$B75, -(-PMT(InterestRate/PaymentsPerYear,LoanTerm*PaymentsPerYear,LoanAmount) + $E75))), 0), 2)</f>
        <v>0</v>
      </c>
      <c r="G75" s="5">
        <f t="shared" si="6"/>
        <v>0</v>
      </c>
      <c r="H75" s="5">
        <f t="shared" si="7"/>
        <v>0</v>
      </c>
    </row>
    <row r="76" spans="1:8" x14ac:dyDescent="0.2">
      <c r="A76" s="2">
        <v>75</v>
      </c>
      <c r="B76" s="5">
        <f t="shared" si="4"/>
        <v>0</v>
      </c>
      <c r="C76" s="5">
        <f t="shared" si="5"/>
        <v>0</v>
      </c>
      <c r="D76" s="5">
        <f>IF(ExtraPayment=0, 0, IF(AND($B76&lt;&gt;0,ExtraPayment&lt;=$B76),-ExtraPayment,-($F76)-$B76))</f>
        <v>0</v>
      </c>
      <c r="E76" s="5">
        <f>IF($B76 &lt;= 0, 0, -ROUND($B76 * (InterestRate / PaymentsPerYear), 2))</f>
        <v>0</v>
      </c>
      <c r="F76" s="5">
        <f>ROUND(IFERROR(IF(OR($B76 &lt;=0, $B76 = ExtraPayment),0,
MAX(-$B76, -(-PMT(InterestRate/PaymentsPerYear,LoanTerm*PaymentsPerYear,LoanAmount) + $E76))), 0), 2)</f>
        <v>0</v>
      </c>
      <c r="G76" s="5">
        <f t="shared" si="6"/>
        <v>0</v>
      </c>
      <c r="H76" s="5">
        <f t="shared" si="7"/>
        <v>0</v>
      </c>
    </row>
    <row r="77" spans="1:8" x14ac:dyDescent="0.2">
      <c r="A77" s="2">
        <v>76</v>
      </c>
      <c r="B77" s="5">
        <f t="shared" si="4"/>
        <v>0</v>
      </c>
      <c r="C77" s="5">
        <f t="shared" si="5"/>
        <v>0</v>
      </c>
      <c r="D77" s="5">
        <f>IF(ExtraPayment=0, 0, IF(AND($B77&lt;&gt;0,ExtraPayment&lt;=$B77),-ExtraPayment,-($F77)-$B77))</f>
        <v>0</v>
      </c>
      <c r="E77" s="5">
        <f>IF($B77 &lt;= 0, 0, -ROUND($B77 * (InterestRate / PaymentsPerYear), 2))</f>
        <v>0</v>
      </c>
      <c r="F77" s="5">
        <f>ROUND(IFERROR(IF(OR($B77 &lt;=0, $B77 = ExtraPayment),0,
MAX(-$B77, -(-PMT(InterestRate/PaymentsPerYear,LoanTerm*PaymentsPerYear,LoanAmount) + $E77))), 0), 2)</f>
        <v>0</v>
      </c>
      <c r="G77" s="5">
        <f t="shared" si="6"/>
        <v>0</v>
      </c>
      <c r="H77" s="5">
        <f t="shared" si="7"/>
        <v>0</v>
      </c>
    </row>
    <row r="78" spans="1:8" x14ac:dyDescent="0.2">
      <c r="A78" s="2">
        <v>77</v>
      </c>
      <c r="B78" s="5">
        <f t="shared" si="4"/>
        <v>0</v>
      </c>
      <c r="C78" s="5">
        <f t="shared" si="5"/>
        <v>0</v>
      </c>
      <c r="D78" s="5">
        <f>IF(ExtraPayment=0, 0, IF(AND($B78&lt;&gt;0,ExtraPayment&lt;=$B78),-ExtraPayment,-($F78)-$B78))</f>
        <v>0</v>
      </c>
      <c r="E78" s="5">
        <f>IF($B78 &lt;= 0, 0, -ROUND($B78 * (InterestRate / PaymentsPerYear), 2))</f>
        <v>0</v>
      </c>
      <c r="F78" s="5">
        <f>ROUND(IFERROR(IF(OR($B78 &lt;=0, $B78 = ExtraPayment),0,
MAX(-$B78, -(-PMT(InterestRate/PaymentsPerYear,LoanTerm*PaymentsPerYear,LoanAmount) + $E78))), 0), 2)</f>
        <v>0</v>
      </c>
      <c r="G78" s="5">
        <f t="shared" si="6"/>
        <v>0</v>
      </c>
      <c r="H78" s="5">
        <f t="shared" si="7"/>
        <v>0</v>
      </c>
    </row>
    <row r="79" spans="1:8" x14ac:dyDescent="0.2">
      <c r="A79" s="2">
        <v>78</v>
      </c>
      <c r="B79" s="5">
        <f t="shared" si="4"/>
        <v>0</v>
      </c>
      <c r="C79" s="5">
        <f t="shared" si="5"/>
        <v>0</v>
      </c>
      <c r="D79" s="5">
        <f>IF(ExtraPayment=0, 0, IF(AND($B79&lt;&gt;0,ExtraPayment&lt;=$B79),-ExtraPayment,-($F79)-$B79))</f>
        <v>0</v>
      </c>
      <c r="E79" s="5">
        <f>IF($B79 &lt;= 0, 0, -ROUND($B79 * (InterestRate / PaymentsPerYear), 2))</f>
        <v>0</v>
      </c>
      <c r="F79" s="5">
        <f>ROUND(IFERROR(IF(OR($B79 &lt;=0, $B79 = ExtraPayment),0,
MAX(-$B79, -(-PMT(InterestRate/PaymentsPerYear,LoanTerm*PaymentsPerYear,LoanAmount) + $E79))), 0), 2)</f>
        <v>0</v>
      </c>
      <c r="G79" s="5">
        <f t="shared" si="6"/>
        <v>0</v>
      </c>
      <c r="H79" s="5">
        <f t="shared" si="7"/>
        <v>0</v>
      </c>
    </row>
    <row r="80" spans="1:8" x14ac:dyDescent="0.2">
      <c r="A80" s="2">
        <v>79</v>
      </c>
      <c r="B80" s="5">
        <f t="shared" si="4"/>
        <v>0</v>
      </c>
      <c r="C80" s="5">
        <f t="shared" si="5"/>
        <v>0</v>
      </c>
      <c r="D80" s="5">
        <f>IF(ExtraPayment=0, 0, IF(AND($B80&lt;&gt;0,ExtraPayment&lt;=$B80),-ExtraPayment,-($F80)-$B80))</f>
        <v>0</v>
      </c>
      <c r="E80" s="5">
        <f>IF($B80 &lt;= 0, 0, -ROUND($B80 * (InterestRate / PaymentsPerYear), 2))</f>
        <v>0</v>
      </c>
      <c r="F80" s="5">
        <f>ROUND(IFERROR(IF(OR($B80 &lt;=0, $B80 = ExtraPayment),0,
MAX(-$B80, -(-PMT(InterestRate/PaymentsPerYear,LoanTerm*PaymentsPerYear,LoanAmount) + $E80))), 0), 2)</f>
        <v>0</v>
      </c>
      <c r="G80" s="5">
        <f t="shared" si="6"/>
        <v>0</v>
      </c>
      <c r="H80" s="5">
        <f t="shared" si="7"/>
        <v>0</v>
      </c>
    </row>
    <row r="81" spans="1:8" x14ac:dyDescent="0.2">
      <c r="A81" s="2">
        <v>80</v>
      </c>
      <c r="B81" s="5">
        <f t="shared" si="4"/>
        <v>0</v>
      </c>
      <c r="C81" s="5">
        <f t="shared" si="5"/>
        <v>0</v>
      </c>
      <c r="D81" s="5">
        <f>IF(ExtraPayment=0, 0, IF(AND($B81&lt;&gt;0,ExtraPayment&lt;=$B81),-ExtraPayment,-($F81)-$B81))</f>
        <v>0</v>
      </c>
      <c r="E81" s="5">
        <f>IF($B81 &lt;= 0, 0, -ROUND($B81 * (InterestRate / PaymentsPerYear), 2))</f>
        <v>0</v>
      </c>
      <c r="F81" s="5">
        <f>ROUND(IFERROR(IF(OR($B81 &lt;=0, $B81 = ExtraPayment),0,
MAX(-$B81, -(-PMT(InterestRate/PaymentsPerYear,LoanTerm*PaymentsPerYear,LoanAmount) + $E81))), 0), 2)</f>
        <v>0</v>
      </c>
      <c r="G81" s="5">
        <f t="shared" si="6"/>
        <v>0</v>
      </c>
      <c r="H81" s="5">
        <f t="shared" si="7"/>
        <v>0</v>
      </c>
    </row>
    <row r="82" spans="1:8" x14ac:dyDescent="0.2">
      <c r="A82" s="2">
        <v>81</v>
      </c>
      <c r="B82" s="5">
        <f t="shared" si="4"/>
        <v>0</v>
      </c>
      <c r="C82" s="5">
        <f t="shared" si="5"/>
        <v>0</v>
      </c>
      <c r="D82" s="5">
        <f>IF(ExtraPayment=0, 0, IF(AND($B82&lt;&gt;0,ExtraPayment&lt;=$B82),-ExtraPayment,-($F82)-$B82))</f>
        <v>0</v>
      </c>
      <c r="E82" s="5">
        <f>IF($B82 &lt;= 0, 0, -ROUND($B82 * (InterestRate / PaymentsPerYear), 2))</f>
        <v>0</v>
      </c>
      <c r="F82" s="5">
        <f>ROUND(IFERROR(IF(OR($B82 &lt;=0, $B82 = ExtraPayment),0,
MAX(-$B82, -(-PMT(InterestRate/PaymentsPerYear,LoanTerm*PaymentsPerYear,LoanAmount) + $E82))), 0), 2)</f>
        <v>0</v>
      </c>
      <c r="G82" s="5">
        <f t="shared" si="6"/>
        <v>0</v>
      </c>
      <c r="H82" s="5">
        <f t="shared" si="7"/>
        <v>0</v>
      </c>
    </row>
    <row r="83" spans="1:8" x14ac:dyDescent="0.2">
      <c r="A83" s="2">
        <v>82</v>
      </c>
      <c r="B83" s="5">
        <f t="shared" si="4"/>
        <v>0</v>
      </c>
      <c r="C83" s="5">
        <f t="shared" si="5"/>
        <v>0</v>
      </c>
      <c r="D83" s="5">
        <f>IF(ExtraPayment=0, 0, IF(AND($B83&lt;&gt;0,ExtraPayment&lt;=$B83),-ExtraPayment,-($F83)-$B83))</f>
        <v>0</v>
      </c>
      <c r="E83" s="5">
        <f>IF($B83 &lt;= 0, 0, -ROUND($B83 * (InterestRate / PaymentsPerYear), 2))</f>
        <v>0</v>
      </c>
      <c r="F83" s="5">
        <f>ROUND(IFERROR(IF(OR($B83 &lt;=0, $B83 = ExtraPayment),0,
MAX(-$B83, -(-PMT(InterestRate/PaymentsPerYear,LoanTerm*PaymentsPerYear,LoanAmount) + $E83))), 0), 2)</f>
        <v>0</v>
      </c>
      <c r="G83" s="5">
        <f t="shared" si="6"/>
        <v>0</v>
      </c>
      <c r="H83" s="5">
        <f t="shared" si="7"/>
        <v>0</v>
      </c>
    </row>
    <row r="84" spans="1:8" x14ac:dyDescent="0.2">
      <c r="A84" s="2">
        <v>83</v>
      </c>
      <c r="B84" s="5">
        <f t="shared" si="4"/>
        <v>0</v>
      </c>
      <c r="C84" s="5">
        <f t="shared" si="5"/>
        <v>0</v>
      </c>
      <c r="D84" s="5">
        <f>IF(ExtraPayment=0, 0, IF(AND($B84&lt;&gt;0,ExtraPayment&lt;=$B84),-ExtraPayment,-($F84)-$B84))</f>
        <v>0</v>
      </c>
      <c r="E84" s="5">
        <f>IF($B84 &lt;= 0, 0, -ROUND($B84 * (InterestRate / PaymentsPerYear), 2))</f>
        <v>0</v>
      </c>
      <c r="F84" s="5">
        <f>ROUND(IFERROR(IF(OR($B84 &lt;=0, $B84 = ExtraPayment),0,
MAX(-$B84, -(-PMT(InterestRate/PaymentsPerYear,LoanTerm*PaymentsPerYear,LoanAmount) + $E84))), 0), 2)</f>
        <v>0</v>
      </c>
      <c r="G84" s="5">
        <f t="shared" si="6"/>
        <v>0</v>
      </c>
      <c r="H84" s="5">
        <f t="shared" si="7"/>
        <v>0</v>
      </c>
    </row>
    <row r="85" spans="1:8" x14ac:dyDescent="0.2">
      <c r="A85" s="2">
        <v>84</v>
      </c>
      <c r="B85" s="5">
        <f t="shared" si="4"/>
        <v>0</v>
      </c>
      <c r="C85" s="5">
        <f t="shared" si="5"/>
        <v>0</v>
      </c>
      <c r="D85" s="5">
        <f>IF(ExtraPayment=0, 0, IF(AND($B85&lt;&gt;0,ExtraPayment&lt;=$B85),-ExtraPayment,-($F85)-$B85))</f>
        <v>0</v>
      </c>
      <c r="E85" s="5">
        <f>IF($B85 &lt;= 0, 0, -ROUND($B85 * (InterestRate / PaymentsPerYear), 2))</f>
        <v>0</v>
      </c>
      <c r="F85" s="5">
        <f>ROUND(IFERROR(IF(OR($B85 &lt;=0, $B85 = ExtraPayment),0,
MAX(-$B85, -(-PMT(InterestRate/PaymentsPerYear,LoanTerm*PaymentsPerYear,LoanAmount) + $E85))), 0), 2)</f>
        <v>0</v>
      </c>
      <c r="G85" s="5">
        <f t="shared" si="6"/>
        <v>0</v>
      </c>
      <c r="H85" s="5">
        <f t="shared" si="7"/>
        <v>0</v>
      </c>
    </row>
    <row r="86" spans="1:8" x14ac:dyDescent="0.2">
      <c r="A86" s="2">
        <v>85</v>
      </c>
      <c r="B86" s="5">
        <f t="shared" si="4"/>
        <v>0</v>
      </c>
      <c r="C86" s="5">
        <f t="shared" si="5"/>
        <v>0</v>
      </c>
      <c r="D86" s="5">
        <f>IF(ExtraPayment=0, 0, IF(AND($B86&lt;&gt;0,ExtraPayment&lt;=$B86),-ExtraPayment,-($F86)-$B86))</f>
        <v>0</v>
      </c>
      <c r="E86" s="5">
        <f>IF($B86 &lt;= 0, 0, -ROUND($B86 * (InterestRate / PaymentsPerYear), 2))</f>
        <v>0</v>
      </c>
      <c r="F86" s="5">
        <f>ROUND(IFERROR(IF(OR($B86 &lt;=0, $B86 = ExtraPayment),0,
MAX(-$B86, -(-PMT(InterestRate/PaymentsPerYear,LoanTerm*PaymentsPerYear,LoanAmount) + $E86))), 0), 2)</f>
        <v>0</v>
      </c>
      <c r="G86" s="5">
        <f t="shared" si="6"/>
        <v>0</v>
      </c>
      <c r="H86" s="5">
        <f t="shared" si="7"/>
        <v>0</v>
      </c>
    </row>
    <row r="87" spans="1:8" x14ac:dyDescent="0.2">
      <c r="A87" s="2">
        <v>86</v>
      </c>
      <c r="B87" s="5">
        <f t="shared" si="4"/>
        <v>0</v>
      </c>
      <c r="C87" s="5">
        <f t="shared" si="5"/>
        <v>0</v>
      </c>
      <c r="D87" s="5">
        <f>IF(ExtraPayment=0, 0, IF(AND($B87&lt;&gt;0,ExtraPayment&lt;=$B87),-ExtraPayment,-($F87)-$B87))</f>
        <v>0</v>
      </c>
      <c r="E87" s="5">
        <f>IF($B87 &lt;= 0, 0, -ROUND($B87 * (InterestRate / PaymentsPerYear), 2))</f>
        <v>0</v>
      </c>
      <c r="F87" s="5">
        <f>ROUND(IFERROR(IF(OR($B87 &lt;=0, $B87 = ExtraPayment),0,
MAX(-$B87, -(-PMT(InterestRate/PaymentsPerYear,LoanTerm*PaymentsPerYear,LoanAmount) + $E87))), 0), 2)</f>
        <v>0</v>
      </c>
      <c r="G87" s="5">
        <f t="shared" si="6"/>
        <v>0</v>
      </c>
      <c r="H87" s="5">
        <f t="shared" si="7"/>
        <v>0</v>
      </c>
    </row>
    <row r="88" spans="1:8" x14ac:dyDescent="0.2">
      <c r="A88" s="2">
        <v>87</v>
      </c>
      <c r="B88" s="5">
        <f t="shared" si="4"/>
        <v>0</v>
      </c>
      <c r="C88" s="5">
        <f t="shared" si="5"/>
        <v>0</v>
      </c>
      <c r="D88" s="5">
        <f>IF(ExtraPayment=0, 0, IF(AND($B88&lt;&gt;0,ExtraPayment&lt;=$B88),-ExtraPayment,-($F88)-$B88))</f>
        <v>0</v>
      </c>
      <c r="E88" s="5">
        <f>IF($B88 &lt;= 0, 0, -ROUND($B88 * (InterestRate / PaymentsPerYear), 2))</f>
        <v>0</v>
      </c>
      <c r="F88" s="5">
        <f>ROUND(IFERROR(IF(OR($B88 &lt;=0, $B88 = ExtraPayment),0,
MAX(-$B88, -(-PMT(InterestRate/PaymentsPerYear,LoanTerm*PaymentsPerYear,LoanAmount) + $E88))), 0), 2)</f>
        <v>0</v>
      </c>
      <c r="G88" s="5">
        <f t="shared" si="6"/>
        <v>0</v>
      </c>
      <c r="H88" s="5">
        <f t="shared" si="7"/>
        <v>0</v>
      </c>
    </row>
    <row r="89" spans="1:8" x14ac:dyDescent="0.2">
      <c r="A89" s="2">
        <v>88</v>
      </c>
      <c r="B89" s="5">
        <f t="shared" si="4"/>
        <v>0</v>
      </c>
      <c r="C89" s="5">
        <f t="shared" si="5"/>
        <v>0</v>
      </c>
      <c r="D89" s="5">
        <f>IF(ExtraPayment=0, 0, IF(AND($B89&lt;&gt;0,ExtraPayment&lt;=$B89),-ExtraPayment,-($F89)-$B89))</f>
        <v>0</v>
      </c>
      <c r="E89" s="5">
        <f>IF($B89 &lt;= 0, 0, -ROUND($B89 * (InterestRate / PaymentsPerYear), 2))</f>
        <v>0</v>
      </c>
      <c r="F89" s="5">
        <f>ROUND(IFERROR(IF(OR($B89 &lt;=0, $B89 = ExtraPayment),0,
MAX(-$B89, -(-PMT(InterestRate/PaymentsPerYear,LoanTerm*PaymentsPerYear,LoanAmount) + $E89))), 0), 2)</f>
        <v>0</v>
      </c>
      <c r="G89" s="5">
        <f t="shared" si="6"/>
        <v>0</v>
      </c>
      <c r="H89" s="5">
        <f t="shared" si="7"/>
        <v>0</v>
      </c>
    </row>
    <row r="90" spans="1:8" x14ac:dyDescent="0.2">
      <c r="A90" s="2">
        <v>89</v>
      </c>
      <c r="B90" s="5">
        <f t="shared" si="4"/>
        <v>0</v>
      </c>
      <c r="C90" s="5">
        <f t="shared" si="5"/>
        <v>0</v>
      </c>
      <c r="D90" s="5">
        <f>IF(ExtraPayment=0, 0, IF(AND($B90&lt;&gt;0,ExtraPayment&lt;=$B90),-ExtraPayment,-($F90)-$B90))</f>
        <v>0</v>
      </c>
      <c r="E90" s="5">
        <f>IF($B90 &lt;= 0, 0, -ROUND($B90 * (InterestRate / PaymentsPerYear), 2))</f>
        <v>0</v>
      </c>
      <c r="F90" s="5">
        <f>ROUND(IFERROR(IF(OR($B90 &lt;=0, $B90 = ExtraPayment),0,
MAX(-$B90, -(-PMT(InterestRate/PaymentsPerYear,LoanTerm*PaymentsPerYear,LoanAmount) + $E90))), 0), 2)</f>
        <v>0</v>
      </c>
      <c r="G90" s="5">
        <f t="shared" si="6"/>
        <v>0</v>
      </c>
      <c r="H90" s="5">
        <f t="shared" si="7"/>
        <v>0</v>
      </c>
    </row>
    <row r="91" spans="1:8" x14ac:dyDescent="0.2">
      <c r="A91" s="2">
        <v>90</v>
      </c>
      <c r="B91" s="5">
        <f t="shared" si="4"/>
        <v>0</v>
      </c>
      <c r="C91" s="5">
        <f t="shared" si="5"/>
        <v>0</v>
      </c>
      <c r="D91" s="5">
        <f>IF(ExtraPayment=0, 0, IF(AND($B91&lt;&gt;0,ExtraPayment&lt;=$B91),-ExtraPayment,-($F91)-$B91))</f>
        <v>0</v>
      </c>
      <c r="E91" s="5">
        <f>IF($B91 &lt;= 0, 0, -ROUND($B91 * (InterestRate / PaymentsPerYear), 2))</f>
        <v>0</v>
      </c>
      <c r="F91" s="5">
        <f>ROUND(IFERROR(IF(OR($B91 &lt;=0, $B91 = ExtraPayment),0,
MAX(-$B91, -(-PMT(InterestRate/PaymentsPerYear,LoanTerm*PaymentsPerYear,LoanAmount) + $E91))), 0), 2)</f>
        <v>0</v>
      </c>
      <c r="G91" s="5">
        <f t="shared" si="6"/>
        <v>0</v>
      </c>
      <c r="H91" s="5">
        <f t="shared" si="7"/>
        <v>0</v>
      </c>
    </row>
    <row r="92" spans="1:8" x14ac:dyDescent="0.2">
      <c r="A92" s="2">
        <v>91</v>
      </c>
      <c r="B92" s="5">
        <f t="shared" si="4"/>
        <v>0</v>
      </c>
      <c r="C92" s="5">
        <f t="shared" si="5"/>
        <v>0</v>
      </c>
      <c r="D92" s="5">
        <f>IF(ExtraPayment=0, 0, IF(AND($B92&lt;&gt;0,ExtraPayment&lt;=$B92),-ExtraPayment,-($F92)-$B92))</f>
        <v>0</v>
      </c>
      <c r="E92" s="5">
        <f>IF($B92 &lt;= 0, 0, -ROUND($B92 * (InterestRate / PaymentsPerYear), 2))</f>
        <v>0</v>
      </c>
      <c r="F92" s="5">
        <f>ROUND(IFERROR(IF(OR($B92 &lt;=0, $B92 = ExtraPayment),0,
MAX(-$B92, -(-PMT(InterestRate/PaymentsPerYear,LoanTerm*PaymentsPerYear,LoanAmount) + $E92))), 0), 2)</f>
        <v>0</v>
      </c>
      <c r="G92" s="5">
        <f t="shared" si="6"/>
        <v>0</v>
      </c>
      <c r="H92" s="5">
        <f t="shared" si="7"/>
        <v>0</v>
      </c>
    </row>
    <row r="93" spans="1:8" x14ac:dyDescent="0.2">
      <c r="A93" s="2">
        <v>92</v>
      </c>
      <c r="B93" s="5">
        <f t="shared" si="4"/>
        <v>0</v>
      </c>
      <c r="C93" s="5">
        <f t="shared" si="5"/>
        <v>0</v>
      </c>
      <c r="D93" s="5">
        <f>IF(ExtraPayment=0, 0, IF(AND($B93&lt;&gt;0,ExtraPayment&lt;=$B93),-ExtraPayment,-($F93)-$B93))</f>
        <v>0</v>
      </c>
      <c r="E93" s="5">
        <f>IF($B93 &lt;= 0, 0, -ROUND($B93 * (InterestRate / PaymentsPerYear), 2))</f>
        <v>0</v>
      </c>
      <c r="F93" s="5">
        <f>ROUND(IFERROR(IF(OR($B93 &lt;=0, $B93 = ExtraPayment),0,
MAX(-$B93, -(-PMT(InterestRate/PaymentsPerYear,LoanTerm*PaymentsPerYear,LoanAmount) + $E93))), 0), 2)</f>
        <v>0</v>
      </c>
      <c r="G93" s="5">
        <f t="shared" si="6"/>
        <v>0</v>
      </c>
      <c r="H93" s="5">
        <f t="shared" si="7"/>
        <v>0</v>
      </c>
    </row>
    <row r="94" spans="1:8" x14ac:dyDescent="0.2">
      <c r="A94" s="2">
        <v>93</v>
      </c>
      <c r="B94" s="5">
        <f t="shared" si="4"/>
        <v>0</v>
      </c>
      <c r="C94" s="5">
        <f t="shared" si="5"/>
        <v>0</v>
      </c>
      <c r="D94" s="5">
        <f>IF(ExtraPayment=0, 0, IF(AND($B94&lt;&gt;0,ExtraPayment&lt;=$B94),-ExtraPayment,-($F94)-$B94))</f>
        <v>0</v>
      </c>
      <c r="E94" s="5">
        <f>IF($B94 &lt;= 0, 0, -ROUND($B94 * (InterestRate / PaymentsPerYear), 2))</f>
        <v>0</v>
      </c>
      <c r="F94" s="5">
        <f>ROUND(IFERROR(IF(OR($B94 &lt;=0, $B94 = ExtraPayment),0,
MAX(-$B94, -(-PMT(InterestRate/PaymentsPerYear,LoanTerm*PaymentsPerYear,LoanAmount) + $E94))), 0), 2)</f>
        <v>0</v>
      </c>
      <c r="G94" s="5">
        <f t="shared" si="6"/>
        <v>0</v>
      </c>
      <c r="H94" s="5">
        <f t="shared" si="7"/>
        <v>0</v>
      </c>
    </row>
    <row r="95" spans="1:8" x14ac:dyDescent="0.2">
      <c r="A95" s="2">
        <v>94</v>
      </c>
      <c r="B95" s="5">
        <f t="shared" si="4"/>
        <v>0</v>
      </c>
      <c r="C95" s="5">
        <f t="shared" si="5"/>
        <v>0</v>
      </c>
      <c r="D95" s="5">
        <f>IF(ExtraPayment=0, 0, IF(AND($B95&lt;&gt;0,ExtraPayment&lt;=$B95),-ExtraPayment,-($F95)-$B95))</f>
        <v>0</v>
      </c>
      <c r="E95" s="5">
        <f>IF($B95 &lt;= 0, 0, -ROUND($B95 * (InterestRate / PaymentsPerYear), 2))</f>
        <v>0</v>
      </c>
      <c r="F95" s="5">
        <f>ROUND(IFERROR(IF(OR($B95 &lt;=0, $B95 = ExtraPayment),0,
MAX(-$B95, -(-PMT(InterestRate/PaymentsPerYear,LoanTerm*PaymentsPerYear,LoanAmount) + $E95))), 0), 2)</f>
        <v>0</v>
      </c>
      <c r="G95" s="5">
        <f t="shared" si="6"/>
        <v>0</v>
      </c>
      <c r="H95" s="5">
        <f t="shared" si="7"/>
        <v>0</v>
      </c>
    </row>
    <row r="96" spans="1:8" x14ac:dyDescent="0.2">
      <c r="A96" s="2">
        <v>95</v>
      </c>
      <c r="B96" s="5">
        <f t="shared" si="4"/>
        <v>0</v>
      </c>
      <c r="C96" s="5">
        <f t="shared" si="5"/>
        <v>0</v>
      </c>
      <c r="D96" s="5">
        <f>IF(ExtraPayment=0, 0, IF(AND($B96&lt;&gt;0,ExtraPayment&lt;=$B96),-ExtraPayment,-($F96)-$B96))</f>
        <v>0</v>
      </c>
      <c r="E96" s="5">
        <f>IF($B96 &lt;= 0, 0, -ROUND($B96 * (InterestRate / PaymentsPerYear), 2))</f>
        <v>0</v>
      </c>
      <c r="F96" s="5">
        <f>ROUND(IFERROR(IF(OR($B96 &lt;=0, $B96 = ExtraPayment),0,
MAX(-$B96, -(-PMT(InterestRate/PaymentsPerYear,LoanTerm*PaymentsPerYear,LoanAmount) + $E96))), 0), 2)</f>
        <v>0</v>
      </c>
      <c r="G96" s="5">
        <f t="shared" si="6"/>
        <v>0</v>
      </c>
      <c r="H96" s="5">
        <f t="shared" si="7"/>
        <v>0</v>
      </c>
    </row>
    <row r="97" spans="1:8" x14ac:dyDescent="0.2">
      <c r="A97" s="2">
        <v>96</v>
      </c>
      <c r="B97" s="5">
        <f t="shared" si="4"/>
        <v>0</v>
      </c>
      <c r="C97" s="5">
        <f t="shared" si="5"/>
        <v>0</v>
      </c>
      <c r="D97" s="5">
        <f>IF(ExtraPayment=0, 0, IF(AND($B97&lt;&gt;0,ExtraPayment&lt;=$B97),-ExtraPayment,-($F97)-$B97))</f>
        <v>0</v>
      </c>
      <c r="E97" s="5">
        <f>IF($B97 &lt;= 0, 0, -ROUND($B97 * (InterestRate / PaymentsPerYear), 2))</f>
        <v>0</v>
      </c>
      <c r="F97" s="5">
        <f>ROUND(IFERROR(IF(OR($B97 &lt;=0, $B97 = ExtraPayment),0,
MAX(-$B97, -(-PMT(InterestRate/PaymentsPerYear,LoanTerm*PaymentsPerYear,LoanAmount) + $E97))), 0), 2)</f>
        <v>0</v>
      </c>
      <c r="G97" s="5">
        <f t="shared" si="6"/>
        <v>0</v>
      </c>
      <c r="H97" s="5">
        <f t="shared" si="7"/>
        <v>0</v>
      </c>
    </row>
    <row r="98" spans="1:8" x14ac:dyDescent="0.2">
      <c r="A98" s="2">
        <v>97</v>
      </c>
      <c r="B98" s="5">
        <f t="shared" si="4"/>
        <v>0</v>
      </c>
      <c r="C98" s="5">
        <f t="shared" si="5"/>
        <v>0</v>
      </c>
      <c r="D98" s="5">
        <f>IF(ExtraPayment=0, 0, IF(AND($B98&lt;&gt;0,ExtraPayment&lt;=$B98),-ExtraPayment,-($F98)-$B98))</f>
        <v>0</v>
      </c>
      <c r="E98" s="5">
        <f>IF($B98 &lt;= 0, 0, -ROUND($B98 * (InterestRate / PaymentsPerYear), 2))</f>
        <v>0</v>
      </c>
      <c r="F98" s="5">
        <f>ROUND(IFERROR(IF(OR($B98 &lt;=0, $B98 = ExtraPayment),0,
MAX(-$B98, -(-PMT(InterestRate/PaymentsPerYear,LoanTerm*PaymentsPerYear,LoanAmount) + $E98))), 0), 2)</f>
        <v>0</v>
      </c>
      <c r="G98" s="5">
        <f t="shared" si="6"/>
        <v>0</v>
      </c>
      <c r="H98" s="5">
        <f t="shared" si="7"/>
        <v>0</v>
      </c>
    </row>
    <row r="99" spans="1:8" x14ac:dyDescent="0.2">
      <c r="A99" s="2">
        <v>98</v>
      </c>
      <c r="B99" s="5">
        <f t="shared" si="4"/>
        <v>0</v>
      </c>
      <c r="C99" s="5">
        <f t="shared" si="5"/>
        <v>0</v>
      </c>
      <c r="D99" s="5">
        <f>IF(ExtraPayment=0, 0, IF(AND($B99&lt;&gt;0,ExtraPayment&lt;=$B99),-ExtraPayment,-($F99)-$B99))</f>
        <v>0</v>
      </c>
      <c r="E99" s="5">
        <f>IF($B99 &lt;= 0, 0, -ROUND($B99 * (InterestRate / PaymentsPerYear), 2))</f>
        <v>0</v>
      </c>
      <c r="F99" s="5">
        <f>ROUND(IFERROR(IF(OR($B99 &lt;=0, $B99 = ExtraPayment),0,
MAX(-$B99, -(-PMT(InterestRate/PaymentsPerYear,LoanTerm*PaymentsPerYear,LoanAmount) + $E99))), 0), 2)</f>
        <v>0</v>
      </c>
      <c r="G99" s="5">
        <f t="shared" si="6"/>
        <v>0</v>
      </c>
      <c r="H99" s="5">
        <f t="shared" si="7"/>
        <v>0</v>
      </c>
    </row>
    <row r="100" spans="1:8" x14ac:dyDescent="0.2">
      <c r="A100" s="2">
        <v>99</v>
      </c>
      <c r="B100" s="5">
        <f t="shared" si="4"/>
        <v>0</v>
      </c>
      <c r="C100" s="5">
        <f t="shared" si="5"/>
        <v>0</v>
      </c>
      <c r="D100" s="5">
        <f>IF(ExtraPayment=0, 0, IF(AND($B100&lt;&gt;0,ExtraPayment&lt;=$B100),-ExtraPayment,-($F100)-$B100))</f>
        <v>0</v>
      </c>
      <c r="E100" s="5">
        <f>IF($B100 &lt;= 0, 0, -ROUND($B100 * (InterestRate / PaymentsPerYear), 2))</f>
        <v>0</v>
      </c>
      <c r="F100" s="5">
        <f>ROUND(IFERROR(IF(OR($B100 &lt;=0, $B100 = ExtraPayment),0,
MAX(-$B100, -(-PMT(InterestRate/PaymentsPerYear,LoanTerm*PaymentsPerYear,LoanAmount) + $E100))), 0), 2)</f>
        <v>0</v>
      </c>
      <c r="G100" s="5">
        <f t="shared" si="6"/>
        <v>0</v>
      </c>
      <c r="H100" s="5">
        <f t="shared" si="7"/>
        <v>0</v>
      </c>
    </row>
    <row r="101" spans="1:8" x14ac:dyDescent="0.2">
      <c r="A101" s="2">
        <v>100</v>
      </c>
      <c r="B101" s="5">
        <f t="shared" si="4"/>
        <v>0</v>
      </c>
      <c r="C101" s="5">
        <f t="shared" si="5"/>
        <v>0</v>
      </c>
      <c r="D101" s="5">
        <f>IF(ExtraPayment=0, 0, IF(AND($B101&lt;&gt;0,ExtraPayment&lt;=$B101),-ExtraPayment,-($F101)-$B101))</f>
        <v>0</v>
      </c>
      <c r="E101" s="5">
        <f>IF($B101 &lt;= 0, 0, -ROUND($B101 * (InterestRate / PaymentsPerYear), 2))</f>
        <v>0</v>
      </c>
      <c r="F101" s="5">
        <f>ROUND(IFERROR(IF(OR($B101 &lt;=0, $B101 = ExtraPayment),0,
MAX(-$B101, -(-PMT(InterestRate/PaymentsPerYear,LoanTerm*PaymentsPerYear,LoanAmount) + $E101))), 0), 2)</f>
        <v>0</v>
      </c>
      <c r="G101" s="5">
        <f t="shared" si="6"/>
        <v>0</v>
      </c>
      <c r="H101" s="5">
        <f t="shared" si="7"/>
        <v>0</v>
      </c>
    </row>
    <row r="102" spans="1:8" x14ac:dyDescent="0.2">
      <c r="A102" s="2">
        <v>101</v>
      </c>
      <c r="B102" s="5">
        <f t="shared" si="4"/>
        <v>0</v>
      </c>
      <c r="C102" s="5">
        <f t="shared" si="5"/>
        <v>0</v>
      </c>
      <c r="D102" s="5">
        <f>IF(ExtraPayment=0, 0, IF(AND($B102&lt;&gt;0,ExtraPayment&lt;=$B102),-ExtraPayment,-($F102)-$B102))</f>
        <v>0</v>
      </c>
      <c r="E102" s="5">
        <f>IF($B102 &lt;= 0, 0, -ROUND($B102 * (InterestRate / PaymentsPerYear), 2))</f>
        <v>0</v>
      </c>
      <c r="F102" s="5">
        <f>ROUND(IFERROR(IF(OR($B102 &lt;=0, $B102 = ExtraPayment),0,
MAX(-$B102, -(-PMT(InterestRate/PaymentsPerYear,LoanTerm*PaymentsPerYear,LoanAmount) + $E102))), 0), 2)</f>
        <v>0</v>
      </c>
      <c r="G102" s="5">
        <f t="shared" si="6"/>
        <v>0</v>
      </c>
      <c r="H102" s="5">
        <f t="shared" si="7"/>
        <v>0</v>
      </c>
    </row>
    <row r="103" spans="1:8" x14ac:dyDescent="0.2">
      <c r="A103" s="2">
        <v>102</v>
      </c>
      <c r="B103" s="5">
        <f t="shared" si="4"/>
        <v>0</v>
      </c>
      <c r="C103" s="5">
        <f t="shared" si="5"/>
        <v>0</v>
      </c>
      <c r="D103" s="5">
        <f>IF(ExtraPayment=0, 0, IF(AND($B103&lt;&gt;0,ExtraPayment&lt;=$B103),-ExtraPayment,-($F103)-$B103))</f>
        <v>0</v>
      </c>
      <c r="E103" s="5">
        <f>IF($B103 &lt;= 0, 0, -ROUND($B103 * (InterestRate / PaymentsPerYear), 2))</f>
        <v>0</v>
      </c>
      <c r="F103" s="5">
        <f>ROUND(IFERROR(IF(OR($B103 &lt;=0, $B103 = ExtraPayment),0,
MAX(-$B103, -(-PMT(InterestRate/PaymentsPerYear,LoanTerm*PaymentsPerYear,LoanAmount) + $E103))), 0), 2)</f>
        <v>0</v>
      </c>
      <c r="G103" s="5">
        <f t="shared" si="6"/>
        <v>0</v>
      </c>
      <c r="H103" s="5">
        <f t="shared" si="7"/>
        <v>0</v>
      </c>
    </row>
    <row r="104" spans="1:8" x14ac:dyDescent="0.2">
      <c r="A104" s="2">
        <v>103</v>
      </c>
      <c r="B104" s="5">
        <f t="shared" si="4"/>
        <v>0</v>
      </c>
      <c r="C104" s="5">
        <f t="shared" si="5"/>
        <v>0</v>
      </c>
      <c r="D104" s="5">
        <f>IF(ExtraPayment=0, 0, IF(AND($B104&lt;&gt;0,ExtraPayment&lt;=$B104),-ExtraPayment,-($F104)-$B104))</f>
        <v>0</v>
      </c>
      <c r="E104" s="5">
        <f>IF($B104 &lt;= 0, 0, -ROUND($B104 * (InterestRate / PaymentsPerYear), 2))</f>
        <v>0</v>
      </c>
      <c r="F104" s="5">
        <f>ROUND(IFERROR(IF(OR($B104 &lt;=0, $B104 = ExtraPayment),0,
MAX(-$B104, -(-PMT(InterestRate/PaymentsPerYear,LoanTerm*PaymentsPerYear,LoanAmount) + $E104))), 0), 2)</f>
        <v>0</v>
      </c>
      <c r="G104" s="5">
        <f t="shared" si="6"/>
        <v>0</v>
      </c>
      <c r="H104" s="5">
        <f t="shared" si="7"/>
        <v>0</v>
      </c>
    </row>
    <row r="105" spans="1:8" x14ac:dyDescent="0.2">
      <c r="A105" s="2">
        <v>104</v>
      </c>
      <c r="B105" s="5">
        <f t="shared" si="4"/>
        <v>0</v>
      </c>
      <c r="C105" s="5">
        <f t="shared" si="5"/>
        <v>0</v>
      </c>
      <c r="D105" s="5">
        <f>IF(ExtraPayment=0, 0, IF(AND($B105&lt;&gt;0,ExtraPayment&lt;=$B105),-ExtraPayment,-($F105)-$B105))</f>
        <v>0</v>
      </c>
      <c r="E105" s="5">
        <f>IF($B105 &lt;= 0, 0, -ROUND($B105 * (InterestRate / PaymentsPerYear), 2))</f>
        <v>0</v>
      </c>
      <c r="F105" s="5">
        <f>ROUND(IFERROR(IF(OR($B105 &lt;=0, $B105 = ExtraPayment),0,
MAX(-$B105, -(-PMT(InterestRate/PaymentsPerYear,LoanTerm*PaymentsPerYear,LoanAmount) + $E105))), 0), 2)</f>
        <v>0</v>
      </c>
      <c r="G105" s="5">
        <f t="shared" si="6"/>
        <v>0</v>
      </c>
      <c r="H105" s="5">
        <f t="shared" si="7"/>
        <v>0</v>
      </c>
    </row>
    <row r="106" spans="1:8" x14ac:dyDescent="0.2">
      <c r="A106" s="2">
        <v>105</v>
      </c>
      <c r="B106" s="5">
        <f t="shared" si="4"/>
        <v>0</v>
      </c>
      <c r="C106" s="5">
        <f t="shared" si="5"/>
        <v>0</v>
      </c>
      <c r="D106" s="5">
        <f>IF(ExtraPayment=0, 0, IF(AND($B106&lt;&gt;0,ExtraPayment&lt;=$B106),-ExtraPayment,-($F106)-$B106))</f>
        <v>0</v>
      </c>
      <c r="E106" s="5">
        <f>IF($B106 &lt;= 0, 0, -ROUND($B106 * (InterestRate / PaymentsPerYear), 2))</f>
        <v>0</v>
      </c>
      <c r="F106" s="5">
        <f>ROUND(IFERROR(IF(OR($B106 &lt;=0, $B106 = ExtraPayment),0,
MAX(-$B106, -(-PMT(InterestRate/PaymentsPerYear,LoanTerm*PaymentsPerYear,LoanAmount) + $E106))), 0), 2)</f>
        <v>0</v>
      </c>
      <c r="G106" s="5">
        <f t="shared" si="6"/>
        <v>0</v>
      </c>
      <c r="H106" s="5">
        <f t="shared" si="7"/>
        <v>0</v>
      </c>
    </row>
    <row r="107" spans="1:8" x14ac:dyDescent="0.2">
      <c r="A107" s="2">
        <v>106</v>
      </c>
      <c r="B107" s="5">
        <f t="shared" si="4"/>
        <v>0</v>
      </c>
      <c r="C107" s="5">
        <f t="shared" si="5"/>
        <v>0</v>
      </c>
      <c r="D107" s="5">
        <f>IF(ExtraPayment=0, 0, IF(AND($B107&lt;&gt;0,ExtraPayment&lt;=$B107),-ExtraPayment,-($F107)-$B107))</f>
        <v>0</v>
      </c>
      <c r="E107" s="5">
        <f>IF($B107 &lt;= 0, 0, -ROUND($B107 * (InterestRate / PaymentsPerYear), 2))</f>
        <v>0</v>
      </c>
      <c r="F107" s="5">
        <f>ROUND(IFERROR(IF(OR($B107 &lt;=0, $B107 = ExtraPayment),0,
MAX(-$B107, -(-PMT(InterestRate/PaymentsPerYear,LoanTerm*PaymentsPerYear,LoanAmount) + $E107))), 0), 2)</f>
        <v>0</v>
      </c>
      <c r="G107" s="5">
        <f t="shared" si="6"/>
        <v>0</v>
      </c>
      <c r="H107" s="5">
        <f t="shared" si="7"/>
        <v>0</v>
      </c>
    </row>
    <row r="108" spans="1:8" x14ac:dyDescent="0.2">
      <c r="A108" s="2">
        <v>107</v>
      </c>
      <c r="B108" s="5">
        <f t="shared" si="4"/>
        <v>0</v>
      </c>
      <c r="C108" s="5">
        <f t="shared" si="5"/>
        <v>0</v>
      </c>
      <c r="D108" s="5">
        <f>IF(ExtraPayment=0, 0, IF(AND($B108&lt;&gt;0,ExtraPayment&lt;=$B108),-ExtraPayment,-($F108)-$B108))</f>
        <v>0</v>
      </c>
      <c r="E108" s="5">
        <f>IF($B108 &lt;= 0, 0, -ROUND($B108 * (InterestRate / PaymentsPerYear), 2))</f>
        <v>0</v>
      </c>
      <c r="F108" s="5">
        <f>ROUND(IFERROR(IF(OR($B108 &lt;=0, $B108 = ExtraPayment),0,
MAX(-$B108, -(-PMT(InterestRate/PaymentsPerYear,LoanTerm*PaymentsPerYear,LoanAmount) + $E108))), 0), 2)</f>
        <v>0</v>
      </c>
      <c r="G108" s="5">
        <f t="shared" si="6"/>
        <v>0</v>
      </c>
      <c r="H108" s="5">
        <f t="shared" si="7"/>
        <v>0</v>
      </c>
    </row>
    <row r="109" spans="1:8" x14ac:dyDescent="0.2">
      <c r="A109" s="2">
        <v>108</v>
      </c>
      <c r="B109" s="5">
        <f t="shared" si="4"/>
        <v>0</v>
      </c>
      <c r="C109" s="5">
        <f t="shared" si="5"/>
        <v>0</v>
      </c>
      <c r="D109" s="5">
        <f>IF(ExtraPayment=0, 0, IF(AND($B109&lt;&gt;0,ExtraPayment&lt;=$B109),-ExtraPayment,-($F109)-$B109))</f>
        <v>0</v>
      </c>
      <c r="E109" s="5">
        <f>IF($B109 &lt;= 0, 0, -ROUND($B109 * (InterestRate / PaymentsPerYear), 2))</f>
        <v>0</v>
      </c>
      <c r="F109" s="5">
        <f>ROUND(IFERROR(IF(OR($B109 &lt;=0, $B109 = ExtraPayment),0,
MAX(-$B109, -(-PMT(InterestRate/PaymentsPerYear,LoanTerm*PaymentsPerYear,LoanAmount) + $E109))), 0), 2)</f>
        <v>0</v>
      </c>
      <c r="G109" s="5">
        <f t="shared" si="6"/>
        <v>0</v>
      </c>
      <c r="H109" s="5">
        <f t="shared" si="7"/>
        <v>0</v>
      </c>
    </row>
    <row r="110" spans="1:8" x14ac:dyDescent="0.2">
      <c r="A110" s="2">
        <v>109</v>
      </c>
      <c r="B110" s="5">
        <f t="shared" si="4"/>
        <v>0</v>
      </c>
      <c r="C110" s="5">
        <f t="shared" si="5"/>
        <v>0</v>
      </c>
      <c r="D110" s="5">
        <f>IF(ExtraPayment=0, 0, IF(AND($B110&lt;&gt;0,ExtraPayment&lt;=$B110),-ExtraPayment,-($F110)-$B110))</f>
        <v>0</v>
      </c>
      <c r="E110" s="5">
        <f>IF($B110 &lt;= 0, 0, -ROUND($B110 * (InterestRate / PaymentsPerYear), 2))</f>
        <v>0</v>
      </c>
      <c r="F110" s="5">
        <f>ROUND(IFERROR(IF(OR($B110 &lt;=0, $B110 = ExtraPayment),0,
MAX(-$B110, -(-PMT(InterestRate/PaymentsPerYear,LoanTerm*PaymentsPerYear,LoanAmount) + $E110))), 0), 2)</f>
        <v>0</v>
      </c>
      <c r="G110" s="5">
        <f t="shared" si="6"/>
        <v>0</v>
      </c>
      <c r="H110" s="5">
        <f t="shared" si="7"/>
        <v>0</v>
      </c>
    </row>
    <row r="111" spans="1:8" x14ac:dyDescent="0.2">
      <c r="A111" s="2">
        <v>110</v>
      </c>
      <c r="B111" s="5">
        <f t="shared" si="4"/>
        <v>0</v>
      </c>
      <c r="C111" s="5">
        <f t="shared" si="5"/>
        <v>0</v>
      </c>
      <c r="D111" s="5">
        <f>IF(ExtraPayment=0, 0, IF(AND($B111&lt;&gt;0,ExtraPayment&lt;=$B111),-ExtraPayment,-($F111)-$B111))</f>
        <v>0</v>
      </c>
      <c r="E111" s="5">
        <f>IF($B111 &lt;= 0, 0, -ROUND($B111 * (InterestRate / PaymentsPerYear), 2))</f>
        <v>0</v>
      </c>
      <c r="F111" s="5">
        <f>ROUND(IFERROR(IF(OR($B111 &lt;=0, $B111 = ExtraPayment),0,
MAX(-$B111, -(-PMT(InterestRate/PaymentsPerYear,LoanTerm*PaymentsPerYear,LoanAmount) + $E111))), 0), 2)</f>
        <v>0</v>
      </c>
      <c r="G111" s="5">
        <f t="shared" si="6"/>
        <v>0</v>
      </c>
      <c r="H111" s="5">
        <f t="shared" si="7"/>
        <v>0</v>
      </c>
    </row>
    <row r="112" spans="1:8" x14ac:dyDescent="0.2">
      <c r="A112" s="2">
        <v>111</v>
      </c>
      <c r="B112" s="5">
        <f t="shared" si="4"/>
        <v>0</v>
      </c>
      <c r="C112" s="5">
        <f t="shared" si="5"/>
        <v>0</v>
      </c>
      <c r="D112" s="5">
        <f>IF(ExtraPayment=0, 0, IF(AND($B112&lt;&gt;0,ExtraPayment&lt;=$B112),-ExtraPayment,-($F112)-$B112))</f>
        <v>0</v>
      </c>
      <c r="E112" s="5">
        <f>IF($B112 &lt;= 0, 0, -ROUND($B112 * (InterestRate / PaymentsPerYear), 2))</f>
        <v>0</v>
      </c>
      <c r="F112" s="5">
        <f>ROUND(IFERROR(IF(OR($B112 &lt;=0, $B112 = ExtraPayment),0,
MAX(-$B112, -(-PMT(InterestRate/PaymentsPerYear,LoanTerm*PaymentsPerYear,LoanAmount) + $E112))), 0), 2)</f>
        <v>0</v>
      </c>
      <c r="G112" s="5">
        <f t="shared" si="6"/>
        <v>0</v>
      </c>
      <c r="H112" s="5">
        <f t="shared" si="7"/>
        <v>0</v>
      </c>
    </row>
    <row r="113" spans="1:8" x14ac:dyDescent="0.2">
      <c r="A113" s="2">
        <v>112</v>
      </c>
      <c r="B113" s="5">
        <f t="shared" si="4"/>
        <v>0</v>
      </c>
      <c r="C113" s="5">
        <f t="shared" si="5"/>
        <v>0</v>
      </c>
      <c r="D113" s="5">
        <f>IF(ExtraPayment=0, 0, IF(AND($B113&lt;&gt;0,ExtraPayment&lt;=$B113),-ExtraPayment,-($F113)-$B113))</f>
        <v>0</v>
      </c>
      <c r="E113" s="5">
        <f>IF($B113 &lt;= 0, 0, -ROUND($B113 * (InterestRate / PaymentsPerYear), 2))</f>
        <v>0</v>
      </c>
      <c r="F113" s="5">
        <f>ROUND(IFERROR(IF(OR($B113 &lt;=0, $B113 = ExtraPayment),0,
MAX(-$B113, -(-PMT(InterestRate/PaymentsPerYear,LoanTerm*PaymentsPerYear,LoanAmount) + $E113))), 0), 2)</f>
        <v>0</v>
      </c>
      <c r="G113" s="5">
        <f t="shared" si="6"/>
        <v>0</v>
      </c>
      <c r="H113" s="5">
        <f t="shared" si="7"/>
        <v>0</v>
      </c>
    </row>
    <row r="114" spans="1:8" x14ac:dyDescent="0.2">
      <c r="A114" s="2">
        <v>113</v>
      </c>
      <c r="B114" s="5">
        <f t="shared" si="4"/>
        <v>0</v>
      </c>
      <c r="C114" s="5">
        <f t="shared" si="5"/>
        <v>0</v>
      </c>
      <c r="D114" s="5">
        <f>IF(ExtraPayment=0, 0, IF(AND($B114&lt;&gt;0,ExtraPayment&lt;=$B114),-ExtraPayment,-($F114)-$B114))</f>
        <v>0</v>
      </c>
      <c r="E114" s="5">
        <f>IF($B114 &lt;= 0, 0, -ROUND($B114 * (InterestRate / PaymentsPerYear), 2))</f>
        <v>0</v>
      </c>
      <c r="F114" s="5">
        <f>ROUND(IFERROR(IF(OR($B114 &lt;=0, $B114 = ExtraPayment),0,
MAX(-$B114, -(-PMT(InterestRate/PaymentsPerYear,LoanTerm*PaymentsPerYear,LoanAmount) + $E114))), 0), 2)</f>
        <v>0</v>
      </c>
      <c r="G114" s="5">
        <f t="shared" si="6"/>
        <v>0</v>
      </c>
      <c r="H114" s="5">
        <f t="shared" si="7"/>
        <v>0</v>
      </c>
    </row>
    <row r="115" spans="1:8" x14ac:dyDescent="0.2">
      <c r="A115" s="2">
        <v>114</v>
      </c>
      <c r="B115" s="5">
        <f t="shared" si="4"/>
        <v>0</v>
      </c>
      <c r="C115" s="5">
        <f t="shared" si="5"/>
        <v>0</v>
      </c>
      <c r="D115" s="5">
        <f>IF(ExtraPayment=0, 0, IF(AND($B115&lt;&gt;0,ExtraPayment&lt;=$B115),-ExtraPayment,-($F115)-$B115))</f>
        <v>0</v>
      </c>
      <c r="E115" s="5">
        <f>IF($B115 &lt;= 0, 0, -ROUND($B115 * (InterestRate / PaymentsPerYear), 2))</f>
        <v>0</v>
      </c>
      <c r="F115" s="5">
        <f>ROUND(IFERROR(IF(OR($B115 &lt;=0, $B115 = ExtraPayment),0,
MAX(-$B115, -(-PMT(InterestRate/PaymentsPerYear,LoanTerm*PaymentsPerYear,LoanAmount) + $E115))), 0), 2)</f>
        <v>0</v>
      </c>
      <c r="G115" s="5">
        <f t="shared" si="6"/>
        <v>0</v>
      </c>
      <c r="H115" s="5">
        <f t="shared" si="7"/>
        <v>0</v>
      </c>
    </row>
    <row r="116" spans="1:8" x14ac:dyDescent="0.2">
      <c r="A116" s="2">
        <v>115</v>
      </c>
      <c r="B116" s="5">
        <f t="shared" si="4"/>
        <v>0</v>
      </c>
      <c r="C116" s="5">
        <f t="shared" si="5"/>
        <v>0</v>
      </c>
      <c r="D116" s="5">
        <f>IF(ExtraPayment=0, 0, IF(AND($B116&lt;&gt;0,ExtraPayment&lt;=$B116),-ExtraPayment,-($F116)-$B116))</f>
        <v>0</v>
      </c>
      <c r="E116" s="5">
        <f>IF($B116 &lt;= 0, 0, -ROUND($B116 * (InterestRate / PaymentsPerYear), 2))</f>
        <v>0</v>
      </c>
      <c r="F116" s="5">
        <f>ROUND(IFERROR(IF(OR($B116 &lt;=0, $B116 = ExtraPayment),0,
MAX(-$B116, -(-PMT(InterestRate/PaymentsPerYear,LoanTerm*PaymentsPerYear,LoanAmount) + $E116))), 0), 2)</f>
        <v>0</v>
      </c>
      <c r="G116" s="5">
        <f t="shared" si="6"/>
        <v>0</v>
      </c>
      <c r="H116" s="5">
        <f t="shared" si="7"/>
        <v>0</v>
      </c>
    </row>
    <row r="117" spans="1:8" x14ac:dyDescent="0.2">
      <c r="A117" s="2">
        <v>116</v>
      </c>
      <c r="B117" s="5">
        <f t="shared" si="4"/>
        <v>0</v>
      </c>
      <c r="C117" s="5">
        <f t="shared" si="5"/>
        <v>0</v>
      </c>
      <c r="D117" s="5">
        <f>IF(ExtraPayment=0, 0, IF(AND($B117&lt;&gt;0,ExtraPayment&lt;=$B117),-ExtraPayment,-($F117)-$B117))</f>
        <v>0</v>
      </c>
      <c r="E117" s="5">
        <f>IF($B117 &lt;= 0, 0, -ROUND($B117 * (InterestRate / PaymentsPerYear), 2))</f>
        <v>0</v>
      </c>
      <c r="F117" s="5">
        <f>ROUND(IFERROR(IF(OR($B117 &lt;=0, $B117 = ExtraPayment),0,
MAX(-$B117, -(-PMT(InterestRate/PaymentsPerYear,LoanTerm*PaymentsPerYear,LoanAmount) + $E117))), 0), 2)</f>
        <v>0</v>
      </c>
      <c r="G117" s="5">
        <f t="shared" si="6"/>
        <v>0</v>
      </c>
      <c r="H117" s="5">
        <f t="shared" si="7"/>
        <v>0</v>
      </c>
    </row>
    <row r="118" spans="1:8" x14ac:dyDescent="0.2">
      <c r="A118" s="2">
        <v>117</v>
      </c>
      <c r="B118" s="5">
        <f t="shared" si="4"/>
        <v>0</v>
      </c>
      <c r="C118" s="5">
        <f t="shared" si="5"/>
        <v>0</v>
      </c>
      <c r="D118" s="5">
        <f>IF(ExtraPayment=0, 0, IF(AND($B118&lt;&gt;0,ExtraPayment&lt;=$B118),-ExtraPayment,-($F118)-$B118))</f>
        <v>0</v>
      </c>
      <c r="E118" s="5">
        <f>IF($B118 &lt;= 0, 0, -ROUND($B118 * (InterestRate / PaymentsPerYear), 2))</f>
        <v>0</v>
      </c>
      <c r="F118" s="5">
        <f>ROUND(IFERROR(IF(OR($B118 &lt;=0, $B118 = ExtraPayment),0,
MAX(-$B118, -(-PMT(InterestRate/PaymentsPerYear,LoanTerm*PaymentsPerYear,LoanAmount) + $E118))), 0), 2)</f>
        <v>0</v>
      </c>
      <c r="G118" s="5">
        <f t="shared" si="6"/>
        <v>0</v>
      </c>
      <c r="H118" s="5">
        <f t="shared" si="7"/>
        <v>0</v>
      </c>
    </row>
    <row r="119" spans="1:8" x14ac:dyDescent="0.2">
      <c r="A119" s="2">
        <v>118</v>
      </c>
      <c r="B119" s="5">
        <f t="shared" si="4"/>
        <v>0</v>
      </c>
      <c r="C119" s="5">
        <f t="shared" si="5"/>
        <v>0</v>
      </c>
      <c r="D119" s="5">
        <f>IF(ExtraPayment=0, 0, IF(AND($B119&lt;&gt;0,ExtraPayment&lt;=$B119),-ExtraPayment,-($F119)-$B119))</f>
        <v>0</v>
      </c>
      <c r="E119" s="5">
        <f>IF($B119 &lt;= 0, 0, -ROUND($B119 * (InterestRate / PaymentsPerYear), 2))</f>
        <v>0</v>
      </c>
      <c r="F119" s="5">
        <f>ROUND(IFERROR(IF(OR($B119 &lt;=0, $B119 = ExtraPayment),0,
MAX(-$B119, -(-PMT(InterestRate/PaymentsPerYear,LoanTerm*PaymentsPerYear,LoanAmount) + $E119))), 0), 2)</f>
        <v>0</v>
      </c>
      <c r="G119" s="5">
        <f t="shared" si="6"/>
        <v>0</v>
      </c>
      <c r="H119" s="5">
        <f t="shared" si="7"/>
        <v>0</v>
      </c>
    </row>
    <row r="120" spans="1:8" x14ac:dyDescent="0.2">
      <c r="A120" s="2">
        <v>119</v>
      </c>
      <c r="B120" s="5">
        <f t="shared" si="4"/>
        <v>0</v>
      </c>
      <c r="C120" s="5">
        <f t="shared" si="5"/>
        <v>0</v>
      </c>
      <c r="D120" s="5">
        <f>IF(ExtraPayment=0, 0, IF(AND($B120&lt;&gt;0,ExtraPayment&lt;=$B120),-ExtraPayment,-($F120)-$B120))</f>
        <v>0</v>
      </c>
      <c r="E120" s="5">
        <f>IF($B120 &lt;= 0, 0, -ROUND($B120 * (InterestRate / PaymentsPerYear), 2))</f>
        <v>0</v>
      </c>
      <c r="F120" s="5">
        <f>ROUND(IFERROR(IF(OR($B120 &lt;=0, $B120 = ExtraPayment),0,
MAX(-$B120, -(-PMT(InterestRate/PaymentsPerYear,LoanTerm*PaymentsPerYear,LoanAmount) + $E120))), 0), 2)</f>
        <v>0</v>
      </c>
      <c r="G120" s="5">
        <f t="shared" si="6"/>
        <v>0</v>
      </c>
      <c r="H120" s="5">
        <f t="shared" si="7"/>
        <v>0</v>
      </c>
    </row>
    <row r="121" spans="1:8" x14ac:dyDescent="0.2">
      <c r="A121" s="2">
        <v>120</v>
      </c>
      <c r="B121" s="5">
        <f t="shared" si="4"/>
        <v>0</v>
      </c>
      <c r="C121" s="5">
        <f t="shared" si="5"/>
        <v>0</v>
      </c>
      <c r="D121" s="5">
        <f>IF(ExtraPayment=0, 0, IF(AND($B121&lt;&gt;0,ExtraPayment&lt;=$B121),-ExtraPayment,-($F121)-$B121))</f>
        <v>0</v>
      </c>
      <c r="E121" s="5">
        <f>IF($B121 &lt;= 0, 0, -ROUND($B121 * (InterestRate / PaymentsPerYear), 2))</f>
        <v>0</v>
      </c>
      <c r="F121" s="5">
        <f>ROUND(IFERROR(IF(OR($B121 &lt;=0, $B121 = ExtraPayment),0,
MAX(-$B121, -(-PMT(InterestRate/PaymentsPerYear,LoanTerm*PaymentsPerYear,LoanAmount) + $E121))), 0), 2)</f>
        <v>0</v>
      </c>
      <c r="G121" s="5">
        <f t="shared" si="6"/>
        <v>0</v>
      </c>
      <c r="H121" s="5">
        <f t="shared" si="7"/>
        <v>0</v>
      </c>
    </row>
    <row r="122" spans="1:8" x14ac:dyDescent="0.2">
      <c r="A122" s="2">
        <v>121</v>
      </c>
      <c r="B122" s="5">
        <f t="shared" si="4"/>
        <v>0</v>
      </c>
      <c r="C122" s="5">
        <f t="shared" si="5"/>
        <v>0</v>
      </c>
      <c r="D122" s="5">
        <f>IF(ExtraPayment=0, 0, IF(AND($B122&lt;&gt;0,ExtraPayment&lt;=$B122),-ExtraPayment,-($F122)-$B122))</f>
        <v>0</v>
      </c>
      <c r="E122" s="5">
        <f>IF($B122 &lt;= 0, 0, -ROUND($B122 * (InterestRate / PaymentsPerYear), 2))</f>
        <v>0</v>
      </c>
      <c r="F122" s="5">
        <f>ROUND(IFERROR(IF(OR($B122 &lt;=0, $B122 = ExtraPayment),0,
MAX(-$B122, -(-PMT(InterestRate/PaymentsPerYear,LoanTerm*PaymentsPerYear,LoanAmount) + $E122))), 0), 2)</f>
        <v>0</v>
      </c>
      <c r="G122" s="5">
        <f t="shared" si="6"/>
        <v>0</v>
      </c>
      <c r="H122" s="5">
        <f t="shared" si="7"/>
        <v>0</v>
      </c>
    </row>
    <row r="123" spans="1:8" x14ac:dyDescent="0.2">
      <c r="A123" s="2">
        <v>122</v>
      </c>
      <c r="B123" s="5">
        <f t="shared" si="4"/>
        <v>0</v>
      </c>
      <c r="C123" s="5">
        <f t="shared" si="5"/>
        <v>0</v>
      </c>
      <c r="D123" s="5">
        <f>IF(ExtraPayment=0, 0, IF(AND($B123&lt;&gt;0,ExtraPayment&lt;=$B123),-ExtraPayment,-($F123)-$B123))</f>
        <v>0</v>
      </c>
      <c r="E123" s="5">
        <f>IF($B123 &lt;= 0, 0, -ROUND($B123 * (InterestRate / PaymentsPerYear), 2))</f>
        <v>0</v>
      </c>
      <c r="F123" s="5">
        <f>ROUND(IFERROR(IF(OR($B123 &lt;=0, $B123 = ExtraPayment),0,
MAX(-$B123, -(-PMT(InterestRate/PaymentsPerYear,LoanTerm*PaymentsPerYear,LoanAmount) + $E123))), 0), 2)</f>
        <v>0</v>
      </c>
      <c r="G123" s="5">
        <f t="shared" si="6"/>
        <v>0</v>
      </c>
      <c r="H123" s="5">
        <f t="shared" si="7"/>
        <v>0</v>
      </c>
    </row>
    <row r="124" spans="1:8" x14ac:dyDescent="0.2">
      <c r="A124" s="2">
        <v>123</v>
      </c>
      <c r="B124" s="5">
        <f t="shared" si="4"/>
        <v>0</v>
      </c>
      <c r="C124" s="5">
        <f t="shared" si="5"/>
        <v>0</v>
      </c>
      <c r="D124" s="5">
        <f>IF(ExtraPayment=0, 0, IF(AND($B124&lt;&gt;0,ExtraPayment&lt;=$B124),-ExtraPayment,-($F124)-$B124))</f>
        <v>0</v>
      </c>
      <c r="E124" s="5">
        <f>IF($B124 &lt;= 0, 0, -ROUND($B124 * (InterestRate / PaymentsPerYear), 2))</f>
        <v>0</v>
      </c>
      <c r="F124" s="5">
        <f>ROUND(IFERROR(IF(OR($B124 &lt;=0, $B124 = ExtraPayment),0,
MAX(-$B124, -(-PMT(InterestRate/PaymentsPerYear,LoanTerm*PaymentsPerYear,LoanAmount) + $E124))), 0), 2)</f>
        <v>0</v>
      </c>
      <c r="G124" s="5">
        <f t="shared" si="6"/>
        <v>0</v>
      </c>
      <c r="H124" s="5">
        <f t="shared" si="7"/>
        <v>0</v>
      </c>
    </row>
    <row r="125" spans="1:8" x14ac:dyDescent="0.2">
      <c r="A125" s="2">
        <v>124</v>
      </c>
      <c r="B125" s="5">
        <f t="shared" si="4"/>
        <v>0</v>
      </c>
      <c r="C125" s="5">
        <f t="shared" si="5"/>
        <v>0</v>
      </c>
      <c r="D125" s="5">
        <f>IF(ExtraPayment=0, 0, IF(AND($B125&lt;&gt;0,ExtraPayment&lt;=$B125),-ExtraPayment,-($F125)-$B125))</f>
        <v>0</v>
      </c>
      <c r="E125" s="5">
        <f>IF($B125 &lt;= 0, 0, -ROUND($B125 * (InterestRate / PaymentsPerYear), 2))</f>
        <v>0</v>
      </c>
      <c r="F125" s="5">
        <f>ROUND(IFERROR(IF(OR($B125 &lt;=0, $B125 = ExtraPayment),0,
MAX(-$B125, -(-PMT(InterestRate/PaymentsPerYear,LoanTerm*PaymentsPerYear,LoanAmount) + $E125))), 0), 2)</f>
        <v>0</v>
      </c>
      <c r="G125" s="5">
        <f t="shared" si="6"/>
        <v>0</v>
      </c>
      <c r="H125" s="5">
        <f t="shared" si="7"/>
        <v>0</v>
      </c>
    </row>
    <row r="126" spans="1:8" x14ac:dyDescent="0.2">
      <c r="A126" s="2">
        <v>125</v>
      </c>
      <c r="B126" s="5">
        <f t="shared" si="4"/>
        <v>0</v>
      </c>
      <c r="C126" s="5">
        <f t="shared" si="5"/>
        <v>0</v>
      </c>
      <c r="D126" s="5">
        <f>IF(ExtraPayment=0, 0, IF(AND($B126&lt;&gt;0,ExtraPayment&lt;=$B126),-ExtraPayment,-($F126)-$B126))</f>
        <v>0</v>
      </c>
      <c r="E126" s="5">
        <f>IF($B126 &lt;= 0, 0, -ROUND($B126 * (InterestRate / PaymentsPerYear), 2))</f>
        <v>0</v>
      </c>
      <c r="F126" s="5">
        <f>ROUND(IFERROR(IF(OR($B126 &lt;=0, $B126 = ExtraPayment),0,
MAX(-$B126, -(-PMT(InterestRate/PaymentsPerYear,LoanTerm*PaymentsPerYear,LoanAmount) + $E126))), 0), 2)</f>
        <v>0</v>
      </c>
      <c r="G126" s="5">
        <f t="shared" si="6"/>
        <v>0</v>
      </c>
      <c r="H126" s="5">
        <f t="shared" si="7"/>
        <v>0</v>
      </c>
    </row>
    <row r="127" spans="1:8" x14ac:dyDescent="0.2">
      <c r="A127" s="2">
        <v>126</v>
      </c>
      <c r="B127" s="5">
        <f t="shared" si="4"/>
        <v>0</v>
      </c>
      <c r="C127" s="5">
        <f t="shared" si="5"/>
        <v>0</v>
      </c>
      <c r="D127" s="5">
        <f>IF(ExtraPayment=0, 0, IF(AND($B127&lt;&gt;0,ExtraPayment&lt;=$B127),-ExtraPayment,-($F127)-$B127))</f>
        <v>0</v>
      </c>
      <c r="E127" s="5">
        <f>IF($B127 &lt;= 0, 0, -ROUND($B127 * (InterestRate / PaymentsPerYear), 2))</f>
        <v>0</v>
      </c>
      <c r="F127" s="5">
        <f>ROUND(IFERROR(IF(OR($B127 &lt;=0, $B127 = ExtraPayment),0,
MAX(-$B127, -(-PMT(InterestRate/PaymentsPerYear,LoanTerm*PaymentsPerYear,LoanAmount) + $E127))), 0), 2)</f>
        <v>0</v>
      </c>
      <c r="G127" s="5">
        <f t="shared" si="6"/>
        <v>0</v>
      </c>
      <c r="H127" s="5">
        <f t="shared" si="7"/>
        <v>0</v>
      </c>
    </row>
    <row r="128" spans="1:8" x14ac:dyDescent="0.2">
      <c r="A128" s="2">
        <v>127</v>
      </c>
      <c r="B128" s="5">
        <f t="shared" si="4"/>
        <v>0</v>
      </c>
      <c r="C128" s="5">
        <f t="shared" si="5"/>
        <v>0</v>
      </c>
      <c r="D128" s="5">
        <f>IF(ExtraPayment=0, 0, IF(AND($B128&lt;&gt;0,ExtraPayment&lt;=$B128),-ExtraPayment,-($F128)-$B128))</f>
        <v>0</v>
      </c>
      <c r="E128" s="5">
        <f>IF($B128 &lt;= 0, 0, -ROUND($B128 * (InterestRate / PaymentsPerYear), 2))</f>
        <v>0</v>
      </c>
      <c r="F128" s="5">
        <f>ROUND(IFERROR(IF(OR($B128 &lt;=0, $B128 = ExtraPayment),0,
MAX(-$B128, -(-PMT(InterestRate/PaymentsPerYear,LoanTerm*PaymentsPerYear,LoanAmount) + $E128))), 0), 2)</f>
        <v>0</v>
      </c>
      <c r="G128" s="5">
        <f t="shared" si="6"/>
        <v>0</v>
      </c>
      <c r="H128" s="5">
        <f t="shared" si="7"/>
        <v>0</v>
      </c>
    </row>
    <row r="129" spans="1:8" x14ac:dyDescent="0.2">
      <c r="A129" s="2">
        <v>128</v>
      </c>
      <c r="B129" s="5">
        <f t="shared" si="4"/>
        <v>0</v>
      </c>
      <c r="C129" s="5">
        <f t="shared" si="5"/>
        <v>0</v>
      </c>
      <c r="D129" s="5">
        <f>IF(ExtraPayment=0, 0, IF(AND($B129&lt;&gt;0,ExtraPayment&lt;=$B129),-ExtraPayment,-($F129)-$B129))</f>
        <v>0</v>
      </c>
      <c r="E129" s="5">
        <f>IF($B129 &lt;= 0, 0, -ROUND($B129 * (InterestRate / PaymentsPerYear), 2))</f>
        <v>0</v>
      </c>
      <c r="F129" s="5">
        <f>ROUND(IFERROR(IF(OR($B129 &lt;=0, $B129 = ExtraPayment),0,
MAX(-$B129, -(-PMT(InterestRate/PaymentsPerYear,LoanTerm*PaymentsPerYear,LoanAmount) + $E129))), 0), 2)</f>
        <v>0</v>
      </c>
      <c r="G129" s="5">
        <f t="shared" si="6"/>
        <v>0</v>
      </c>
      <c r="H129" s="5">
        <f t="shared" si="7"/>
        <v>0</v>
      </c>
    </row>
    <row r="130" spans="1:8" x14ac:dyDescent="0.2">
      <c r="A130" s="2">
        <v>129</v>
      </c>
      <c r="B130" s="5">
        <f t="shared" si="4"/>
        <v>0</v>
      </c>
      <c r="C130" s="5">
        <f t="shared" si="5"/>
        <v>0</v>
      </c>
      <c r="D130" s="5">
        <f>IF(ExtraPayment=0, 0, IF(AND($B130&lt;&gt;0,ExtraPayment&lt;=$B130),-ExtraPayment,-($F130)-$B130))</f>
        <v>0</v>
      </c>
      <c r="E130" s="5">
        <f>IF($B130 &lt;= 0, 0, -ROUND($B130 * (InterestRate / PaymentsPerYear), 2))</f>
        <v>0</v>
      </c>
      <c r="F130" s="5">
        <f>ROUND(IFERROR(IF(OR($B130 &lt;=0, $B130 = ExtraPayment),0,
MAX(-$B130, -(-PMT(InterestRate/PaymentsPerYear,LoanTerm*PaymentsPerYear,LoanAmount) + $E130))), 0), 2)</f>
        <v>0</v>
      </c>
      <c r="G130" s="5">
        <f t="shared" si="6"/>
        <v>0</v>
      </c>
      <c r="H130" s="5">
        <f t="shared" si="7"/>
        <v>0</v>
      </c>
    </row>
    <row r="131" spans="1:8" x14ac:dyDescent="0.2">
      <c r="A131" s="2">
        <v>130</v>
      </c>
      <c r="B131" s="5">
        <f t="shared" si="4"/>
        <v>0</v>
      </c>
      <c r="C131" s="5">
        <f t="shared" si="5"/>
        <v>0</v>
      </c>
      <c r="D131" s="5">
        <f>IF(ExtraPayment=0, 0, IF(AND($B131&lt;&gt;0,ExtraPayment&lt;=$B131),-ExtraPayment,-($F131)-$B131))</f>
        <v>0</v>
      </c>
      <c r="E131" s="5">
        <f>IF($B131 &lt;= 0, 0, -ROUND($B131 * (InterestRate / PaymentsPerYear), 2))</f>
        <v>0</v>
      </c>
      <c r="F131" s="5">
        <f>ROUND(IFERROR(IF(OR($B131 &lt;=0, $B131 = ExtraPayment),0,
MAX(-$B131, -(-PMT(InterestRate/PaymentsPerYear,LoanTerm*PaymentsPerYear,LoanAmount) + $E131))), 0), 2)</f>
        <v>0</v>
      </c>
      <c r="G131" s="5">
        <f t="shared" si="6"/>
        <v>0</v>
      </c>
      <c r="H131" s="5">
        <f t="shared" si="7"/>
        <v>0</v>
      </c>
    </row>
    <row r="132" spans="1:8" x14ac:dyDescent="0.2">
      <c r="A132" s="2">
        <v>131</v>
      </c>
      <c r="B132" s="5">
        <f t="shared" ref="B132:B195" si="8">ROUND(IF($H131 &gt;= 0, MAX($H131, $F131), 0), 2)</f>
        <v>0</v>
      </c>
      <c r="C132" s="5">
        <f t="shared" ref="C132:C195" si="9">IF($B132 &lt;= 0, 0, $D132+$E132+$F132)</f>
        <v>0</v>
      </c>
      <c r="D132" s="5">
        <f>IF(ExtraPayment=0, 0, IF(AND($B132&lt;&gt;0,ExtraPayment&lt;=$B132),-ExtraPayment,-($F132)-$B132))</f>
        <v>0</v>
      </c>
      <c r="E132" s="5">
        <f>IF($B132 &lt;= 0, 0, -ROUND($B132 * (InterestRate / PaymentsPerYear), 2))</f>
        <v>0</v>
      </c>
      <c r="F132" s="5">
        <f>ROUND(IFERROR(IF(OR($B132 &lt;=0, $B132 = ExtraPayment),0,
MAX(-$B132, -(-PMT(InterestRate/PaymentsPerYear,LoanTerm*PaymentsPerYear,LoanAmount) + $E132))), 0), 2)</f>
        <v>0</v>
      </c>
      <c r="G132" s="5">
        <f t="shared" ref="G132:G195" si="10">$D132+$F132</f>
        <v>0</v>
      </c>
      <c r="H132" s="5">
        <f t="shared" ref="H132:H195" si="11">ROUND(IF($B132 &lt;= 0, 0,MAX(0, $B132 + $G132)), 2)</f>
        <v>0</v>
      </c>
    </row>
    <row r="133" spans="1:8" x14ac:dyDescent="0.2">
      <c r="A133" s="2">
        <v>132</v>
      </c>
      <c r="B133" s="5">
        <f t="shared" si="8"/>
        <v>0</v>
      </c>
      <c r="C133" s="5">
        <f t="shared" si="9"/>
        <v>0</v>
      </c>
      <c r="D133" s="5">
        <f>IF(ExtraPayment=0, 0, IF(AND($B133&lt;&gt;0,ExtraPayment&lt;=$B133),-ExtraPayment,-($F133)-$B133))</f>
        <v>0</v>
      </c>
      <c r="E133" s="5">
        <f>IF($B133 &lt;= 0, 0, -ROUND($B133 * (InterestRate / PaymentsPerYear), 2))</f>
        <v>0</v>
      </c>
      <c r="F133" s="5">
        <f>ROUND(IFERROR(IF(OR($B133 &lt;=0, $B133 = ExtraPayment),0,
MAX(-$B133, -(-PMT(InterestRate/PaymentsPerYear,LoanTerm*PaymentsPerYear,LoanAmount) + $E133))), 0), 2)</f>
        <v>0</v>
      </c>
      <c r="G133" s="5">
        <f t="shared" si="10"/>
        <v>0</v>
      </c>
      <c r="H133" s="5">
        <f t="shared" si="11"/>
        <v>0</v>
      </c>
    </row>
    <row r="134" spans="1:8" x14ac:dyDescent="0.2">
      <c r="A134" s="2">
        <v>133</v>
      </c>
      <c r="B134" s="5">
        <f t="shared" si="8"/>
        <v>0</v>
      </c>
      <c r="C134" s="5">
        <f t="shared" si="9"/>
        <v>0</v>
      </c>
      <c r="D134" s="5">
        <f>IF(ExtraPayment=0, 0, IF(AND($B134&lt;&gt;0,ExtraPayment&lt;=$B134),-ExtraPayment,-($F134)-$B134))</f>
        <v>0</v>
      </c>
      <c r="E134" s="5">
        <f>IF($B134 &lt;= 0, 0, -ROUND($B134 * (InterestRate / PaymentsPerYear), 2))</f>
        <v>0</v>
      </c>
      <c r="F134" s="5">
        <f>ROUND(IFERROR(IF(OR($B134 &lt;=0, $B134 = ExtraPayment),0,
MAX(-$B134, -(-PMT(InterestRate/PaymentsPerYear,LoanTerm*PaymentsPerYear,LoanAmount) + $E134))), 0), 2)</f>
        <v>0</v>
      </c>
      <c r="G134" s="5">
        <f t="shared" si="10"/>
        <v>0</v>
      </c>
      <c r="H134" s="5">
        <f t="shared" si="11"/>
        <v>0</v>
      </c>
    </row>
    <row r="135" spans="1:8" x14ac:dyDescent="0.2">
      <c r="A135" s="2">
        <v>134</v>
      </c>
      <c r="B135" s="5">
        <f t="shared" si="8"/>
        <v>0</v>
      </c>
      <c r="C135" s="5">
        <f t="shared" si="9"/>
        <v>0</v>
      </c>
      <c r="D135" s="5">
        <f>IF(ExtraPayment=0, 0, IF(AND($B135&lt;&gt;0,ExtraPayment&lt;=$B135),-ExtraPayment,-($F135)-$B135))</f>
        <v>0</v>
      </c>
      <c r="E135" s="5">
        <f>IF($B135 &lt;= 0, 0, -ROUND($B135 * (InterestRate / PaymentsPerYear), 2))</f>
        <v>0</v>
      </c>
      <c r="F135" s="5">
        <f>ROUND(IFERROR(IF(OR($B135 &lt;=0, $B135 = ExtraPayment),0,
MAX(-$B135, -(-PMT(InterestRate/PaymentsPerYear,LoanTerm*PaymentsPerYear,LoanAmount) + $E135))), 0), 2)</f>
        <v>0</v>
      </c>
      <c r="G135" s="5">
        <f t="shared" si="10"/>
        <v>0</v>
      </c>
      <c r="H135" s="5">
        <f t="shared" si="11"/>
        <v>0</v>
      </c>
    </row>
    <row r="136" spans="1:8" x14ac:dyDescent="0.2">
      <c r="A136" s="2">
        <v>135</v>
      </c>
      <c r="B136" s="5">
        <f t="shared" si="8"/>
        <v>0</v>
      </c>
      <c r="C136" s="5">
        <f t="shared" si="9"/>
        <v>0</v>
      </c>
      <c r="D136" s="5">
        <f>IF(ExtraPayment=0, 0, IF(AND($B136&lt;&gt;0,ExtraPayment&lt;=$B136),-ExtraPayment,-($F136)-$B136))</f>
        <v>0</v>
      </c>
      <c r="E136" s="5">
        <f>IF($B136 &lt;= 0, 0, -ROUND($B136 * (InterestRate / PaymentsPerYear), 2))</f>
        <v>0</v>
      </c>
      <c r="F136" s="5">
        <f>ROUND(IFERROR(IF(OR($B136 &lt;=0, $B136 = ExtraPayment),0,
MAX(-$B136, -(-PMT(InterestRate/PaymentsPerYear,LoanTerm*PaymentsPerYear,LoanAmount) + $E136))), 0), 2)</f>
        <v>0</v>
      </c>
      <c r="G136" s="5">
        <f t="shared" si="10"/>
        <v>0</v>
      </c>
      <c r="H136" s="5">
        <f t="shared" si="11"/>
        <v>0</v>
      </c>
    </row>
    <row r="137" spans="1:8" x14ac:dyDescent="0.2">
      <c r="A137" s="2">
        <v>136</v>
      </c>
      <c r="B137" s="5">
        <f t="shared" si="8"/>
        <v>0</v>
      </c>
      <c r="C137" s="5">
        <f t="shared" si="9"/>
        <v>0</v>
      </c>
      <c r="D137" s="5">
        <f>IF(ExtraPayment=0, 0, IF(AND($B137&lt;&gt;0,ExtraPayment&lt;=$B137),-ExtraPayment,-($F137)-$B137))</f>
        <v>0</v>
      </c>
      <c r="E137" s="5">
        <f>IF($B137 &lt;= 0, 0, -ROUND($B137 * (InterestRate / PaymentsPerYear), 2))</f>
        <v>0</v>
      </c>
      <c r="F137" s="5">
        <f>ROUND(IFERROR(IF(OR($B137 &lt;=0, $B137 = ExtraPayment),0,
MAX(-$B137, -(-PMT(InterestRate/PaymentsPerYear,LoanTerm*PaymentsPerYear,LoanAmount) + $E137))), 0), 2)</f>
        <v>0</v>
      </c>
      <c r="G137" s="5">
        <f t="shared" si="10"/>
        <v>0</v>
      </c>
      <c r="H137" s="5">
        <f t="shared" si="11"/>
        <v>0</v>
      </c>
    </row>
    <row r="138" spans="1:8" x14ac:dyDescent="0.2">
      <c r="A138" s="2">
        <v>137</v>
      </c>
      <c r="B138" s="5">
        <f t="shared" si="8"/>
        <v>0</v>
      </c>
      <c r="C138" s="5">
        <f t="shared" si="9"/>
        <v>0</v>
      </c>
      <c r="D138" s="5">
        <f>IF(ExtraPayment=0, 0, IF(AND($B138&lt;&gt;0,ExtraPayment&lt;=$B138),-ExtraPayment,-($F138)-$B138))</f>
        <v>0</v>
      </c>
      <c r="E138" s="5">
        <f>IF($B138 &lt;= 0, 0, -ROUND($B138 * (InterestRate / PaymentsPerYear), 2))</f>
        <v>0</v>
      </c>
      <c r="F138" s="5">
        <f>ROUND(IFERROR(IF(OR($B138 &lt;=0, $B138 = ExtraPayment),0,
MAX(-$B138, -(-PMT(InterestRate/PaymentsPerYear,LoanTerm*PaymentsPerYear,LoanAmount) + $E138))), 0), 2)</f>
        <v>0</v>
      </c>
      <c r="G138" s="5">
        <f t="shared" si="10"/>
        <v>0</v>
      </c>
      <c r="H138" s="5">
        <f t="shared" si="11"/>
        <v>0</v>
      </c>
    </row>
    <row r="139" spans="1:8" x14ac:dyDescent="0.2">
      <c r="A139" s="2">
        <v>138</v>
      </c>
      <c r="B139" s="5">
        <f t="shared" si="8"/>
        <v>0</v>
      </c>
      <c r="C139" s="5">
        <f t="shared" si="9"/>
        <v>0</v>
      </c>
      <c r="D139" s="5">
        <f>IF(ExtraPayment=0, 0, IF(AND($B139&lt;&gt;0,ExtraPayment&lt;=$B139),-ExtraPayment,-($F139)-$B139))</f>
        <v>0</v>
      </c>
      <c r="E139" s="5">
        <f>IF($B139 &lt;= 0, 0, -ROUND($B139 * (InterestRate / PaymentsPerYear), 2))</f>
        <v>0</v>
      </c>
      <c r="F139" s="5">
        <f>ROUND(IFERROR(IF(OR($B139 &lt;=0, $B139 = ExtraPayment),0,
MAX(-$B139, -(-PMT(InterestRate/PaymentsPerYear,LoanTerm*PaymentsPerYear,LoanAmount) + $E139))), 0), 2)</f>
        <v>0</v>
      </c>
      <c r="G139" s="5">
        <f t="shared" si="10"/>
        <v>0</v>
      </c>
      <c r="H139" s="5">
        <f t="shared" si="11"/>
        <v>0</v>
      </c>
    </row>
    <row r="140" spans="1:8" x14ac:dyDescent="0.2">
      <c r="A140" s="2">
        <v>139</v>
      </c>
      <c r="B140" s="5">
        <f t="shared" si="8"/>
        <v>0</v>
      </c>
      <c r="C140" s="5">
        <f t="shared" si="9"/>
        <v>0</v>
      </c>
      <c r="D140" s="5">
        <f>IF(ExtraPayment=0, 0, IF(AND($B140&lt;&gt;0,ExtraPayment&lt;=$B140),-ExtraPayment,-($F140)-$B140))</f>
        <v>0</v>
      </c>
      <c r="E140" s="5">
        <f>IF($B140 &lt;= 0, 0, -ROUND($B140 * (InterestRate / PaymentsPerYear), 2))</f>
        <v>0</v>
      </c>
      <c r="F140" s="5">
        <f>ROUND(IFERROR(IF(OR($B140 &lt;=0, $B140 = ExtraPayment),0,
MAX(-$B140, -(-PMT(InterestRate/PaymentsPerYear,LoanTerm*PaymentsPerYear,LoanAmount) + $E140))), 0), 2)</f>
        <v>0</v>
      </c>
      <c r="G140" s="5">
        <f t="shared" si="10"/>
        <v>0</v>
      </c>
      <c r="H140" s="5">
        <f t="shared" si="11"/>
        <v>0</v>
      </c>
    </row>
    <row r="141" spans="1:8" x14ac:dyDescent="0.2">
      <c r="A141" s="2">
        <v>140</v>
      </c>
      <c r="B141" s="5">
        <f t="shared" si="8"/>
        <v>0</v>
      </c>
      <c r="C141" s="5">
        <f t="shared" si="9"/>
        <v>0</v>
      </c>
      <c r="D141" s="5">
        <f>IF(ExtraPayment=0, 0, IF(AND($B141&lt;&gt;0,ExtraPayment&lt;=$B141),-ExtraPayment,-($F141)-$B141))</f>
        <v>0</v>
      </c>
      <c r="E141" s="5">
        <f>IF($B141 &lt;= 0, 0, -ROUND($B141 * (InterestRate / PaymentsPerYear), 2))</f>
        <v>0</v>
      </c>
      <c r="F141" s="5">
        <f>ROUND(IFERROR(IF(OR($B141 &lt;=0, $B141 = ExtraPayment),0,
MAX(-$B141, -(-PMT(InterestRate/PaymentsPerYear,LoanTerm*PaymentsPerYear,LoanAmount) + $E141))), 0), 2)</f>
        <v>0</v>
      </c>
      <c r="G141" s="5">
        <f t="shared" si="10"/>
        <v>0</v>
      </c>
      <c r="H141" s="5">
        <f t="shared" si="11"/>
        <v>0</v>
      </c>
    </row>
    <row r="142" spans="1:8" x14ac:dyDescent="0.2">
      <c r="A142" s="2">
        <v>141</v>
      </c>
      <c r="B142" s="5">
        <f t="shared" si="8"/>
        <v>0</v>
      </c>
      <c r="C142" s="5">
        <f t="shared" si="9"/>
        <v>0</v>
      </c>
      <c r="D142" s="5">
        <f>IF(ExtraPayment=0, 0, IF(AND($B142&lt;&gt;0,ExtraPayment&lt;=$B142),-ExtraPayment,-($F142)-$B142))</f>
        <v>0</v>
      </c>
      <c r="E142" s="5">
        <f>IF($B142 &lt;= 0, 0, -ROUND($B142 * (InterestRate / PaymentsPerYear), 2))</f>
        <v>0</v>
      </c>
      <c r="F142" s="5">
        <f>ROUND(IFERROR(IF(OR($B142 &lt;=0, $B142 = ExtraPayment),0,
MAX(-$B142, -(-PMT(InterestRate/PaymentsPerYear,LoanTerm*PaymentsPerYear,LoanAmount) + $E142))), 0), 2)</f>
        <v>0</v>
      </c>
      <c r="G142" s="5">
        <f t="shared" si="10"/>
        <v>0</v>
      </c>
      <c r="H142" s="5">
        <f t="shared" si="11"/>
        <v>0</v>
      </c>
    </row>
    <row r="143" spans="1:8" x14ac:dyDescent="0.2">
      <c r="A143" s="2">
        <v>142</v>
      </c>
      <c r="B143" s="5">
        <f t="shared" si="8"/>
        <v>0</v>
      </c>
      <c r="C143" s="5">
        <f t="shared" si="9"/>
        <v>0</v>
      </c>
      <c r="D143" s="5">
        <f>IF(ExtraPayment=0, 0, IF(AND($B143&lt;&gt;0,ExtraPayment&lt;=$B143),-ExtraPayment,-($F143)-$B143))</f>
        <v>0</v>
      </c>
      <c r="E143" s="5">
        <f>IF($B143 &lt;= 0, 0, -ROUND($B143 * (InterestRate / PaymentsPerYear), 2))</f>
        <v>0</v>
      </c>
      <c r="F143" s="5">
        <f>ROUND(IFERROR(IF(OR($B143 &lt;=0, $B143 = ExtraPayment),0,
MAX(-$B143, -(-PMT(InterestRate/PaymentsPerYear,LoanTerm*PaymentsPerYear,LoanAmount) + $E143))), 0), 2)</f>
        <v>0</v>
      </c>
      <c r="G143" s="5">
        <f t="shared" si="10"/>
        <v>0</v>
      </c>
      <c r="H143" s="5">
        <f t="shared" si="11"/>
        <v>0</v>
      </c>
    </row>
    <row r="144" spans="1:8" x14ac:dyDescent="0.2">
      <c r="A144" s="2">
        <v>143</v>
      </c>
      <c r="B144" s="5">
        <f t="shared" si="8"/>
        <v>0</v>
      </c>
      <c r="C144" s="5">
        <f t="shared" si="9"/>
        <v>0</v>
      </c>
      <c r="D144" s="5">
        <f>IF(ExtraPayment=0, 0, IF(AND($B144&lt;&gt;0,ExtraPayment&lt;=$B144),-ExtraPayment,-($F144)-$B144))</f>
        <v>0</v>
      </c>
      <c r="E144" s="5">
        <f>IF($B144 &lt;= 0, 0, -ROUND($B144 * (InterestRate / PaymentsPerYear), 2))</f>
        <v>0</v>
      </c>
      <c r="F144" s="5">
        <f>ROUND(IFERROR(IF(OR($B144 &lt;=0, $B144 = ExtraPayment),0,
MAX(-$B144, -(-PMT(InterestRate/PaymentsPerYear,LoanTerm*PaymentsPerYear,LoanAmount) + $E144))), 0), 2)</f>
        <v>0</v>
      </c>
      <c r="G144" s="5">
        <f t="shared" si="10"/>
        <v>0</v>
      </c>
      <c r="H144" s="5">
        <f t="shared" si="11"/>
        <v>0</v>
      </c>
    </row>
    <row r="145" spans="1:8" x14ac:dyDescent="0.2">
      <c r="A145" s="2">
        <v>144</v>
      </c>
      <c r="B145" s="5">
        <f t="shared" si="8"/>
        <v>0</v>
      </c>
      <c r="C145" s="5">
        <f t="shared" si="9"/>
        <v>0</v>
      </c>
      <c r="D145" s="5">
        <f>IF(ExtraPayment=0, 0, IF(AND($B145&lt;&gt;0,ExtraPayment&lt;=$B145),-ExtraPayment,-($F145)-$B145))</f>
        <v>0</v>
      </c>
      <c r="E145" s="5">
        <f>IF($B145 &lt;= 0, 0, -ROUND($B145 * (InterestRate / PaymentsPerYear), 2))</f>
        <v>0</v>
      </c>
      <c r="F145" s="5">
        <f>ROUND(IFERROR(IF(OR($B145 &lt;=0, $B145 = ExtraPayment),0,
MAX(-$B145, -(-PMT(InterestRate/PaymentsPerYear,LoanTerm*PaymentsPerYear,LoanAmount) + $E145))), 0), 2)</f>
        <v>0</v>
      </c>
      <c r="G145" s="5">
        <f t="shared" si="10"/>
        <v>0</v>
      </c>
      <c r="H145" s="5">
        <f t="shared" si="11"/>
        <v>0</v>
      </c>
    </row>
    <row r="146" spans="1:8" x14ac:dyDescent="0.2">
      <c r="A146" s="2">
        <v>145</v>
      </c>
      <c r="B146" s="5">
        <f t="shared" si="8"/>
        <v>0</v>
      </c>
      <c r="C146" s="5">
        <f t="shared" si="9"/>
        <v>0</v>
      </c>
      <c r="D146" s="5">
        <f>IF(ExtraPayment=0, 0, IF(AND($B146&lt;&gt;0,ExtraPayment&lt;=$B146),-ExtraPayment,-($F146)-$B146))</f>
        <v>0</v>
      </c>
      <c r="E146" s="5">
        <f>IF($B146 &lt;= 0, 0, -ROUND($B146 * (InterestRate / PaymentsPerYear), 2))</f>
        <v>0</v>
      </c>
      <c r="F146" s="5">
        <f>ROUND(IFERROR(IF(OR($B146 &lt;=0, $B146 = ExtraPayment),0,
MAX(-$B146, -(-PMT(InterestRate/PaymentsPerYear,LoanTerm*PaymentsPerYear,LoanAmount) + $E146))), 0), 2)</f>
        <v>0</v>
      </c>
      <c r="G146" s="5">
        <f t="shared" si="10"/>
        <v>0</v>
      </c>
      <c r="H146" s="5">
        <f t="shared" si="11"/>
        <v>0</v>
      </c>
    </row>
    <row r="147" spans="1:8" x14ac:dyDescent="0.2">
      <c r="A147" s="2">
        <v>146</v>
      </c>
      <c r="B147" s="5">
        <f t="shared" si="8"/>
        <v>0</v>
      </c>
      <c r="C147" s="5">
        <f t="shared" si="9"/>
        <v>0</v>
      </c>
      <c r="D147" s="5">
        <f>IF(ExtraPayment=0, 0, IF(AND($B147&lt;&gt;0,ExtraPayment&lt;=$B147),-ExtraPayment,-($F147)-$B147))</f>
        <v>0</v>
      </c>
      <c r="E147" s="5">
        <f>IF($B147 &lt;= 0, 0, -ROUND($B147 * (InterestRate / PaymentsPerYear), 2))</f>
        <v>0</v>
      </c>
      <c r="F147" s="5">
        <f>ROUND(IFERROR(IF(OR($B147 &lt;=0, $B147 = ExtraPayment),0,
MAX(-$B147, -(-PMT(InterestRate/PaymentsPerYear,LoanTerm*PaymentsPerYear,LoanAmount) + $E147))), 0), 2)</f>
        <v>0</v>
      </c>
      <c r="G147" s="5">
        <f t="shared" si="10"/>
        <v>0</v>
      </c>
      <c r="H147" s="5">
        <f t="shared" si="11"/>
        <v>0</v>
      </c>
    </row>
    <row r="148" spans="1:8" x14ac:dyDescent="0.2">
      <c r="A148" s="2">
        <v>147</v>
      </c>
      <c r="B148" s="5">
        <f t="shared" si="8"/>
        <v>0</v>
      </c>
      <c r="C148" s="5">
        <f t="shared" si="9"/>
        <v>0</v>
      </c>
      <c r="D148" s="5">
        <f>IF(ExtraPayment=0, 0, IF(AND($B148&lt;&gt;0,ExtraPayment&lt;=$B148),-ExtraPayment,-($F148)-$B148))</f>
        <v>0</v>
      </c>
      <c r="E148" s="5">
        <f>IF($B148 &lt;= 0, 0, -ROUND($B148 * (InterestRate / PaymentsPerYear), 2))</f>
        <v>0</v>
      </c>
      <c r="F148" s="5">
        <f>ROUND(IFERROR(IF(OR($B148 &lt;=0, $B148 = ExtraPayment),0,
MAX(-$B148, -(-PMT(InterestRate/PaymentsPerYear,LoanTerm*PaymentsPerYear,LoanAmount) + $E148))), 0), 2)</f>
        <v>0</v>
      </c>
      <c r="G148" s="5">
        <f t="shared" si="10"/>
        <v>0</v>
      </c>
      <c r="H148" s="5">
        <f t="shared" si="11"/>
        <v>0</v>
      </c>
    </row>
    <row r="149" spans="1:8" x14ac:dyDescent="0.2">
      <c r="A149" s="2">
        <v>148</v>
      </c>
      <c r="B149" s="5">
        <f t="shared" si="8"/>
        <v>0</v>
      </c>
      <c r="C149" s="5">
        <f t="shared" si="9"/>
        <v>0</v>
      </c>
      <c r="D149" s="5">
        <f>IF(ExtraPayment=0, 0, IF(AND($B149&lt;&gt;0,ExtraPayment&lt;=$B149),-ExtraPayment,-($F149)-$B149))</f>
        <v>0</v>
      </c>
      <c r="E149" s="5">
        <f>IF($B149 &lt;= 0, 0, -ROUND($B149 * (InterestRate / PaymentsPerYear), 2))</f>
        <v>0</v>
      </c>
      <c r="F149" s="5">
        <f>ROUND(IFERROR(IF(OR($B149 &lt;=0, $B149 = ExtraPayment),0,
MAX(-$B149, -(-PMT(InterestRate/PaymentsPerYear,LoanTerm*PaymentsPerYear,LoanAmount) + $E149))), 0), 2)</f>
        <v>0</v>
      </c>
      <c r="G149" s="5">
        <f t="shared" si="10"/>
        <v>0</v>
      </c>
      <c r="H149" s="5">
        <f t="shared" si="11"/>
        <v>0</v>
      </c>
    </row>
    <row r="150" spans="1:8" x14ac:dyDescent="0.2">
      <c r="A150" s="2">
        <v>149</v>
      </c>
      <c r="B150" s="5">
        <f t="shared" si="8"/>
        <v>0</v>
      </c>
      <c r="C150" s="5">
        <f t="shared" si="9"/>
        <v>0</v>
      </c>
      <c r="D150" s="5">
        <f>IF(ExtraPayment=0, 0, IF(AND($B150&lt;&gt;0,ExtraPayment&lt;=$B150),-ExtraPayment,-($F150)-$B150))</f>
        <v>0</v>
      </c>
      <c r="E150" s="5">
        <f>IF($B150 &lt;= 0, 0, -ROUND($B150 * (InterestRate / PaymentsPerYear), 2))</f>
        <v>0</v>
      </c>
      <c r="F150" s="5">
        <f>ROUND(IFERROR(IF(OR($B150 &lt;=0, $B150 = ExtraPayment),0,
MAX(-$B150, -(-PMT(InterestRate/PaymentsPerYear,LoanTerm*PaymentsPerYear,LoanAmount) + $E150))), 0), 2)</f>
        <v>0</v>
      </c>
      <c r="G150" s="5">
        <f t="shared" si="10"/>
        <v>0</v>
      </c>
      <c r="H150" s="5">
        <f t="shared" si="11"/>
        <v>0</v>
      </c>
    </row>
    <row r="151" spans="1:8" x14ac:dyDescent="0.2">
      <c r="A151" s="2">
        <v>150</v>
      </c>
      <c r="B151" s="5">
        <f t="shared" si="8"/>
        <v>0</v>
      </c>
      <c r="C151" s="5">
        <f t="shared" si="9"/>
        <v>0</v>
      </c>
      <c r="D151" s="5">
        <f>IF(ExtraPayment=0, 0, IF(AND($B151&lt;&gt;0,ExtraPayment&lt;=$B151),-ExtraPayment,-($F151)-$B151))</f>
        <v>0</v>
      </c>
      <c r="E151" s="5">
        <f>IF($B151 &lt;= 0, 0, -ROUND($B151 * (InterestRate / PaymentsPerYear), 2))</f>
        <v>0</v>
      </c>
      <c r="F151" s="5">
        <f>ROUND(IFERROR(IF(OR($B151 &lt;=0, $B151 = ExtraPayment),0,
MAX(-$B151, -(-PMT(InterestRate/PaymentsPerYear,LoanTerm*PaymentsPerYear,LoanAmount) + $E151))), 0), 2)</f>
        <v>0</v>
      </c>
      <c r="G151" s="5">
        <f t="shared" si="10"/>
        <v>0</v>
      </c>
      <c r="H151" s="5">
        <f t="shared" si="11"/>
        <v>0</v>
      </c>
    </row>
    <row r="152" spans="1:8" x14ac:dyDescent="0.2">
      <c r="A152" s="2">
        <v>151</v>
      </c>
      <c r="B152" s="5">
        <f t="shared" si="8"/>
        <v>0</v>
      </c>
      <c r="C152" s="5">
        <f t="shared" si="9"/>
        <v>0</v>
      </c>
      <c r="D152" s="5">
        <f>IF(ExtraPayment=0, 0, IF(AND($B152&lt;&gt;0,ExtraPayment&lt;=$B152),-ExtraPayment,-($F152)-$B152))</f>
        <v>0</v>
      </c>
      <c r="E152" s="5">
        <f>IF($B152 &lt;= 0, 0, -ROUND($B152 * (InterestRate / PaymentsPerYear), 2))</f>
        <v>0</v>
      </c>
      <c r="F152" s="5">
        <f>ROUND(IFERROR(IF(OR($B152 &lt;=0, $B152 = ExtraPayment),0,
MAX(-$B152, -(-PMT(InterestRate/PaymentsPerYear,LoanTerm*PaymentsPerYear,LoanAmount) + $E152))), 0), 2)</f>
        <v>0</v>
      </c>
      <c r="G152" s="5">
        <f t="shared" si="10"/>
        <v>0</v>
      </c>
      <c r="H152" s="5">
        <f t="shared" si="11"/>
        <v>0</v>
      </c>
    </row>
    <row r="153" spans="1:8" x14ac:dyDescent="0.2">
      <c r="A153" s="2">
        <v>152</v>
      </c>
      <c r="B153" s="5">
        <f t="shared" si="8"/>
        <v>0</v>
      </c>
      <c r="C153" s="5">
        <f t="shared" si="9"/>
        <v>0</v>
      </c>
      <c r="D153" s="5">
        <f>IF(ExtraPayment=0, 0, IF(AND($B153&lt;&gt;0,ExtraPayment&lt;=$B153),-ExtraPayment,-($F153)-$B153))</f>
        <v>0</v>
      </c>
      <c r="E153" s="5">
        <f>IF($B153 &lt;= 0, 0, -ROUND($B153 * (InterestRate / PaymentsPerYear), 2))</f>
        <v>0</v>
      </c>
      <c r="F153" s="5">
        <f>ROUND(IFERROR(IF(OR($B153 &lt;=0, $B153 = ExtraPayment),0,
MAX(-$B153, -(-PMT(InterestRate/PaymentsPerYear,LoanTerm*PaymentsPerYear,LoanAmount) + $E153))), 0), 2)</f>
        <v>0</v>
      </c>
      <c r="G153" s="5">
        <f t="shared" si="10"/>
        <v>0</v>
      </c>
      <c r="H153" s="5">
        <f t="shared" si="11"/>
        <v>0</v>
      </c>
    </row>
    <row r="154" spans="1:8" x14ac:dyDescent="0.2">
      <c r="A154" s="2">
        <v>153</v>
      </c>
      <c r="B154" s="5">
        <f t="shared" si="8"/>
        <v>0</v>
      </c>
      <c r="C154" s="5">
        <f t="shared" si="9"/>
        <v>0</v>
      </c>
      <c r="D154" s="5">
        <f>IF(ExtraPayment=0, 0, IF(AND($B154&lt;&gt;0,ExtraPayment&lt;=$B154),-ExtraPayment,-($F154)-$B154))</f>
        <v>0</v>
      </c>
      <c r="E154" s="5">
        <f>IF($B154 &lt;= 0, 0, -ROUND($B154 * (InterestRate / PaymentsPerYear), 2))</f>
        <v>0</v>
      </c>
      <c r="F154" s="5">
        <f>ROUND(IFERROR(IF(OR($B154 &lt;=0, $B154 = ExtraPayment),0,
MAX(-$B154, -(-PMT(InterestRate/PaymentsPerYear,LoanTerm*PaymentsPerYear,LoanAmount) + $E154))), 0), 2)</f>
        <v>0</v>
      </c>
      <c r="G154" s="5">
        <f t="shared" si="10"/>
        <v>0</v>
      </c>
      <c r="H154" s="5">
        <f t="shared" si="11"/>
        <v>0</v>
      </c>
    </row>
    <row r="155" spans="1:8" x14ac:dyDescent="0.2">
      <c r="A155" s="2">
        <v>154</v>
      </c>
      <c r="B155" s="5">
        <f t="shared" si="8"/>
        <v>0</v>
      </c>
      <c r="C155" s="5">
        <f t="shared" si="9"/>
        <v>0</v>
      </c>
      <c r="D155" s="5">
        <f>IF(ExtraPayment=0, 0, IF(AND($B155&lt;&gt;0,ExtraPayment&lt;=$B155),-ExtraPayment,-($F155)-$B155))</f>
        <v>0</v>
      </c>
      <c r="E155" s="5">
        <f>IF($B155 &lt;= 0, 0, -ROUND($B155 * (InterestRate / PaymentsPerYear), 2))</f>
        <v>0</v>
      </c>
      <c r="F155" s="5">
        <f>ROUND(IFERROR(IF(OR($B155 &lt;=0, $B155 = ExtraPayment),0,
MAX(-$B155, -(-PMT(InterestRate/PaymentsPerYear,LoanTerm*PaymentsPerYear,LoanAmount) + $E155))), 0), 2)</f>
        <v>0</v>
      </c>
      <c r="G155" s="5">
        <f t="shared" si="10"/>
        <v>0</v>
      </c>
      <c r="H155" s="5">
        <f t="shared" si="11"/>
        <v>0</v>
      </c>
    </row>
    <row r="156" spans="1:8" x14ac:dyDescent="0.2">
      <c r="A156" s="2">
        <v>155</v>
      </c>
      <c r="B156" s="5">
        <f t="shared" si="8"/>
        <v>0</v>
      </c>
      <c r="C156" s="5">
        <f t="shared" si="9"/>
        <v>0</v>
      </c>
      <c r="D156" s="5">
        <f>IF(ExtraPayment=0, 0, IF(AND($B156&lt;&gt;0,ExtraPayment&lt;=$B156),-ExtraPayment,-($F156)-$B156))</f>
        <v>0</v>
      </c>
      <c r="E156" s="5">
        <f>IF($B156 &lt;= 0, 0, -ROUND($B156 * (InterestRate / PaymentsPerYear), 2))</f>
        <v>0</v>
      </c>
      <c r="F156" s="5">
        <f>ROUND(IFERROR(IF(OR($B156 &lt;=0, $B156 = ExtraPayment),0,
MAX(-$B156, -(-PMT(InterestRate/PaymentsPerYear,LoanTerm*PaymentsPerYear,LoanAmount) + $E156))), 0), 2)</f>
        <v>0</v>
      </c>
      <c r="G156" s="5">
        <f t="shared" si="10"/>
        <v>0</v>
      </c>
      <c r="H156" s="5">
        <f t="shared" si="11"/>
        <v>0</v>
      </c>
    </row>
    <row r="157" spans="1:8" x14ac:dyDescent="0.2">
      <c r="A157" s="2">
        <v>156</v>
      </c>
      <c r="B157" s="5">
        <f t="shared" si="8"/>
        <v>0</v>
      </c>
      <c r="C157" s="5">
        <f t="shared" si="9"/>
        <v>0</v>
      </c>
      <c r="D157" s="5">
        <f>IF(ExtraPayment=0, 0, IF(AND($B157&lt;&gt;0,ExtraPayment&lt;=$B157),-ExtraPayment,-($F157)-$B157))</f>
        <v>0</v>
      </c>
      <c r="E157" s="5">
        <f>IF($B157 &lt;= 0, 0, -ROUND($B157 * (InterestRate / PaymentsPerYear), 2))</f>
        <v>0</v>
      </c>
      <c r="F157" s="5">
        <f>ROUND(IFERROR(IF(OR($B157 &lt;=0, $B157 = ExtraPayment),0,
MAX(-$B157, -(-PMT(InterestRate/PaymentsPerYear,LoanTerm*PaymentsPerYear,LoanAmount) + $E157))), 0), 2)</f>
        <v>0</v>
      </c>
      <c r="G157" s="5">
        <f t="shared" si="10"/>
        <v>0</v>
      </c>
      <c r="H157" s="5">
        <f t="shared" si="11"/>
        <v>0</v>
      </c>
    </row>
    <row r="158" spans="1:8" x14ac:dyDescent="0.2">
      <c r="A158" s="2">
        <v>157</v>
      </c>
      <c r="B158" s="5">
        <f t="shared" si="8"/>
        <v>0</v>
      </c>
      <c r="C158" s="5">
        <f t="shared" si="9"/>
        <v>0</v>
      </c>
      <c r="D158" s="5">
        <f>IF(ExtraPayment=0, 0, IF(AND($B158&lt;&gt;0,ExtraPayment&lt;=$B158),-ExtraPayment,-($F158)-$B158))</f>
        <v>0</v>
      </c>
      <c r="E158" s="5">
        <f>IF($B158 &lt;= 0, 0, -ROUND($B158 * (InterestRate / PaymentsPerYear), 2))</f>
        <v>0</v>
      </c>
      <c r="F158" s="5">
        <f>ROUND(IFERROR(IF(OR($B158 &lt;=0, $B158 = ExtraPayment),0,
MAX(-$B158, -(-PMT(InterestRate/PaymentsPerYear,LoanTerm*PaymentsPerYear,LoanAmount) + $E158))), 0), 2)</f>
        <v>0</v>
      </c>
      <c r="G158" s="5">
        <f t="shared" si="10"/>
        <v>0</v>
      </c>
      <c r="H158" s="5">
        <f t="shared" si="11"/>
        <v>0</v>
      </c>
    </row>
    <row r="159" spans="1:8" x14ac:dyDescent="0.2">
      <c r="A159" s="2">
        <v>158</v>
      </c>
      <c r="B159" s="5">
        <f t="shared" si="8"/>
        <v>0</v>
      </c>
      <c r="C159" s="5">
        <f t="shared" si="9"/>
        <v>0</v>
      </c>
      <c r="D159" s="5">
        <f>IF(ExtraPayment=0, 0, IF(AND($B159&lt;&gt;0,ExtraPayment&lt;=$B159),-ExtraPayment,-($F159)-$B159))</f>
        <v>0</v>
      </c>
      <c r="E159" s="5">
        <f>IF($B159 &lt;= 0, 0, -ROUND($B159 * (InterestRate / PaymentsPerYear), 2))</f>
        <v>0</v>
      </c>
      <c r="F159" s="5">
        <f>ROUND(IFERROR(IF(OR($B159 &lt;=0, $B159 = ExtraPayment),0,
MAX(-$B159, -(-PMT(InterestRate/PaymentsPerYear,LoanTerm*PaymentsPerYear,LoanAmount) + $E159))), 0), 2)</f>
        <v>0</v>
      </c>
      <c r="G159" s="5">
        <f t="shared" si="10"/>
        <v>0</v>
      </c>
      <c r="H159" s="5">
        <f t="shared" si="11"/>
        <v>0</v>
      </c>
    </row>
    <row r="160" spans="1:8" x14ac:dyDescent="0.2">
      <c r="A160" s="2">
        <v>159</v>
      </c>
      <c r="B160" s="5">
        <f t="shared" si="8"/>
        <v>0</v>
      </c>
      <c r="C160" s="5">
        <f t="shared" si="9"/>
        <v>0</v>
      </c>
      <c r="D160" s="5">
        <f>IF(ExtraPayment=0, 0, IF(AND($B160&lt;&gt;0,ExtraPayment&lt;=$B160),-ExtraPayment,-($F160)-$B160))</f>
        <v>0</v>
      </c>
      <c r="E160" s="5">
        <f>IF($B160 &lt;= 0, 0, -ROUND($B160 * (InterestRate / PaymentsPerYear), 2))</f>
        <v>0</v>
      </c>
      <c r="F160" s="5">
        <f>ROUND(IFERROR(IF(OR($B160 &lt;=0, $B160 = ExtraPayment),0,
MAX(-$B160, -(-PMT(InterestRate/PaymentsPerYear,LoanTerm*PaymentsPerYear,LoanAmount) + $E160))), 0), 2)</f>
        <v>0</v>
      </c>
      <c r="G160" s="5">
        <f t="shared" si="10"/>
        <v>0</v>
      </c>
      <c r="H160" s="5">
        <f t="shared" si="11"/>
        <v>0</v>
      </c>
    </row>
    <row r="161" spans="1:8" x14ac:dyDescent="0.2">
      <c r="A161" s="2">
        <v>160</v>
      </c>
      <c r="B161" s="5">
        <f t="shared" si="8"/>
        <v>0</v>
      </c>
      <c r="C161" s="5">
        <f t="shared" si="9"/>
        <v>0</v>
      </c>
      <c r="D161" s="5">
        <f>IF(ExtraPayment=0, 0, IF(AND($B161&lt;&gt;0,ExtraPayment&lt;=$B161),-ExtraPayment,-($F161)-$B161))</f>
        <v>0</v>
      </c>
      <c r="E161" s="5">
        <f>IF($B161 &lt;= 0, 0, -ROUND($B161 * (InterestRate / PaymentsPerYear), 2))</f>
        <v>0</v>
      </c>
      <c r="F161" s="5">
        <f>ROUND(IFERROR(IF(OR($B161 &lt;=0, $B161 = ExtraPayment),0,
MAX(-$B161, -(-PMT(InterestRate/PaymentsPerYear,LoanTerm*PaymentsPerYear,LoanAmount) + $E161))), 0), 2)</f>
        <v>0</v>
      </c>
      <c r="G161" s="5">
        <f t="shared" si="10"/>
        <v>0</v>
      </c>
      <c r="H161" s="5">
        <f t="shared" si="11"/>
        <v>0</v>
      </c>
    </row>
    <row r="162" spans="1:8" x14ac:dyDescent="0.2">
      <c r="A162" s="2">
        <v>161</v>
      </c>
      <c r="B162" s="5">
        <f t="shared" si="8"/>
        <v>0</v>
      </c>
      <c r="C162" s="5">
        <f t="shared" si="9"/>
        <v>0</v>
      </c>
      <c r="D162" s="5">
        <f>IF(ExtraPayment=0, 0, IF(AND($B162&lt;&gt;0,ExtraPayment&lt;=$B162),-ExtraPayment,-($F162)-$B162))</f>
        <v>0</v>
      </c>
      <c r="E162" s="5">
        <f>IF($B162 &lt;= 0, 0, -ROUND($B162 * (InterestRate / PaymentsPerYear), 2))</f>
        <v>0</v>
      </c>
      <c r="F162" s="5">
        <f>ROUND(IFERROR(IF(OR($B162 &lt;=0, $B162 = ExtraPayment),0,
MAX(-$B162, -(-PMT(InterestRate/PaymentsPerYear,LoanTerm*PaymentsPerYear,LoanAmount) + $E162))), 0), 2)</f>
        <v>0</v>
      </c>
      <c r="G162" s="5">
        <f t="shared" si="10"/>
        <v>0</v>
      </c>
      <c r="H162" s="5">
        <f t="shared" si="11"/>
        <v>0</v>
      </c>
    </row>
    <row r="163" spans="1:8" x14ac:dyDescent="0.2">
      <c r="A163" s="2">
        <v>162</v>
      </c>
      <c r="B163" s="5">
        <f t="shared" si="8"/>
        <v>0</v>
      </c>
      <c r="C163" s="5">
        <f t="shared" si="9"/>
        <v>0</v>
      </c>
      <c r="D163" s="5">
        <f>IF(ExtraPayment=0, 0, IF(AND($B163&lt;&gt;0,ExtraPayment&lt;=$B163),-ExtraPayment,-($F163)-$B163))</f>
        <v>0</v>
      </c>
      <c r="E163" s="5">
        <f>IF($B163 &lt;= 0, 0, -ROUND($B163 * (InterestRate / PaymentsPerYear), 2))</f>
        <v>0</v>
      </c>
      <c r="F163" s="5">
        <f>ROUND(IFERROR(IF(OR($B163 &lt;=0, $B163 = ExtraPayment),0,
MAX(-$B163, -(-PMT(InterestRate/PaymentsPerYear,LoanTerm*PaymentsPerYear,LoanAmount) + $E163))), 0), 2)</f>
        <v>0</v>
      </c>
      <c r="G163" s="5">
        <f t="shared" si="10"/>
        <v>0</v>
      </c>
      <c r="H163" s="5">
        <f t="shared" si="11"/>
        <v>0</v>
      </c>
    </row>
    <row r="164" spans="1:8" x14ac:dyDescent="0.2">
      <c r="A164" s="2">
        <v>163</v>
      </c>
      <c r="B164" s="5">
        <f t="shared" si="8"/>
        <v>0</v>
      </c>
      <c r="C164" s="5">
        <f t="shared" si="9"/>
        <v>0</v>
      </c>
      <c r="D164" s="5">
        <f>IF(ExtraPayment=0, 0, IF(AND($B164&lt;&gt;0,ExtraPayment&lt;=$B164),-ExtraPayment,-($F164)-$B164))</f>
        <v>0</v>
      </c>
      <c r="E164" s="5">
        <f>IF($B164 &lt;= 0, 0, -ROUND($B164 * (InterestRate / PaymentsPerYear), 2))</f>
        <v>0</v>
      </c>
      <c r="F164" s="5">
        <f>ROUND(IFERROR(IF(OR($B164 &lt;=0, $B164 = ExtraPayment),0,
MAX(-$B164, -(-PMT(InterestRate/PaymentsPerYear,LoanTerm*PaymentsPerYear,LoanAmount) + $E164))), 0), 2)</f>
        <v>0</v>
      </c>
      <c r="G164" s="5">
        <f t="shared" si="10"/>
        <v>0</v>
      </c>
      <c r="H164" s="5">
        <f t="shared" si="11"/>
        <v>0</v>
      </c>
    </row>
    <row r="165" spans="1:8" x14ac:dyDescent="0.2">
      <c r="A165" s="2">
        <v>164</v>
      </c>
      <c r="B165" s="5">
        <f t="shared" si="8"/>
        <v>0</v>
      </c>
      <c r="C165" s="5">
        <f t="shared" si="9"/>
        <v>0</v>
      </c>
      <c r="D165" s="5">
        <f>IF(ExtraPayment=0, 0, IF(AND($B165&lt;&gt;0,ExtraPayment&lt;=$B165),-ExtraPayment,-($F165)-$B165))</f>
        <v>0</v>
      </c>
      <c r="E165" s="5">
        <f>IF($B165 &lt;= 0, 0, -ROUND($B165 * (InterestRate / PaymentsPerYear), 2))</f>
        <v>0</v>
      </c>
      <c r="F165" s="5">
        <f>ROUND(IFERROR(IF(OR($B165 &lt;=0, $B165 = ExtraPayment),0,
MAX(-$B165, -(-PMT(InterestRate/PaymentsPerYear,LoanTerm*PaymentsPerYear,LoanAmount) + $E165))), 0), 2)</f>
        <v>0</v>
      </c>
      <c r="G165" s="5">
        <f t="shared" si="10"/>
        <v>0</v>
      </c>
      <c r="H165" s="5">
        <f t="shared" si="11"/>
        <v>0</v>
      </c>
    </row>
    <row r="166" spans="1:8" x14ac:dyDescent="0.2">
      <c r="A166" s="2">
        <v>165</v>
      </c>
      <c r="B166" s="5">
        <f t="shared" si="8"/>
        <v>0</v>
      </c>
      <c r="C166" s="5">
        <f t="shared" si="9"/>
        <v>0</v>
      </c>
      <c r="D166" s="5">
        <f>IF(ExtraPayment=0, 0, IF(AND($B166&lt;&gt;0,ExtraPayment&lt;=$B166),-ExtraPayment,-($F166)-$B166))</f>
        <v>0</v>
      </c>
      <c r="E166" s="5">
        <f>IF($B166 &lt;= 0, 0, -ROUND($B166 * (InterestRate / PaymentsPerYear), 2))</f>
        <v>0</v>
      </c>
      <c r="F166" s="5">
        <f>ROUND(IFERROR(IF(OR($B166 &lt;=0, $B166 = ExtraPayment),0,
MAX(-$B166, -(-PMT(InterestRate/PaymentsPerYear,LoanTerm*PaymentsPerYear,LoanAmount) + $E166))), 0), 2)</f>
        <v>0</v>
      </c>
      <c r="G166" s="5">
        <f t="shared" si="10"/>
        <v>0</v>
      </c>
      <c r="H166" s="5">
        <f t="shared" si="11"/>
        <v>0</v>
      </c>
    </row>
    <row r="167" spans="1:8" x14ac:dyDescent="0.2">
      <c r="A167" s="2">
        <v>166</v>
      </c>
      <c r="B167" s="5">
        <f t="shared" si="8"/>
        <v>0</v>
      </c>
      <c r="C167" s="5">
        <f t="shared" si="9"/>
        <v>0</v>
      </c>
      <c r="D167" s="5">
        <f>IF(ExtraPayment=0, 0, IF(AND($B167&lt;&gt;0,ExtraPayment&lt;=$B167),-ExtraPayment,-($F167)-$B167))</f>
        <v>0</v>
      </c>
      <c r="E167" s="5">
        <f>IF($B167 &lt;= 0, 0, -ROUND($B167 * (InterestRate / PaymentsPerYear), 2))</f>
        <v>0</v>
      </c>
      <c r="F167" s="5">
        <f>ROUND(IFERROR(IF(OR($B167 &lt;=0, $B167 = ExtraPayment),0,
MAX(-$B167, -(-PMT(InterestRate/PaymentsPerYear,LoanTerm*PaymentsPerYear,LoanAmount) + $E167))), 0), 2)</f>
        <v>0</v>
      </c>
      <c r="G167" s="5">
        <f t="shared" si="10"/>
        <v>0</v>
      </c>
      <c r="H167" s="5">
        <f t="shared" si="11"/>
        <v>0</v>
      </c>
    </row>
    <row r="168" spans="1:8" x14ac:dyDescent="0.2">
      <c r="A168" s="2">
        <v>167</v>
      </c>
      <c r="B168" s="5">
        <f t="shared" si="8"/>
        <v>0</v>
      </c>
      <c r="C168" s="5">
        <f t="shared" si="9"/>
        <v>0</v>
      </c>
      <c r="D168" s="5">
        <f>IF(ExtraPayment=0, 0, IF(AND($B168&lt;&gt;0,ExtraPayment&lt;=$B168),-ExtraPayment,-($F168)-$B168))</f>
        <v>0</v>
      </c>
      <c r="E168" s="5">
        <f>IF($B168 &lt;= 0, 0, -ROUND($B168 * (InterestRate / PaymentsPerYear), 2))</f>
        <v>0</v>
      </c>
      <c r="F168" s="5">
        <f>ROUND(IFERROR(IF(OR($B168 &lt;=0, $B168 = ExtraPayment),0,
MAX(-$B168, -(-PMT(InterestRate/PaymentsPerYear,LoanTerm*PaymentsPerYear,LoanAmount) + $E168))), 0), 2)</f>
        <v>0</v>
      </c>
      <c r="G168" s="5">
        <f t="shared" si="10"/>
        <v>0</v>
      </c>
      <c r="H168" s="5">
        <f t="shared" si="11"/>
        <v>0</v>
      </c>
    </row>
    <row r="169" spans="1:8" x14ac:dyDescent="0.2">
      <c r="A169" s="2">
        <v>168</v>
      </c>
      <c r="B169" s="5">
        <f t="shared" si="8"/>
        <v>0</v>
      </c>
      <c r="C169" s="5">
        <f t="shared" si="9"/>
        <v>0</v>
      </c>
      <c r="D169" s="5">
        <f>IF(ExtraPayment=0, 0, IF(AND($B169&lt;&gt;0,ExtraPayment&lt;=$B169),-ExtraPayment,-($F169)-$B169))</f>
        <v>0</v>
      </c>
      <c r="E169" s="5">
        <f>IF($B169 &lt;= 0, 0, -ROUND($B169 * (InterestRate / PaymentsPerYear), 2))</f>
        <v>0</v>
      </c>
      <c r="F169" s="5">
        <f>ROUND(IFERROR(IF(OR($B169 &lt;=0, $B169 = ExtraPayment),0,
MAX(-$B169, -(-PMT(InterestRate/PaymentsPerYear,LoanTerm*PaymentsPerYear,LoanAmount) + $E169))), 0), 2)</f>
        <v>0</v>
      </c>
      <c r="G169" s="5">
        <f t="shared" si="10"/>
        <v>0</v>
      </c>
      <c r="H169" s="5">
        <f t="shared" si="11"/>
        <v>0</v>
      </c>
    </row>
    <row r="170" spans="1:8" x14ac:dyDescent="0.2">
      <c r="A170" s="2">
        <v>169</v>
      </c>
      <c r="B170" s="5">
        <f t="shared" si="8"/>
        <v>0</v>
      </c>
      <c r="C170" s="5">
        <f t="shared" si="9"/>
        <v>0</v>
      </c>
      <c r="D170" s="5">
        <f>IF(ExtraPayment=0, 0, IF(AND($B170&lt;&gt;0,ExtraPayment&lt;=$B170),-ExtraPayment,-($F170)-$B170))</f>
        <v>0</v>
      </c>
      <c r="E170" s="5">
        <f>IF($B170 &lt;= 0, 0, -ROUND($B170 * (InterestRate / PaymentsPerYear), 2))</f>
        <v>0</v>
      </c>
      <c r="F170" s="5">
        <f>ROUND(IFERROR(IF(OR($B170 &lt;=0, $B170 = ExtraPayment),0,
MAX(-$B170, -(-PMT(InterestRate/PaymentsPerYear,LoanTerm*PaymentsPerYear,LoanAmount) + $E170))), 0), 2)</f>
        <v>0</v>
      </c>
      <c r="G170" s="5">
        <f t="shared" si="10"/>
        <v>0</v>
      </c>
      <c r="H170" s="5">
        <f t="shared" si="11"/>
        <v>0</v>
      </c>
    </row>
    <row r="171" spans="1:8" x14ac:dyDescent="0.2">
      <c r="A171" s="2">
        <v>170</v>
      </c>
      <c r="B171" s="5">
        <f t="shared" si="8"/>
        <v>0</v>
      </c>
      <c r="C171" s="5">
        <f t="shared" si="9"/>
        <v>0</v>
      </c>
      <c r="D171" s="5">
        <f>IF(ExtraPayment=0, 0, IF(AND($B171&lt;&gt;0,ExtraPayment&lt;=$B171),-ExtraPayment,-($F171)-$B171))</f>
        <v>0</v>
      </c>
      <c r="E171" s="5">
        <f>IF($B171 &lt;= 0, 0, -ROUND($B171 * (InterestRate / PaymentsPerYear), 2))</f>
        <v>0</v>
      </c>
      <c r="F171" s="5">
        <f>ROUND(IFERROR(IF(OR($B171 &lt;=0, $B171 = ExtraPayment),0,
MAX(-$B171, -(-PMT(InterestRate/PaymentsPerYear,LoanTerm*PaymentsPerYear,LoanAmount) + $E171))), 0), 2)</f>
        <v>0</v>
      </c>
      <c r="G171" s="5">
        <f t="shared" si="10"/>
        <v>0</v>
      </c>
      <c r="H171" s="5">
        <f t="shared" si="11"/>
        <v>0</v>
      </c>
    </row>
    <row r="172" spans="1:8" x14ac:dyDescent="0.2">
      <c r="A172" s="2">
        <v>171</v>
      </c>
      <c r="B172" s="5">
        <f t="shared" si="8"/>
        <v>0</v>
      </c>
      <c r="C172" s="5">
        <f t="shared" si="9"/>
        <v>0</v>
      </c>
      <c r="D172" s="5">
        <f>IF(ExtraPayment=0, 0, IF(AND($B172&lt;&gt;0,ExtraPayment&lt;=$B172),-ExtraPayment,-($F172)-$B172))</f>
        <v>0</v>
      </c>
      <c r="E172" s="5">
        <f>IF($B172 &lt;= 0, 0, -ROUND($B172 * (InterestRate / PaymentsPerYear), 2))</f>
        <v>0</v>
      </c>
      <c r="F172" s="5">
        <f>ROUND(IFERROR(IF(OR($B172 &lt;=0, $B172 = ExtraPayment),0,
MAX(-$B172, -(-PMT(InterestRate/PaymentsPerYear,LoanTerm*PaymentsPerYear,LoanAmount) + $E172))), 0), 2)</f>
        <v>0</v>
      </c>
      <c r="G172" s="5">
        <f t="shared" si="10"/>
        <v>0</v>
      </c>
      <c r="H172" s="5">
        <f t="shared" si="11"/>
        <v>0</v>
      </c>
    </row>
    <row r="173" spans="1:8" x14ac:dyDescent="0.2">
      <c r="A173" s="2">
        <v>172</v>
      </c>
      <c r="B173" s="5">
        <f t="shared" si="8"/>
        <v>0</v>
      </c>
      <c r="C173" s="5">
        <f t="shared" si="9"/>
        <v>0</v>
      </c>
      <c r="D173" s="5">
        <f>IF(ExtraPayment=0, 0, IF(AND($B173&lt;&gt;0,ExtraPayment&lt;=$B173),-ExtraPayment,-($F173)-$B173))</f>
        <v>0</v>
      </c>
      <c r="E173" s="5">
        <f>IF($B173 &lt;= 0, 0, -ROUND($B173 * (InterestRate / PaymentsPerYear), 2))</f>
        <v>0</v>
      </c>
      <c r="F173" s="5">
        <f>ROUND(IFERROR(IF(OR($B173 &lt;=0, $B173 = ExtraPayment),0,
MAX(-$B173, -(-PMT(InterestRate/PaymentsPerYear,LoanTerm*PaymentsPerYear,LoanAmount) + $E173))), 0), 2)</f>
        <v>0</v>
      </c>
      <c r="G173" s="5">
        <f t="shared" si="10"/>
        <v>0</v>
      </c>
      <c r="H173" s="5">
        <f t="shared" si="11"/>
        <v>0</v>
      </c>
    </row>
    <row r="174" spans="1:8" x14ac:dyDescent="0.2">
      <c r="A174" s="2">
        <v>173</v>
      </c>
      <c r="B174" s="5">
        <f t="shared" si="8"/>
        <v>0</v>
      </c>
      <c r="C174" s="5">
        <f t="shared" si="9"/>
        <v>0</v>
      </c>
      <c r="D174" s="5">
        <f>IF(ExtraPayment=0, 0, IF(AND($B174&lt;&gt;0,ExtraPayment&lt;=$B174),-ExtraPayment,-($F174)-$B174))</f>
        <v>0</v>
      </c>
      <c r="E174" s="5">
        <f>IF($B174 &lt;= 0, 0, -ROUND($B174 * (InterestRate / PaymentsPerYear), 2))</f>
        <v>0</v>
      </c>
      <c r="F174" s="5">
        <f>ROUND(IFERROR(IF(OR($B174 &lt;=0, $B174 = ExtraPayment),0,
MAX(-$B174, -(-PMT(InterestRate/PaymentsPerYear,LoanTerm*PaymentsPerYear,LoanAmount) + $E174))), 0), 2)</f>
        <v>0</v>
      </c>
      <c r="G174" s="5">
        <f t="shared" si="10"/>
        <v>0</v>
      </c>
      <c r="H174" s="5">
        <f t="shared" si="11"/>
        <v>0</v>
      </c>
    </row>
    <row r="175" spans="1:8" x14ac:dyDescent="0.2">
      <c r="A175" s="2">
        <v>174</v>
      </c>
      <c r="B175" s="5">
        <f t="shared" si="8"/>
        <v>0</v>
      </c>
      <c r="C175" s="5">
        <f t="shared" si="9"/>
        <v>0</v>
      </c>
      <c r="D175" s="5">
        <f>IF(ExtraPayment=0, 0, IF(AND($B175&lt;&gt;0,ExtraPayment&lt;=$B175),-ExtraPayment,-($F175)-$B175))</f>
        <v>0</v>
      </c>
      <c r="E175" s="5">
        <f>IF($B175 &lt;= 0, 0, -ROUND($B175 * (InterestRate / PaymentsPerYear), 2))</f>
        <v>0</v>
      </c>
      <c r="F175" s="5">
        <f>ROUND(IFERROR(IF(OR($B175 &lt;=0, $B175 = ExtraPayment),0,
MAX(-$B175, -(-PMT(InterestRate/PaymentsPerYear,LoanTerm*PaymentsPerYear,LoanAmount) + $E175))), 0), 2)</f>
        <v>0</v>
      </c>
      <c r="G175" s="5">
        <f t="shared" si="10"/>
        <v>0</v>
      </c>
      <c r="H175" s="5">
        <f t="shared" si="11"/>
        <v>0</v>
      </c>
    </row>
    <row r="176" spans="1:8" x14ac:dyDescent="0.2">
      <c r="A176" s="2">
        <v>175</v>
      </c>
      <c r="B176" s="5">
        <f t="shared" si="8"/>
        <v>0</v>
      </c>
      <c r="C176" s="5">
        <f t="shared" si="9"/>
        <v>0</v>
      </c>
      <c r="D176" s="5">
        <f>IF(ExtraPayment=0, 0, IF(AND($B176&lt;&gt;0,ExtraPayment&lt;=$B176),-ExtraPayment,-($F176)-$B176))</f>
        <v>0</v>
      </c>
      <c r="E176" s="5">
        <f>IF($B176 &lt;= 0, 0, -ROUND($B176 * (InterestRate / PaymentsPerYear), 2))</f>
        <v>0</v>
      </c>
      <c r="F176" s="5">
        <f>ROUND(IFERROR(IF(OR($B176 &lt;=0, $B176 = ExtraPayment),0,
MAX(-$B176, -(-PMT(InterestRate/PaymentsPerYear,LoanTerm*PaymentsPerYear,LoanAmount) + $E176))), 0), 2)</f>
        <v>0</v>
      </c>
      <c r="G176" s="5">
        <f t="shared" si="10"/>
        <v>0</v>
      </c>
      <c r="H176" s="5">
        <f t="shared" si="11"/>
        <v>0</v>
      </c>
    </row>
    <row r="177" spans="1:8" x14ac:dyDescent="0.2">
      <c r="A177" s="2">
        <v>176</v>
      </c>
      <c r="B177" s="5">
        <f t="shared" si="8"/>
        <v>0</v>
      </c>
      <c r="C177" s="5">
        <f t="shared" si="9"/>
        <v>0</v>
      </c>
      <c r="D177" s="5">
        <f>IF(ExtraPayment=0, 0, IF(AND($B177&lt;&gt;0,ExtraPayment&lt;=$B177),-ExtraPayment,-($F177)-$B177))</f>
        <v>0</v>
      </c>
      <c r="E177" s="5">
        <f>IF($B177 &lt;= 0, 0, -ROUND($B177 * (InterestRate / PaymentsPerYear), 2))</f>
        <v>0</v>
      </c>
      <c r="F177" s="5">
        <f>ROUND(IFERROR(IF(OR($B177 &lt;=0, $B177 = ExtraPayment),0,
MAX(-$B177, -(-PMT(InterestRate/PaymentsPerYear,LoanTerm*PaymentsPerYear,LoanAmount) + $E177))), 0), 2)</f>
        <v>0</v>
      </c>
      <c r="G177" s="5">
        <f t="shared" si="10"/>
        <v>0</v>
      </c>
      <c r="H177" s="5">
        <f t="shared" si="11"/>
        <v>0</v>
      </c>
    </row>
    <row r="178" spans="1:8" x14ac:dyDescent="0.2">
      <c r="A178" s="2">
        <v>177</v>
      </c>
      <c r="B178" s="5">
        <f t="shared" si="8"/>
        <v>0</v>
      </c>
      <c r="C178" s="5">
        <f t="shared" si="9"/>
        <v>0</v>
      </c>
      <c r="D178" s="5">
        <f>IF(ExtraPayment=0, 0, IF(AND($B178&lt;&gt;0,ExtraPayment&lt;=$B178),-ExtraPayment,-($F178)-$B178))</f>
        <v>0</v>
      </c>
      <c r="E178" s="5">
        <f>IF($B178 &lt;= 0, 0, -ROUND($B178 * (InterestRate / PaymentsPerYear), 2))</f>
        <v>0</v>
      </c>
      <c r="F178" s="5">
        <f>ROUND(IFERROR(IF(OR($B178 &lt;=0, $B178 = ExtraPayment),0,
MAX(-$B178, -(-PMT(InterestRate/PaymentsPerYear,LoanTerm*PaymentsPerYear,LoanAmount) + $E178))), 0), 2)</f>
        <v>0</v>
      </c>
      <c r="G178" s="5">
        <f t="shared" si="10"/>
        <v>0</v>
      </c>
      <c r="H178" s="5">
        <f t="shared" si="11"/>
        <v>0</v>
      </c>
    </row>
    <row r="179" spans="1:8" x14ac:dyDescent="0.2">
      <c r="A179" s="2">
        <v>178</v>
      </c>
      <c r="B179" s="5">
        <f t="shared" si="8"/>
        <v>0</v>
      </c>
      <c r="C179" s="5">
        <f t="shared" si="9"/>
        <v>0</v>
      </c>
      <c r="D179" s="5">
        <f>IF(ExtraPayment=0, 0, IF(AND($B179&lt;&gt;0,ExtraPayment&lt;=$B179),-ExtraPayment,-($F179)-$B179))</f>
        <v>0</v>
      </c>
      <c r="E179" s="5">
        <f>IF($B179 &lt;= 0, 0, -ROUND($B179 * (InterestRate / PaymentsPerYear), 2))</f>
        <v>0</v>
      </c>
      <c r="F179" s="5">
        <f>ROUND(IFERROR(IF(OR($B179 &lt;=0, $B179 = ExtraPayment),0,
MAX(-$B179, -(-PMT(InterestRate/PaymentsPerYear,LoanTerm*PaymentsPerYear,LoanAmount) + $E179))), 0), 2)</f>
        <v>0</v>
      </c>
      <c r="G179" s="5">
        <f t="shared" si="10"/>
        <v>0</v>
      </c>
      <c r="H179" s="5">
        <f t="shared" si="11"/>
        <v>0</v>
      </c>
    </row>
    <row r="180" spans="1:8" x14ac:dyDescent="0.2">
      <c r="A180" s="2">
        <v>179</v>
      </c>
      <c r="B180" s="5">
        <f t="shared" si="8"/>
        <v>0</v>
      </c>
      <c r="C180" s="5">
        <f t="shared" si="9"/>
        <v>0</v>
      </c>
      <c r="D180" s="5">
        <f>IF(ExtraPayment=0, 0, IF(AND($B180&lt;&gt;0,ExtraPayment&lt;=$B180),-ExtraPayment,-($F180)-$B180))</f>
        <v>0</v>
      </c>
      <c r="E180" s="5">
        <f>IF($B180 &lt;= 0, 0, -ROUND($B180 * (InterestRate / PaymentsPerYear), 2))</f>
        <v>0</v>
      </c>
      <c r="F180" s="5">
        <f>ROUND(IFERROR(IF(OR($B180 &lt;=0, $B180 = ExtraPayment),0,
MAX(-$B180, -(-PMT(InterestRate/PaymentsPerYear,LoanTerm*PaymentsPerYear,LoanAmount) + $E180))), 0), 2)</f>
        <v>0</v>
      </c>
      <c r="G180" s="5">
        <f t="shared" si="10"/>
        <v>0</v>
      </c>
      <c r="H180" s="5">
        <f t="shared" si="11"/>
        <v>0</v>
      </c>
    </row>
    <row r="181" spans="1:8" x14ac:dyDescent="0.2">
      <c r="A181" s="2">
        <v>180</v>
      </c>
      <c r="B181" s="5">
        <f t="shared" si="8"/>
        <v>0</v>
      </c>
      <c r="C181" s="5">
        <f t="shared" si="9"/>
        <v>0</v>
      </c>
      <c r="D181" s="5">
        <f>IF(ExtraPayment=0, 0, IF(AND($B181&lt;&gt;0,ExtraPayment&lt;=$B181),-ExtraPayment,-($F181)-$B181))</f>
        <v>0</v>
      </c>
      <c r="E181" s="5">
        <f>IF($B181 &lt;= 0, 0, -ROUND($B181 * (InterestRate / PaymentsPerYear), 2))</f>
        <v>0</v>
      </c>
      <c r="F181" s="5">
        <f>ROUND(IFERROR(IF(OR($B181 &lt;=0, $B181 = ExtraPayment),0,
MAX(-$B181, -(-PMT(InterestRate/PaymentsPerYear,LoanTerm*PaymentsPerYear,LoanAmount) + $E181))), 0), 2)</f>
        <v>0</v>
      </c>
      <c r="G181" s="5">
        <f t="shared" si="10"/>
        <v>0</v>
      </c>
      <c r="H181" s="5">
        <f t="shared" si="11"/>
        <v>0</v>
      </c>
    </row>
    <row r="182" spans="1:8" x14ac:dyDescent="0.2">
      <c r="A182" s="2">
        <v>181</v>
      </c>
      <c r="B182" s="5">
        <f t="shared" si="8"/>
        <v>0</v>
      </c>
      <c r="C182" s="5">
        <f t="shared" si="9"/>
        <v>0</v>
      </c>
      <c r="D182" s="5">
        <f>IF(ExtraPayment=0, 0, IF(AND($B182&lt;&gt;0,ExtraPayment&lt;=$B182),-ExtraPayment,-($F182)-$B182))</f>
        <v>0</v>
      </c>
      <c r="E182" s="5">
        <f>IF($B182 &lt;= 0, 0, -ROUND($B182 * (InterestRate / PaymentsPerYear), 2))</f>
        <v>0</v>
      </c>
      <c r="F182" s="5">
        <f>ROUND(IFERROR(IF(OR($B182 &lt;=0, $B182 = ExtraPayment),0,
MAX(-$B182, -(-PMT(InterestRate/PaymentsPerYear,LoanTerm*PaymentsPerYear,LoanAmount) + $E182))), 0), 2)</f>
        <v>0</v>
      </c>
      <c r="G182" s="5">
        <f t="shared" si="10"/>
        <v>0</v>
      </c>
      <c r="H182" s="5">
        <f t="shared" si="11"/>
        <v>0</v>
      </c>
    </row>
    <row r="183" spans="1:8" x14ac:dyDescent="0.2">
      <c r="A183" s="2">
        <v>182</v>
      </c>
      <c r="B183" s="5">
        <f t="shared" si="8"/>
        <v>0</v>
      </c>
      <c r="C183" s="5">
        <f t="shared" si="9"/>
        <v>0</v>
      </c>
      <c r="D183" s="5">
        <f>IF(ExtraPayment=0, 0, IF(AND($B183&lt;&gt;0,ExtraPayment&lt;=$B183),-ExtraPayment,-($F183)-$B183))</f>
        <v>0</v>
      </c>
      <c r="E183" s="5">
        <f>IF($B183 &lt;= 0, 0, -ROUND($B183 * (InterestRate / PaymentsPerYear), 2))</f>
        <v>0</v>
      </c>
      <c r="F183" s="5">
        <f>ROUND(IFERROR(IF(OR($B183 &lt;=0, $B183 = ExtraPayment),0,
MAX(-$B183, -(-PMT(InterestRate/PaymentsPerYear,LoanTerm*PaymentsPerYear,LoanAmount) + $E183))), 0), 2)</f>
        <v>0</v>
      </c>
      <c r="G183" s="5">
        <f t="shared" si="10"/>
        <v>0</v>
      </c>
      <c r="H183" s="5">
        <f t="shared" si="11"/>
        <v>0</v>
      </c>
    </row>
    <row r="184" spans="1:8" x14ac:dyDescent="0.2">
      <c r="A184" s="2">
        <v>183</v>
      </c>
      <c r="B184" s="5">
        <f t="shared" si="8"/>
        <v>0</v>
      </c>
      <c r="C184" s="5">
        <f t="shared" si="9"/>
        <v>0</v>
      </c>
      <c r="D184" s="5">
        <f>IF(ExtraPayment=0, 0, IF(AND($B184&lt;&gt;0,ExtraPayment&lt;=$B184),-ExtraPayment,-($F184)-$B184))</f>
        <v>0</v>
      </c>
      <c r="E184" s="5">
        <f>IF($B184 &lt;= 0, 0, -ROUND($B184 * (InterestRate / PaymentsPerYear), 2))</f>
        <v>0</v>
      </c>
      <c r="F184" s="5">
        <f>ROUND(IFERROR(IF(OR($B184 &lt;=0, $B184 = ExtraPayment),0,
MAX(-$B184, -(-PMT(InterestRate/PaymentsPerYear,LoanTerm*PaymentsPerYear,LoanAmount) + $E184))), 0), 2)</f>
        <v>0</v>
      </c>
      <c r="G184" s="5">
        <f t="shared" si="10"/>
        <v>0</v>
      </c>
      <c r="H184" s="5">
        <f t="shared" si="11"/>
        <v>0</v>
      </c>
    </row>
    <row r="185" spans="1:8" x14ac:dyDescent="0.2">
      <c r="A185" s="2">
        <v>184</v>
      </c>
      <c r="B185" s="5">
        <f t="shared" si="8"/>
        <v>0</v>
      </c>
      <c r="C185" s="5">
        <f t="shared" si="9"/>
        <v>0</v>
      </c>
      <c r="D185" s="5">
        <f>IF(ExtraPayment=0, 0, IF(AND($B185&lt;&gt;0,ExtraPayment&lt;=$B185),-ExtraPayment,-($F185)-$B185))</f>
        <v>0</v>
      </c>
      <c r="E185" s="5">
        <f>IF($B185 &lt;= 0, 0, -ROUND($B185 * (InterestRate / PaymentsPerYear), 2))</f>
        <v>0</v>
      </c>
      <c r="F185" s="5">
        <f>ROUND(IFERROR(IF(OR($B185 &lt;=0, $B185 = ExtraPayment),0,
MAX(-$B185, -(-PMT(InterestRate/PaymentsPerYear,LoanTerm*PaymentsPerYear,LoanAmount) + $E185))), 0), 2)</f>
        <v>0</v>
      </c>
      <c r="G185" s="5">
        <f t="shared" si="10"/>
        <v>0</v>
      </c>
      <c r="H185" s="5">
        <f t="shared" si="11"/>
        <v>0</v>
      </c>
    </row>
    <row r="186" spans="1:8" x14ac:dyDescent="0.2">
      <c r="A186" s="2">
        <v>185</v>
      </c>
      <c r="B186" s="5">
        <f t="shared" si="8"/>
        <v>0</v>
      </c>
      <c r="C186" s="5">
        <f t="shared" si="9"/>
        <v>0</v>
      </c>
      <c r="D186" s="5">
        <f>IF(ExtraPayment=0, 0, IF(AND($B186&lt;&gt;0,ExtraPayment&lt;=$B186),-ExtraPayment,-($F186)-$B186))</f>
        <v>0</v>
      </c>
      <c r="E186" s="5">
        <f>IF($B186 &lt;= 0, 0, -ROUND($B186 * (InterestRate / PaymentsPerYear), 2))</f>
        <v>0</v>
      </c>
      <c r="F186" s="5">
        <f>ROUND(IFERROR(IF(OR($B186 &lt;=0, $B186 = ExtraPayment),0,
MAX(-$B186, -(-PMT(InterestRate/PaymentsPerYear,LoanTerm*PaymentsPerYear,LoanAmount) + $E186))), 0), 2)</f>
        <v>0</v>
      </c>
      <c r="G186" s="5">
        <f t="shared" si="10"/>
        <v>0</v>
      </c>
      <c r="H186" s="5">
        <f t="shared" si="11"/>
        <v>0</v>
      </c>
    </row>
    <row r="187" spans="1:8" x14ac:dyDescent="0.2">
      <c r="A187" s="2">
        <v>186</v>
      </c>
      <c r="B187" s="5">
        <f t="shared" si="8"/>
        <v>0</v>
      </c>
      <c r="C187" s="5">
        <f t="shared" si="9"/>
        <v>0</v>
      </c>
      <c r="D187" s="5">
        <f>IF(ExtraPayment=0, 0, IF(AND($B187&lt;&gt;0,ExtraPayment&lt;=$B187),-ExtraPayment,-($F187)-$B187))</f>
        <v>0</v>
      </c>
      <c r="E187" s="5">
        <f>IF($B187 &lt;= 0, 0, -ROUND($B187 * (InterestRate / PaymentsPerYear), 2))</f>
        <v>0</v>
      </c>
      <c r="F187" s="5">
        <f>ROUND(IFERROR(IF(OR($B187 &lt;=0, $B187 = ExtraPayment),0,
MAX(-$B187, -(-PMT(InterestRate/PaymentsPerYear,LoanTerm*PaymentsPerYear,LoanAmount) + $E187))), 0), 2)</f>
        <v>0</v>
      </c>
      <c r="G187" s="5">
        <f t="shared" si="10"/>
        <v>0</v>
      </c>
      <c r="H187" s="5">
        <f t="shared" si="11"/>
        <v>0</v>
      </c>
    </row>
    <row r="188" spans="1:8" x14ac:dyDescent="0.2">
      <c r="A188" s="2">
        <v>187</v>
      </c>
      <c r="B188" s="5">
        <f t="shared" si="8"/>
        <v>0</v>
      </c>
      <c r="C188" s="5">
        <f t="shared" si="9"/>
        <v>0</v>
      </c>
      <c r="D188" s="5">
        <f>IF(ExtraPayment=0, 0, IF(AND($B188&lt;&gt;0,ExtraPayment&lt;=$B188),-ExtraPayment,-($F188)-$B188))</f>
        <v>0</v>
      </c>
      <c r="E188" s="5">
        <f>IF($B188 &lt;= 0, 0, -ROUND($B188 * (InterestRate / PaymentsPerYear), 2))</f>
        <v>0</v>
      </c>
      <c r="F188" s="5">
        <f>ROUND(IFERROR(IF(OR($B188 &lt;=0, $B188 = ExtraPayment),0,
MAX(-$B188, -(-PMT(InterestRate/PaymentsPerYear,LoanTerm*PaymentsPerYear,LoanAmount) + $E188))), 0), 2)</f>
        <v>0</v>
      </c>
      <c r="G188" s="5">
        <f t="shared" si="10"/>
        <v>0</v>
      </c>
      <c r="H188" s="5">
        <f t="shared" si="11"/>
        <v>0</v>
      </c>
    </row>
    <row r="189" spans="1:8" x14ac:dyDescent="0.2">
      <c r="A189" s="2">
        <v>188</v>
      </c>
      <c r="B189" s="5">
        <f t="shared" si="8"/>
        <v>0</v>
      </c>
      <c r="C189" s="5">
        <f t="shared" si="9"/>
        <v>0</v>
      </c>
      <c r="D189" s="5">
        <f>IF(ExtraPayment=0, 0, IF(AND($B189&lt;&gt;0,ExtraPayment&lt;=$B189),-ExtraPayment,-($F189)-$B189))</f>
        <v>0</v>
      </c>
      <c r="E189" s="5">
        <f>IF($B189 &lt;= 0, 0, -ROUND($B189 * (InterestRate / PaymentsPerYear), 2))</f>
        <v>0</v>
      </c>
      <c r="F189" s="5">
        <f>ROUND(IFERROR(IF(OR($B189 &lt;=0, $B189 = ExtraPayment),0,
MAX(-$B189, -(-PMT(InterestRate/PaymentsPerYear,LoanTerm*PaymentsPerYear,LoanAmount) + $E189))), 0), 2)</f>
        <v>0</v>
      </c>
      <c r="G189" s="5">
        <f t="shared" si="10"/>
        <v>0</v>
      </c>
      <c r="H189" s="5">
        <f t="shared" si="11"/>
        <v>0</v>
      </c>
    </row>
    <row r="190" spans="1:8" x14ac:dyDescent="0.2">
      <c r="A190" s="2">
        <v>189</v>
      </c>
      <c r="B190" s="5">
        <f t="shared" si="8"/>
        <v>0</v>
      </c>
      <c r="C190" s="5">
        <f t="shared" si="9"/>
        <v>0</v>
      </c>
      <c r="D190" s="5">
        <f>IF(ExtraPayment=0, 0, IF(AND($B190&lt;&gt;0,ExtraPayment&lt;=$B190),-ExtraPayment,-($F190)-$B190))</f>
        <v>0</v>
      </c>
      <c r="E190" s="5">
        <f>IF($B190 &lt;= 0, 0, -ROUND($B190 * (InterestRate / PaymentsPerYear), 2))</f>
        <v>0</v>
      </c>
      <c r="F190" s="5">
        <f>ROUND(IFERROR(IF(OR($B190 &lt;=0, $B190 = ExtraPayment),0,
MAX(-$B190, -(-PMT(InterestRate/PaymentsPerYear,LoanTerm*PaymentsPerYear,LoanAmount) + $E190))), 0), 2)</f>
        <v>0</v>
      </c>
      <c r="G190" s="5">
        <f t="shared" si="10"/>
        <v>0</v>
      </c>
      <c r="H190" s="5">
        <f t="shared" si="11"/>
        <v>0</v>
      </c>
    </row>
    <row r="191" spans="1:8" x14ac:dyDescent="0.2">
      <c r="A191" s="2">
        <v>190</v>
      </c>
      <c r="B191" s="5">
        <f t="shared" si="8"/>
        <v>0</v>
      </c>
      <c r="C191" s="5">
        <f t="shared" si="9"/>
        <v>0</v>
      </c>
      <c r="D191" s="5">
        <f>IF(ExtraPayment=0, 0, IF(AND($B191&lt;&gt;0,ExtraPayment&lt;=$B191),-ExtraPayment,-($F191)-$B191))</f>
        <v>0</v>
      </c>
      <c r="E191" s="5">
        <f>IF($B191 &lt;= 0, 0, -ROUND($B191 * (InterestRate / PaymentsPerYear), 2))</f>
        <v>0</v>
      </c>
      <c r="F191" s="5">
        <f>ROUND(IFERROR(IF(OR($B191 &lt;=0, $B191 = ExtraPayment),0,
MAX(-$B191, -(-PMT(InterestRate/PaymentsPerYear,LoanTerm*PaymentsPerYear,LoanAmount) + $E191))), 0), 2)</f>
        <v>0</v>
      </c>
      <c r="G191" s="5">
        <f t="shared" si="10"/>
        <v>0</v>
      </c>
      <c r="H191" s="5">
        <f t="shared" si="11"/>
        <v>0</v>
      </c>
    </row>
    <row r="192" spans="1:8" x14ac:dyDescent="0.2">
      <c r="A192" s="2">
        <v>191</v>
      </c>
      <c r="B192" s="5">
        <f t="shared" si="8"/>
        <v>0</v>
      </c>
      <c r="C192" s="5">
        <f t="shared" si="9"/>
        <v>0</v>
      </c>
      <c r="D192" s="5">
        <f>IF(ExtraPayment=0, 0, IF(AND($B192&lt;&gt;0,ExtraPayment&lt;=$B192),-ExtraPayment,-($F192)-$B192))</f>
        <v>0</v>
      </c>
      <c r="E192" s="5">
        <f>IF($B192 &lt;= 0, 0, -ROUND($B192 * (InterestRate / PaymentsPerYear), 2))</f>
        <v>0</v>
      </c>
      <c r="F192" s="5">
        <f>ROUND(IFERROR(IF(OR($B192 &lt;=0, $B192 = ExtraPayment),0,
MAX(-$B192, -(-PMT(InterestRate/PaymentsPerYear,LoanTerm*PaymentsPerYear,LoanAmount) + $E192))), 0), 2)</f>
        <v>0</v>
      </c>
      <c r="G192" s="5">
        <f t="shared" si="10"/>
        <v>0</v>
      </c>
      <c r="H192" s="5">
        <f t="shared" si="11"/>
        <v>0</v>
      </c>
    </row>
    <row r="193" spans="1:8" x14ac:dyDescent="0.2">
      <c r="A193" s="2">
        <v>192</v>
      </c>
      <c r="B193" s="5">
        <f t="shared" si="8"/>
        <v>0</v>
      </c>
      <c r="C193" s="5">
        <f t="shared" si="9"/>
        <v>0</v>
      </c>
      <c r="D193" s="5">
        <f>IF(ExtraPayment=0, 0, IF(AND($B193&lt;&gt;0,ExtraPayment&lt;=$B193),-ExtraPayment,-($F193)-$B193))</f>
        <v>0</v>
      </c>
      <c r="E193" s="5">
        <f>IF($B193 &lt;= 0, 0, -ROUND($B193 * (InterestRate / PaymentsPerYear), 2))</f>
        <v>0</v>
      </c>
      <c r="F193" s="5">
        <f>ROUND(IFERROR(IF(OR($B193 &lt;=0, $B193 = ExtraPayment),0,
MAX(-$B193, -(-PMT(InterestRate/PaymentsPerYear,LoanTerm*PaymentsPerYear,LoanAmount) + $E193))), 0), 2)</f>
        <v>0</v>
      </c>
      <c r="G193" s="5">
        <f t="shared" si="10"/>
        <v>0</v>
      </c>
      <c r="H193" s="5">
        <f t="shared" si="11"/>
        <v>0</v>
      </c>
    </row>
    <row r="194" spans="1:8" x14ac:dyDescent="0.2">
      <c r="A194" s="2">
        <v>193</v>
      </c>
      <c r="B194" s="5">
        <f t="shared" si="8"/>
        <v>0</v>
      </c>
      <c r="C194" s="5">
        <f t="shared" si="9"/>
        <v>0</v>
      </c>
      <c r="D194" s="5">
        <f>IF(ExtraPayment=0, 0, IF(AND($B194&lt;&gt;0,ExtraPayment&lt;=$B194),-ExtraPayment,-($F194)-$B194))</f>
        <v>0</v>
      </c>
      <c r="E194" s="5">
        <f>IF($B194 &lt;= 0, 0, -ROUND($B194 * (InterestRate / PaymentsPerYear), 2))</f>
        <v>0</v>
      </c>
      <c r="F194" s="5">
        <f>ROUND(IFERROR(IF(OR($B194 &lt;=0, $B194 = ExtraPayment),0,
MAX(-$B194, -(-PMT(InterestRate/PaymentsPerYear,LoanTerm*PaymentsPerYear,LoanAmount) + $E194))), 0), 2)</f>
        <v>0</v>
      </c>
      <c r="G194" s="5">
        <f t="shared" si="10"/>
        <v>0</v>
      </c>
      <c r="H194" s="5">
        <f t="shared" si="11"/>
        <v>0</v>
      </c>
    </row>
    <row r="195" spans="1:8" x14ac:dyDescent="0.2">
      <c r="A195" s="2">
        <v>194</v>
      </c>
      <c r="B195" s="5">
        <f t="shared" si="8"/>
        <v>0</v>
      </c>
      <c r="C195" s="5">
        <f t="shared" si="9"/>
        <v>0</v>
      </c>
      <c r="D195" s="5">
        <f>IF(ExtraPayment=0, 0, IF(AND($B195&lt;&gt;0,ExtraPayment&lt;=$B195),-ExtraPayment,-($F195)-$B195))</f>
        <v>0</v>
      </c>
      <c r="E195" s="5">
        <f>IF($B195 &lt;= 0, 0, -ROUND($B195 * (InterestRate / PaymentsPerYear), 2))</f>
        <v>0</v>
      </c>
      <c r="F195" s="5">
        <f>ROUND(IFERROR(IF(OR($B195 &lt;=0, $B195 = ExtraPayment),0,
MAX(-$B195, -(-PMT(InterestRate/PaymentsPerYear,LoanTerm*PaymentsPerYear,LoanAmount) + $E195))), 0), 2)</f>
        <v>0</v>
      </c>
      <c r="G195" s="5">
        <f t="shared" si="10"/>
        <v>0</v>
      </c>
      <c r="H195" s="5">
        <f t="shared" si="11"/>
        <v>0</v>
      </c>
    </row>
    <row r="196" spans="1:8" x14ac:dyDescent="0.2">
      <c r="A196" s="2">
        <v>195</v>
      </c>
      <c r="B196" s="5">
        <f t="shared" ref="B196:B259" si="12">ROUND(IF($H195 &gt;= 0, MAX($H195, $F195), 0), 2)</f>
        <v>0</v>
      </c>
      <c r="C196" s="5">
        <f t="shared" ref="C196:C259" si="13">IF($B196 &lt;= 0, 0, $D196+$E196+$F196)</f>
        <v>0</v>
      </c>
      <c r="D196" s="5">
        <f>IF(ExtraPayment=0, 0, IF(AND($B196&lt;&gt;0,ExtraPayment&lt;=$B196),-ExtraPayment,-($F196)-$B196))</f>
        <v>0</v>
      </c>
      <c r="E196" s="5">
        <f>IF($B196 &lt;= 0, 0, -ROUND($B196 * (InterestRate / PaymentsPerYear), 2))</f>
        <v>0</v>
      </c>
      <c r="F196" s="5">
        <f>ROUND(IFERROR(IF(OR($B196 &lt;=0, $B196 = ExtraPayment),0,
MAX(-$B196, -(-PMT(InterestRate/PaymentsPerYear,LoanTerm*PaymentsPerYear,LoanAmount) + $E196))), 0), 2)</f>
        <v>0</v>
      </c>
      <c r="G196" s="5">
        <f t="shared" ref="G196:G259" si="14">$D196+$F196</f>
        <v>0</v>
      </c>
      <c r="H196" s="5">
        <f t="shared" ref="H196:H259" si="15">ROUND(IF($B196 &lt;= 0, 0,MAX(0, $B196 + $G196)), 2)</f>
        <v>0</v>
      </c>
    </row>
    <row r="197" spans="1:8" x14ac:dyDescent="0.2">
      <c r="A197" s="2">
        <v>196</v>
      </c>
      <c r="B197" s="5">
        <f t="shared" si="12"/>
        <v>0</v>
      </c>
      <c r="C197" s="5">
        <f t="shared" si="13"/>
        <v>0</v>
      </c>
      <c r="D197" s="5">
        <f>IF(ExtraPayment=0, 0, IF(AND($B197&lt;&gt;0,ExtraPayment&lt;=$B197),-ExtraPayment,-($F197)-$B197))</f>
        <v>0</v>
      </c>
      <c r="E197" s="5">
        <f>IF($B197 &lt;= 0, 0, -ROUND($B197 * (InterestRate / PaymentsPerYear), 2))</f>
        <v>0</v>
      </c>
      <c r="F197" s="5">
        <f>ROUND(IFERROR(IF(OR($B197 &lt;=0, $B197 = ExtraPayment),0,
MAX(-$B197, -(-PMT(InterestRate/PaymentsPerYear,LoanTerm*PaymentsPerYear,LoanAmount) + $E197))), 0), 2)</f>
        <v>0</v>
      </c>
      <c r="G197" s="5">
        <f t="shared" si="14"/>
        <v>0</v>
      </c>
      <c r="H197" s="5">
        <f t="shared" si="15"/>
        <v>0</v>
      </c>
    </row>
    <row r="198" spans="1:8" x14ac:dyDescent="0.2">
      <c r="A198" s="2">
        <v>197</v>
      </c>
      <c r="B198" s="5">
        <f t="shared" si="12"/>
        <v>0</v>
      </c>
      <c r="C198" s="5">
        <f t="shared" si="13"/>
        <v>0</v>
      </c>
      <c r="D198" s="5">
        <f>IF(ExtraPayment=0, 0, IF(AND($B198&lt;&gt;0,ExtraPayment&lt;=$B198),-ExtraPayment,-($F198)-$B198))</f>
        <v>0</v>
      </c>
      <c r="E198" s="5">
        <f>IF($B198 &lt;= 0, 0, -ROUND($B198 * (InterestRate / PaymentsPerYear), 2))</f>
        <v>0</v>
      </c>
      <c r="F198" s="5">
        <f>ROUND(IFERROR(IF(OR($B198 &lt;=0, $B198 = ExtraPayment),0,
MAX(-$B198, -(-PMT(InterestRate/PaymentsPerYear,LoanTerm*PaymentsPerYear,LoanAmount) + $E198))), 0), 2)</f>
        <v>0</v>
      </c>
      <c r="G198" s="5">
        <f t="shared" si="14"/>
        <v>0</v>
      </c>
      <c r="H198" s="5">
        <f t="shared" si="15"/>
        <v>0</v>
      </c>
    </row>
    <row r="199" spans="1:8" x14ac:dyDescent="0.2">
      <c r="A199" s="2">
        <v>198</v>
      </c>
      <c r="B199" s="5">
        <f t="shared" si="12"/>
        <v>0</v>
      </c>
      <c r="C199" s="5">
        <f t="shared" si="13"/>
        <v>0</v>
      </c>
      <c r="D199" s="5">
        <f>IF(ExtraPayment=0, 0, IF(AND($B199&lt;&gt;0,ExtraPayment&lt;=$B199),-ExtraPayment,-($F199)-$B199))</f>
        <v>0</v>
      </c>
      <c r="E199" s="5">
        <f>IF($B199 &lt;= 0, 0, -ROUND($B199 * (InterestRate / PaymentsPerYear), 2))</f>
        <v>0</v>
      </c>
      <c r="F199" s="5">
        <f>ROUND(IFERROR(IF(OR($B199 &lt;=0, $B199 = ExtraPayment),0,
MAX(-$B199, -(-PMT(InterestRate/PaymentsPerYear,LoanTerm*PaymentsPerYear,LoanAmount) + $E199))), 0), 2)</f>
        <v>0</v>
      </c>
      <c r="G199" s="5">
        <f t="shared" si="14"/>
        <v>0</v>
      </c>
      <c r="H199" s="5">
        <f t="shared" si="15"/>
        <v>0</v>
      </c>
    </row>
    <row r="200" spans="1:8" x14ac:dyDescent="0.2">
      <c r="A200" s="2">
        <v>199</v>
      </c>
      <c r="B200" s="5">
        <f t="shared" si="12"/>
        <v>0</v>
      </c>
      <c r="C200" s="5">
        <f t="shared" si="13"/>
        <v>0</v>
      </c>
      <c r="D200" s="5">
        <f>IF(ExtraPayment=0, 0, IF(AND($B200&lt;&gt;0,ExtraPayment&lt;=$B200),-ExtraPayment,-($F200)-$B200))</f>
        <v>0</v>
      </c>
      <c r="E200" s="5">
        <f>IF($B200 &lt;= 0, 0, -ROUND($B200 * (InterestRate / PaymentsPerYear), 2))</f>
        <v>0</v>
      </c>
      <c r="F200" s="5">
        <f>ROUND(IFERROR(IF(OR($B200 &lt;=0, $B200 = ExtraPayment),0,
MAX(-$B200, -(-PMT(InterestRate/PaymentsPerYear,LoanTerm*PaymentsPerYear,LoanAmount) + $E200))), 0), 2)</f>
        <v>0</v>
      </c>
      <c r="G200" s="5">
        <f t="shared" si="14"/>
        <v>0</v>
      </c>
      <c r="H200" s="5">
        <f t="shared" si="15"/>
        <v>0</v>
      </c>
    </row>
    <row r="201" spans="1:8" x14ac:dyDescent="0.2">
      <c r="A201" s="2">
        <v>200</v>
      </c>
      <c r="B201" s="5">
        <f t="shared" si="12"/>
        <v>0</v>
      </c>
      <c r="C201" s="5">
        <f t="shared" si="13"/>
        <v>0</v>
      </c>
      <c r="D201" s="5">
        <f>IF(ExtraPayment=0, 0, IF(AND($B201&lt;&gt;0,ExtraPayment&lt;=$B201),-ExtraPayment,-($F201)-$B201))</f>
        <v>0</v>
      </c>
      <c r="E201" s="5">
        <f>IF($B201 &lt;= 0, 0, -ROUND($B201 * (InterestRate / PaymentsPerYear), 2))</f>
        <v>0</v>
      </c>
      <c r="F201" s="5">
        <f>ROUND(IFERROR(IF(OR($B201 &lt;=0, $B201 = ExtraPayment),0,
MAX(-$B201, -(-PMT(InterestRate/PaymentsPerYear,LoanTerm*PaymentsPerYear,LoanAmount) + $E201))), 0), 2)</f>
        <v>0</v>
      </c>
      <c r="G201" s="5">
        <f t="shared" si="14"/>
        <v>0</v>
      </c>
      <c r="H201" s="5">
        <f t="shared" si="15"/>
        <v>0</v>
      </c>
    </row>
    <row r="202" spans="1:8" x14ac:dyDescent="0.2">
      <c r="A202" s="2">
        <v>201</v>
      </c>
      <c r="B202" s="5">
        <f t="shared" si="12"/>
        <v>0</v>
      </c>
      <c r="C202" s="5">
        <f t="shared" si="13"/>
        <v>0</v>
      </c>
      <c r="D202" s="5">
        <f>IF(ExtraPayment=0, 0, IF(AND($B202&lt;&gt;0,ExtraPayment&lt;=$B202),-ExtraPayment,-($F202)-$B202))</f>
        <v>0</v>
      </c>
      <c r="E202" s="5">
        <f>IF($B202 &lt;= 0, 0, -ROUND($B202 * (InterestRate / PaymentsPerYear), 2))</f>
        <v>0</v>
      </c>
      <c r="F202" s="5">
        <f>ROUND(IFERROR(IF(OR($B202 &lt;=0, $B202 = ExtraPayment),0,
MAX(-$B202, -(-PMT(InterestRate/PaymentsPerYear,LoanTerm*PaymentsPerYear,LoanAmount) + $E202))), 0), 2)</f>
        <v>0</v>
      </c>
      <c r="G202" s="5">
        <f t="shared" si="14"/>
        <v>0</v>
      </c>
      <c r="H202" s="5">
        <f t="shared" si="15"/>
        <v>0</v>
      </c>
    </row>
    <row r="203" spans="1:8" x14ac:dyDescent="0.2">
      <c r="A203" s="2">
        <v>202</v>
      </c>
      <c r="B203" s="5">
        <f t="shared" si="12"/>
        <v>0</v>
      </c>
      <c r="C203" s="5">
        <f t="shared" si="13"/>
        <v>0</v>
      </c>
      <c r="D203" s="5">
        <f>IF(ExtraPayment=0, 0, IF(AND($B203&lt;&gt;0,ExtraPayment&lt;=$B203),-ExtraPayment,-($F203)-$B203))</f>
        <v>0</v>
      </c>
      <c r="E203" s="5">
        <f>IF($B203 &lt;= 0, 0, -ROUND($B203 * (InterestRate / PaymentsPerYear), 2))</f>
        <v>0</v>
      </c>
      <c r="F203" s="5">
        <f>ROUND(IFERROR(IF(OR($B203 &lt;=0, $B203 = ExtraPayment),0,
MAX(-$B203, -(-PMT(InterestRate/PaymentsPerYear,LoanTerm*PaymentsPerYear,LoanAmount) + $E203))), 0), 2)</f>
        <v>0</v>
      </c>
      <c r="G203" s="5">
        <f t="shared" si="14"/>
        <v>0</v>
      </c>
      <c r="H203" s="5">
        <f t="shared" si="15"/>
        <v>0</v>
      </c>
    </row>
    <row r="204" spans="1:8" x14ac:dyDescent="0.2">
      <c r="A204" s="2">
        <v>203</v>
      </c>
      <c r="B204" s="5">
        <f t="shared" si="12"/>
        <v>0</v>
      </c>
      <c r="C204" s="5">
        <f t="shared" si="13"/>
        <v>0</v>
      </c>
      <c r="D204" s="5">
        <f>IF(ExtraPayment=0, 0, IF(AND($B204&lt;&gt;0,ExtraPayment&lt;=$B204),-ExtraPayment,-($F204)-$B204))</f>
        <v>0</v>
      </c>
      <c r="E204" s="5">
        <f>IF($B204 &lt;= 0, 0, -ROUND($B204 * (InterestRate / PaymentsPerYear), 2))</f>
        <v>0</v>
      </c>
      <c r="F204" s="5">
        <f>ROUND(IFERROR(IF(OR($B204 &lt;=0, $B204 = ExtraPayment),0,
MAX(-$B204, -(-PMT(InterestRate/PaymentsPerYear,LoanTerm*PaymentsPerYear,LoanAmount) + $E204))), 0), 2)</f>
        <v>0</v>
      </c>
      <c r="G204" s="5">
        <f t="shared" si="14"/>
        <v>0</v>
      </c>
      <c r="H204" s="5">
        <f t="shared" si="15"/>
        <v>0</v>
      </c>
    </row>
    <row r="205" spans="1:8" x14ac:dyDescent="0.2">
      <c r="A205" s="2">
        <v>204</v>
      </c>
      <c r="B205" s="5">
        <f t="shared" si="12"/>
        <v>0</v>
      </c>
      <c r="C205" s="5">
        <f t="shared" si="13"/>
        <v>0</v>
      </c>
      <c r="D205" s="5">
        <f>IF(ExtraPayment=0, 0, IF(AND($B205&lt;&gt;0,ExtraPayment&lt;=$B205),-ExtraPayment,-($F205)-$B205))</f>
        <v>0</v>
      </c>
      <c r="E205" s="5">
        <f>IF($B205 &lt;= 0, 0, -ROUND($B205 * (InterestRate / PaymentsPerYear), 2))</f>
        <v>0</v>
      </c>
      <c r="F205" s="5">
        <f>ROUND(IFERROR(IF(OR($B205 &lt;=0, $B205 = ExtraPayment),0,
MAX(-$B205, -(-PMT(InterestRate/PaymentsPerYear,LoanTerm*PaymentsPerYear,LoanAmount) + $E205))), 0), 2)</f>
        <v>0</v>
      </c>
      <c r="G205" s="5">
        <f t="shared" si="14"/>
        <v>0</v>
      </c>
      <c r="H205" s="5">
        <f t="shared" si="15"/>
        <v>0</v>
      </c>
    </row>
    <row r="206" spans="1:8" x14ac:dyDescent="0.2">
      <c r="A206" s="2">
        <v>205</v>
      </c>
      <c r="B206" s="5">
        <f t="shared" si="12"/>
        <v>0</v>
      </c>
      <c r="C206" s="5">
        <f t="shared" si="13"/>
        <v>0</v>
      </c>
      <c r="D206" s="5">
        <f>IF(ExtraPayment=0, 0, IF(AND($B206&lt;&gt;0,ExtraPayment&lt;=$B206),-ExtraPayment,-($F206)-$B206))</f>
        <v>0</v>
      </c>
      <c r="E206" s="5">
        <f>IF($B206 &lt;= 0, 0, -ROUND($B206 * (InterestRate / PaymentsPerYear), 2))</f>
        <v>0</v>
      </c>
      <c r="F206" s="5">
        <f>ROUND(IFERROR(IF(OR($B206 &lt;=0, $B206 = ExtraPayment),0,
MAX(-$B206, -(-PMT(InterestRate/PaymentsPerYear,LoanTerm*PaymentsPerYear,LoanAmount) + $E206))), 0), 2)</f>
        <v>0</v>
      </c>
      <c r="G206" s="5">
        <f t="shared" si="14"/>
        <v>0</v>
      </c>
      <c r="H206" s="5">
        <f t="shared" si="15"/>
        <v>0</v>
      </c>
    </row>
    <row r="207" spans="1:8" x14ac:dyDescent="0.2">
      <c r="A207" s="2">
        <v>206</v>
      </c>
      <c r="B207" s="5">
        <f t="shared" si="12"/>
        <v>0</v>
      </c>
      <c r="C207" s="5">
        <f t="shared" si="13"/>
        <v>0</v>
      </c>
      <c r="D207" s="5">
        <f>IF(ExtraPayment=0, 0, IF(AND($B207&lt;&gt;0,ExtraPayment&lt;=$B207),-ExtraPayment,-($F207)-$B207))</f>
        <v>0</v>
      </c>
      <c r="E207" s="5">
        <f>IF($B207 &lt;= 0, 0, -ROUND($B207 * (InterestRate / PaymentsPerYear), 2))</f>
        <v>0</v>
      </c>
      <c r="F207" s="5">
        <f>ROUND(IFERROR(IF(OR($B207 &lt;=0, $B207 = ExtraPayment),0,
MAX(-$B207, -(-PMT(InterestRate/PaymentsPerYear,LoanTerm*PaymentsPerYear,LoanAmount) + $E207))), 0), 2)</f>
        <v>0</v>
      </c>
      <c r="G207" s="5">
        <f t="shared" si="14"/>
        <v>0</v>
      </c>
      <c r="H207" s="5">
        <f t="shared" si="15"/>
        <v>0</v>
      </c>
    </row>
    <row r="208" spans="1:8" x14ac:dyDescent="0.2">
      <c r="A208" s="2">
        <v>207</v>
      </c>
      <c r="B208" s="5">
        <f t="shared" si="12"/>
        <v>0</v>
      </c>
      <c r="C208" s="5">
        <f t="shared" si="13"/>
        <v>0</v>
      </c>
      <c r="D208" s="5">
        <f>IF(ExtraPayment=0, 0, IF(AND($B208&lt;&gt;0,ExtraPayment&lt;=$B208),-ExtraPayment,-($F208)-$B208))</f>
        <v>0</v>
      </c>
      <c r="E208" s="5">
        <f>IF($B208 &lt;= 0, 0, -ROUND($B208 * (InterestRate / PaymentsPerYear), 2))</f>
        <v>0</v>
      </c>
      <c r="F208" s="5">
        <f>ROUND(IFERROR(IF(OR($B208 &lt;=0, $B208 = ExtraPayment),0,
MAX(-$B208, -(-PMT(InterestRate/PaymentsPerYear,LoanTerm*PaymentsPerYear,LoanAmount) + $E208))), 0), 2)</f>
        <v>0</v>
      </c>
      <c r="G208" s="5">
        <f t="shared" si="14"/>
        <v>0</v>
      </c>
      <c r="H208" s="5">
        <f t="shared" si="15"/>
        <v>0</v>
      </c>
    </row>
    <row r="209" spans="1:8" x14ac:dyDescent="0.2">
      <c r="A209" s="2">
        <v>208</v>
      </c>
      <c r="B209" s="5">
        <f t="shared" si="12"/>
        <v>0</v>
      </c>
      <c r="C209" s="5">
        <f t="shared" si="13"/>
        <v>0</v>
      </c>
      <c r="D209" s="5">
        <f>IF(ExtraPayment=0, 0, IF(AND($B209&lt;&gt;0,ExtraPayment&lt;=$B209),-ExtraPayment,-($F209)-$B209))</f>
        <v>0</v>
      </c>
      <c r="E209" s="5">
        <f>IF($B209 &lt;= 0, 0, -ROUND($B209 * (InterestRate / PaymentsPerYear), 2))</f>
        <v>0</v>
      </c>
      <c r="F209" s="5">
        <f>ROUND(IFERROR(IF(OR($B209 &lt;=0, $B209 = ExtraPayment),0,
MAX(-$B209, -(-PMT(InterestRate/PaymentsPerYear,LoanTerm*PaymentsPerYear,LoanAmount) + $E209))), 0), 2)</f>
        <v>0</v>
      </c>
      <c r="G209" s="5">
        <f t="shared" si="14"/>
        <v>0</v>
      </c>
      <c r="H209" s="5">
        <f t="shared" si="15"/>
        <v>0</v>
      </c>
    </row>
    <row r="210" spans="1:8" x14ac:dyDescent="0.2">
      <c r="A210" s="2">
        <v>209</v>
      </c>
      <c r="B210" s="5">
        <f t="shared" si="12"/>
        <v>0</v>
      </c>
      <c r="C210" s="5">
        <f t="shared" si="13"/>
        <v>0</v>
      </c>
      <c r="D210" s="5">
        <f>IF(ExtraPayment=0, 0, IF(AND($B210&lt;&gt;0,ExtraPayment&lt;=$B210),-ExtraPayment,-($F210)-$B210))</f>
        <v>0</v>
      </c>
      <c r="E210" s="5">
        <f>IF($B210 &lt;= 0, 0, -ROUND($B210 * (InterestRate / PaymentsPerYear), 2))</f>
        <v>0</v>
      </c>
      <c r="F210" s="5">
        <f>ROUND(IFERROR(IF(OR($B210 &lt;=0, $B210 = ExtraPayment),0,
MAX(-$B210, -(-PMT(InterestRate/PaymentsPerYear,LoanTerm*PaymentsPerYear,LoanAmount) + $E210))), 0), 2)</f>
        <v>0</v>
      </c>
      <c r="G210" s="5">
        <f t="shared" si="14"/>
        <v>0</v>
      </c>
      <c r="H210" s="5">
        <f t="shared" si="15"/>
        <v>0</v>
      </c>
    </row>
    <row r="211" spans="1:8" x14ac:dyDescent="0.2">
      <c r="A211" s="2">
        <v>210</v>
      </c>
      <c r="B211" s="5">
        <f t="shared" si="12"/>
        <v>0</v>
      </c>
      <c r="C211" s="5">
        <f t="shared" si="13"/>
        <v>0</v>
      </c>
      <c r="D211" s="5">
        <f>IF(ExtraPayment=0, 0, IF(AND($B211&lt;&gt;0,ExtraPayment&lt;=$B211),-ExtraPayment,-($F211)-$B211))</f>
        <v>0</v>
      </c>
      <c r="E211" s="5">
        <f>IF($B211 &lt;= 0, 0, -ROUND($B211 * (InterestRate / PaymentsPerYear), 2))</f>
        <v>0</v>
      </c>
      <c r="F211" s="5">
        <f>ROUND(IFERROR(IF(OR($B211 &lt;=0, $B211 = ExtraPayment),0,
MAX(-$B211, -(-PMT(InterestRate/PaymentsPerYear,LoanTerm*PaymentsPerYear,LoanAmount) + $E211))), 0), 2)</f>
        <v>0</v>
      </c>
      <c r="G211" s="5">
        <f t="shared" si="14"/>
        <v>0</v>
      </c>
      <c r="H211" s="5">
        <f t="shared" si="15"/>
        <v>0</v>
      </c>
    </row>
    <row r="212" spans="1:8" x14ac:dyDescent="0.2">
      <c r="A212" s="2">
        <v>211</v>
      </c>
      <c r="B212" s="5">
        <f t="shared" si="12"/>
        <v>0</v>
      </c>
      <c r="C212" s="5">
        <f t="shared" si="13"/>
        <v>0</v>
      </c>
      <c r="D212" s="5">
        <f>IF(ExtraPayment=0, 0, IF(AND($B212&lt;&gt;0,ExtraPayment&lt;=$B212),-ExtraPayment,-($F212)-$B212))</f>
        <v>0</v>
      </c>
      <c r="E212" s="5">
        <f>IF($B212 &lt;= 0, 0, -ROUND($B212 * (InterestRate / PaymentsPerYear), 2))</f>
        <v>0</v>
      </c>
      <c r="F212" s="5">
        <f>ROUND(IFERROR(IF(OR($B212 &lt;=0, $B212 = ExtraPayment),0,
MAX(-$B212, -(-PMT(InterestRate/PaymentsPerYear,LoanTerm*PaymentsPerYear,LoanAmount) + $E212))), 0), 2)</f>
        <v>0</v>
      </c>
      <c r="G212" s="5">
        <f t="shared" si="14"/>
        <v>0</v>
      </c>
      <c r="H212" s="5">
        <f t="shared" si="15"/>
        <v>0</v>
      </c>
    </row>
    <row r="213" spans="1:8" x14ac:dyDescent="0.2">
      <c r="A213" s="2">
        <v>212</v>
      </c>
      <c r="B213" s="5">
        <f t="shared" si="12"/>
        <v>0</v>
      </c>
      <c r="C213" s="5">
        <f t="shared" si="13"/>
        <v>0</v>
      </c>
      <c r="D213" s="5">
        <f>IF(ExtraPayment=0, 0, IF(AND($B213&lt;&gt;0,ExtraPayment&lt;=$B213),-ExtraPayment,-($F213)-$B213))</f>
        <v>0</v>
      </c>
      <c r="E213" s="5">
        <f>IF($B213 &lt;= 0, 0, -ROUND($B213 * (InterestRate / PaymentsPerYear), 2))</f>
        <v>0</v>
      </c>
      <c r="F213" s="5">
        <f>ROUND(IFERROR(IF(OR($B213 &lt;=0, $B213 = ExtraPayment),0,
MAX(-$B213, -(-PMT(InterestRate/PaymentsPerYear,LoanTerm*PaymentsPerYear,LoanAmount) + $E213))), 0), 2)</f>
        <v>0</v>
      </c>
      <c r="G213" s="5">
        <f t="shared" si="14"/>
        <v>0</v>
      </c>
      <c r="H213" s="5">
        <f t="shared" si="15"/>
        <v>0</v>
      </c>
    </row>
    <row r="214" spans="1:8" x14ac:dyDescent="0.2">
      <c r="A214" s="2">
        <v>213</v>
      </c>
      <c r="B214" s="5">
        <f t="shared" si="12"/>
        <v>0</v>
      </c>
      <c r="C214" s="5">
        <f t="shared" si="13"/>
        <v>0</v>
      </c>
      <c r="D214" s="5">
        <f>IF(ExtraPayment=0, 0, IF(AND($B214&lt;&gt;0,ExtraPayment&lt;=$B214),-ExtraPayment,-($F214)-$B214))</f>
        <v>0</v>
      </c>
      <c r="E214" s="5">
        <f>IF($B214 &lt;= 0, 0, -ROUND($B214 * (InterestRate / PaymentsPerYear), 2))</f>
        <v>0</v>
      </c>
      <c r="F214" s="5">
        <f>ROUND(IFERROR(IF(OR($B214 &lt;=0, $B214 = ExtraPayment),0,
MAX(-$B214, -(-PMT(InterestRate/PaymentsPerYear,LoanTerm*PaymentsPerYear,LoanAmount) + $E214))), 0), 2)</f>
        <v>0</v>
      </c>
      <c r="G214" s="5">
        <f t="shared" si="14"/>
        <v>0</v>
      </c>
      <c r="H214" s="5">
        <f t="shared" si="15"/>
        <v>0</v>
      </c>
    </row>
    <row r="215" spans="1:8" x14ac:dyDescent="0.2">
      <c r="A215" s="2">
        <v>214</v>
      </c>
      <c r="B215" s="5">
        <f t="shared" si="12"/>
        <v>0</v>
      </c>
      <c r="C215" s="5">
        <f t="shared" si="13"/>
        <v>0</v>
      </c>
      <c r="D215" s="5">
        <f>IF(ExtraPayment=0, 0, IF(AND($B215&lt;&gt;0,ExtraPayment&lt;=$B215),-ExtraPayment,-($F215)-$B215))</f>
        <v>0</v>
      </c>
      <c r="E215" s="5">
        <f>IF($B215 &lt;= 0, 0, -ROUND($B215 * (InterestRate / PaymentsPerYear), 2))</f>
        <v>0</v>
      </c>
      <c r="F215" s="5">
        <f>ROUND(IFERROR(IF(OR($B215 &lt;=0, $B215 = ExtraPayment),0,
MAX(-$B215, -(-PMT(InterestRate/PaymentsPerYear,LoanTerm*PaymentsPerYear,LoanAmount) + $E215))), 0), 2)</f>
        <v>0</v>
      </c>
      <c r="G215" s="5">
        <f t="shared" si="14"/>
        <v>0</v>
      </c>
      <c r="H215" s="5">
        <f t="shared" si="15"/>
        <v>0</v>
      </c>
    </row>
    <row r="216" spans="1:8" x14ac:dyDescent="0.2">
      <c r="A216" s="2">
        <v>215</v>
      </c>
      <c r="B216" s="5">
        <f t="shared" si="12"/>
        <v>0</v>
      </c>
      <c r="C216" s="5">
        <f t="shared" si="13"/>
        <v>0</v>
      </c>
      <c r="D216" s="5">
        <f>IF(ExtraPayment=0, 0, IF(AND($B216&lt;&gt;0,ExtraPayment&lt;=$B216),-ExtraPayment,-($F216)-$B216))</f>
        <v>0</v>
      </c>
      <c r="E216" s="5">
        <f>IF($B216 &lt;= 0, 0, -ROUND($B216 * (InterestRate / PaymentsPerYear), 2))</f>
        <v>0</v>
      </c>
      <c r="F216" s="5">
        <f>ROUND(IFERROR(IF(OR($B216 &lt;=0, $B216 = ExtraPayment),0,
MAX(-$B216, -(-PMT(InterestRate/PaymentsPerYear,LoanTerm*PaymentsPerYear,LoanAmount) + $E216))), 0), 2)</f>
        <v>0</v>
      </c>
      <c r="G216" s="5">
        <f t="shared" si="14"/>
        <v>0</v>
      </c>
      <c r="H216" s="5">
        <f t="shared" si="15"/>
        <v>0</v>
      </c>
    </row>
    <row r="217" spans="1:8" x14ac:dyDescent="0.2">
      <c r="A217" s="2">
        <v>216</v>
      </c>
      <c r="B217" s="5">
        <f t="shared" si="12"/>
        <v>0</v>
      </c>
      <c r="C217" s="5">
        <f t="shared" si="13"/>
        <v>0</v>
      </c>
      <c r="D217" s="5">
        <f>IF(ExtraPayment=0, 0, IF(AND($B217&lt;&gt;0,ExtraPayment&lt;=$B217),-ExtraPayment,-($F217)-$B217))</f>
        <v>0</v>
      </c>
      <c r="E217" s="5">
        <f>IF($B217 &lt;= 0, 0, -ROUND($B217 * (InterestRate / PaymentsPerYear), 2))</f>
        <v>0</v>
      </c>
      <c r="F217" s="5">
        <f>ROUND(IFERROR(IF(OR($B217 &lt;=0, $B217 = ExtraPayment),0,
MAX(-$B217, -(-PMT(InterestRate/PaymentsPerYear,LoanTerm*PaymentsPerYear,LoanAmount) + $E217))), 0), 2)</f>
        <v>0</v>
      </c>
      <c r="G217" s="5">
        <f t="shared" si="14"/>
        <v>0</v>
      </c>
      <c r="H217" s="5">
        <f t="shared" si="15"/>
        <v>0</v>
      </c>
    </row>
    <row r="218" spans="1:8" x14ac:dyDescent="0.2">
      <c r="A218" s="2">
        <v>217</v>
      </c>
      <c r="B218" s="5">
        <f t="shared" si="12"/>
        <v>0</v>
      </c>
      <c r="C218" s="5">
        <f t="shared" si="13"/>
        <v>0</v>
      </c>
      <c r="D218" s="5">
        <f>IF(ExtraPayment=0, 0, IF(AND($B218&lt;&gt;0,ExtraPayment&lt;=$B218),-ExtraPayment,-($F218)-$B218))</f>
        <v>0</v>
      </c>
      <c r="E218" s="5">
        <f>IF($B218 &lt;= 0, 0, -ROUND($B218 * (InterestRate / PaymentsPerYear), 2))</f>
        <v>0</v>
      </c>
      <c r="F218" s="5">
        <f>ROUND(IFERROR(IF(OR($B218 &lt;=0, $B218 = ExtraPayment),0,
MAX(-$B218, -(-PMT(InterestRate/PaymentsPerYear,LoanTerm*PaymentsPerYear,LoanAmount) + $E218))), 0), 2)</f>
        <v>0</v>
      </c>
      <c r="G218" s="5">
        <f t="shared" si="14"/>
        <v>0</v>
      </c>
      <c r="H218" s="5">
        <f t="shared" si="15"/>
        <v>0</v>
      </c>
    </row>
    <row r="219" spans="1:8" x14ac:dyDescent="0.2">
      <c r="A219" s="2">
        <v>218</v>
      </c>
      <c r="B219" s="5">
        <f t="shared" si="12"/>
        <v>0</v>
      </c>
      <c r="C219" s="5">
        <f t="shared" si="13"/>
        <v>0</v>
      </c>
      <c r="D219" s="5">
        <f>IF(ExtraPayment=0, 0, IF(AND($B219&lt;&gt;0,ExtraPayment&lt;=$B219),-ExtraPayment,-($F219)-$B219))</f>
        <v>0</v>
      </c>
      <c r="E219" s="5">
        <f>IF($B219 &lt;= 0, 0, -ROUND($B219 * (InterestRate / PaymentsPerYear), 2))</f>
        <v>0</v>
      </c>
      <c r="F219" s="5">
        <f>ROUND(IFERROR(IF(OR($B219 &lt;=0, $B219 = ExtraPayment),0,
MAX(-$B219, -(-PMT(InterestRate/PaymentsPerYear,LoanTerm*PaymentsPerYear,LoanAmount) + $E219))), 0), 2)</f>
        <v>0</v>
      </c>
      <c r="G219" s="5">
        <f t="shared" si="14"/>
        <v>0</v>
      </c>
      <c r="H219" s="5">
        <f t="shared" si="15"/>
        <v>0</v>
      </c>
    </row>
    <row r="220" spans="1:8" x14ac:dyDescent="0.2">
      <c r="A220" s="2">
        <v>219</v>
      </c>
      <c r="B220" s="5">
        <f t="shared" si="12"/>
        <v>0</v>
      </c>
      <c r="C220" s="5">
        <f t="shared" si="13"/>
        <v>0</v>
      </c>
      <c r="D220" s="5">
        <f>IF(ExtraPayment=0, 0, IF(AND($B220&lt;&gt;0,ExtraPayment&lt;=$B220),-ExtraPayment,-($F220)-$B220))</f>
        <v>0</v>
      </c>
      <c r="E220" s="5">
        <f>IF($B220 &lt;= 0, 0, -ROUND($B220 * (InterestRate / PaymentsPerYear), 2))</f>
        <v>0</v>
      </c>
      <c r="F220" s="5">
        <f>ROUND(IFERROR(IF(OR($B220 &lt;=0, $B220 = ExtraPayment),0,
MAX(-$B220, -(-PMT(InterestRate/PaymentsPerYear,LoanTerm*PaymentsPerYear,LoanAmount) + $E220))), 0), 2)</f>
        <v>0</v>
      </c>
      <c r="G220" s="5">
        <f t="shared" si="14"/>
        <v>0</v>
      </c>
      <c r="H220" s="5">
        <f t="shared" si="15"/>
        <v>0</v>
      </c>
    </row>
    <row r="221" spans="1:8" x14ac:dyDescent="0.2">
      <c r="A221" s="2">
        <v>220</v>
      </c>
      <c r="B221" s="5">
        <f t="shared" si="12"/>
        <v>0</v>
      </c>
      <c r="C221" s="5">
        <f t="shared" si="13"/>
        <v>0</v>
      </c>
      <c r="D221" s="5">
        <f>IF(ExtraPayment=0, 0, IF(AND($B221&lt;&gt;0,ExtraPayment&lt;=$B221),-ExtraPayment,-($F221)-$B221))</f>
        <v>0</v>
      </c>
      <c r="E221" s="5">
        <f>IF($B221 &lt;= 0, 0, -ROUND($B221 * (InterestRate / PaymentsPerYear), 2))</f>
        <v>0</v>
      </c>
      <c r="F221" s="5">
        <f>ROUND(IFERROR(IF(OR($B221 &lt;=0, $B221 = ExtraPayment),0,
MAX(-$B221, -(-PMT(InterestRate/PaymentsPerYear,LoanTerm*PaymentsPerYear,LoanAmount) + $E221))), 0), 2)</f>
        <v>0</v>
      </c>
      <c r="G221" s="5">
        <f t="shared" si="14"/>
        <v>0</v>
      </c>
      <c r="H221" s="5">
        <f t="shared" si="15"/>
        <v>0</v>
      </c>
    </row>
    <row r="222" spans="1:8" x14ac:dyDescent="0.2">
      <c r="A222" s="2">
        <v>221</v>
      </c>
      <c r="B222" s="5">
        <f t="shared" si="12"/>
        <v>0</v>
      </c>
      <c r="C222" s="5">
        <f t="shared" si="13"/>
        <v>0</v>
      </c>
      <c r="D222" s="5">
        <f>IF(ExtraPayment=0, 0, IF(AND($B222&lt;&gt;0,ExtraPayment&lt;=$B222),-ExtraPayment,-($F222)-$B222))</f>
        <v>0</v>
      </c>
      <c r="E222" s="5">
        <f>IF($B222 &lt;= 0, 0, -ROUND($B222 * (InterestRate / PaymentsPerYear), 2))</f>
        <v>0</v>
      </c>
      <c r="F222" s="5">
        <f>ROUND(IFERROR(IF(OR($B222 &lt;=0, $B222 = ExtraPayment),0,
MAX(-$B222, -(-PMT(InterestRate/PaymentsPerYear,LoanTerm*PaymentsPerYear,LoanAmount) + $E222))), 0), 2)</f>
        <v>0</v>
      </c>
      <c r="G222" s="5">
        <f t="shared" si="14"/>
        <v>0</v>
      </c>
      <c r="H222" s="5">
        <f t="shared" si="15"/>
        <v>0</v>
      </c>
    </row>
    <row r="223" spans="1:8" x14ac:dyDescent="0.2">
      <c r="A223" s="2">
        <v>222</v>
      </c>
      <c r="B223" s="5">
        <f t="shared" si="12"/>
        <v>0</v>
      </c>
      <c r="C223" s="5">
        <f t="shared" si="13"/>
        <v>0</v>
      </c>
      <c r="D223" s="5">
        <f>IF(ExtraPayment=0, 0, IF(AND($B223&lt;&gt;0,ExtraPayment&lt;=$B223),-ExtraPayment,-($F223)-$B223))</f>
        <v>0</v>
      </c>
      <c r="E223" s="5">
        <f>IF($B223 &lt;= 0, 0, -ROUND($B223 * (InterestRate / PaymentsPerYear), 2))</f>
        <v>0</v>
      </c>
      <c r="F223" s="5">
        <f>ROUND(IFERROR(IF(OR($B223 &lt;=0, $B223 = ExtraPayment),0,
MAX(-$B223, -(-PMT(InterestRate/PaymentsPerYear,LoanTerm*PaymentsPerYear,LoanAmount) + $E223))), 0), 2)</f>
        <v>0</v>
      </c>
      <c r="G223" s="5">
        <f t="shared" si="14"/>
        <v>0</v>
      </c>
      <c r="H223" s="5">
        <f t="shared" si="15"/>
        <v>0</v>
      </c>
    </row>
    <row r="224" spans="1:8" x14ac:dyDescent="0.2">
      <c r="A224" s="2">
        <v>223</v>
      </c>
      <c r="B224" s="5">
        <f t="shared" si="12"/>
        <v>0</v>
      </c>
      <c r="C224" s="5">
        <f t="shared" si="13"/>
        <v>0</v>
      </c>
      <c r="D224" s="5">
        <f>IF(ExtraPayment=0, 0, IF(AND($B224&lt;&gt;0,ExtraPayment&lt;=$B224),-ExtraPayment,-($F224)-$B224))</f>
        <v>0</v>
      </c>
      <c r="E224" s="5">
        <f>IF($B224 &lt;= 0, 0, -ROUND($B224 * (InterestRate / PaymentsPerYear), 2))</f>
        <v>0</v>
      </c>
      <c r="F224" s="5">
        <f>ROUND(IFERROR(IF(OR($B224 &lt;=0, $B224 = ExtraPayment),0,
MAX(-$B224, -(-PMT(InterestRate/PaymentsPerYear,LoanTerm*PaymentsPerYear,LoanAmount) + $E224))), 0), 2)</f>
        <v>0</v>
      </c>
      <c r="G224" s="5">
        <f t="shared" si="14"/>
        <v>0</v>
      </c>
      <c r="H224" s="5">
        <f t="shared" si="15"/>
        <v>0</v>
      </c>
    </row>
    <row r="225" spans="1:8" x14ac:dyDescent="0.2">
      <c r="A225" s="2">
        <v>224</v>
      </c>
      <c r="B225" s="5">
        <f t="shared" si="12"/>
        <v>0</v>
      </c>
      <c r="C225" s="5">
        <f t="shared" si="13"/>
        <v>0</v>
      </c>
      <c r="D225" s="5">
        <f>IF(ExtraPayment=0, 0, IF(AND($B225&lt;&gt;0,ExtraPayment&lt;=$B225),-ExtraPayment,-($F225)-$B225))</f>
        <v>0</v>
      </c>
      <c r="E225" s="5">
        <f>IF($B225 &lt;= 0, 0, -ROUND($B225 * (InterestRate / PaymentsPerYear), 2))</f>
        <v>0</v>
      </c>
      <c r="F225" s="5">
        <f>ROUND(IFERROR(IF(OR($B225 &lt;=0, $B225 = ExtraPayment),0,
MAX(-$B225, -(-PMT(InterestRate/PaymentsPerYear,LoanTerm*PaymentsPerYear,LoanAmount) + $E225))), 0), 2)</f>
        <v>0</v>
      </c>
      <c r="G225" s="5">
        <f t="shared" si="14"/>
        <v>0</v>
      </c>
      <c r="H225" s="5">
        <f t="shared" si="15"/>
        <v>0</v>
      </c>
    </row>
    <row r="226" spans="1:8" x14ac:dyDescent="0.2">
      <c r="A226" s="2">
        <v>225</v>
      </c>
      <c r="B226" s="5">
        <f t="shared" si="12"/>
        <v>0</v>
      </c>
      <c r="C226" s="5">
        <f t="shared" si="13"/>
        <v>0</v>
      </c>
      <c r="D226" s="5">
        <f>IF(ExtraPayment=0, 0, IF(AND($B226&lt;&gt;0,ExtraPayment&lt;=$B226),-ExtraPayment,-($F226)-$B226))</f>
        <v>0</v>
      </c>
      <c r="E226" s="5">
        <f>IF($B226 &lt;= 0, 0, -ROUND($B226 * (InterestRate / PaymentsPerYear), 2))</f>
        <v>0</v>
      </c>
      <c r="F226" s="5">
        <f>ROUND(IFERROR(IF(OR($B226 &lt;=0, $B226 = ExtraPayment),0,
MAX(-$B226, -(-PMT(InterestRate/PaymentsPerYear,LoanTerm*PaymentsPerYear,LoanAmount) + $E226))), 0), 2)</f>
        <v>0</v>
      </c>
      <c r="G226" s="5">
        <f t="shared" si="14"/>
        <v>0</v>
      </c>
      <c r="H226" s="5">
        <f t="shared" si="15"/>
        <v>0</v>
      </c>
    </row>
    <row r="227" spans="1:8" x14ac:dyDescent="0.2">
      <c r="A227" s="2">
        <v>226</v>
      </c>
      <c r="B227" s="5">
        <f t="shared" si="12"/>
        <v>0</v>
      </c>
      <c r="C227" s="5">
        <f t="shared" si="13"/>
        <v>0</v>
      </c>
      <c r="D227" s="5">
        <f>IF(ExtraPayment=0, 0, IF(AND($B227&lt;&gt;0,ExtraPayment&lt;=$B227),-ExtraPayment,-($F227)-$B227))</f>
        <v>0</v>
      </c>
      <c r="E227" s="5">
        <f>IF($B227 &lt;= 0, 0, -ROUND($B227 * (InterestRate / PaymentsPerYear), 2))</f>
        <v>0</v>
      </c>
      <c r="F227" s="5">
        <f>ROUND(IFERROR(IF(OR($B227 &lt;=0, $B227 = ExtraPayment),0,
MAX(-$B227, -(-PMT(InterestRate/PaymentsPerYear,LoanTerm*PaymentsPerYear,LoanAmount) + $E227))), 0), 2)</f>
        <v>0</v>
      </c>
      <c r="G227" s="5">
        <f t="shared" si="14"/>
        <v>0</v>
      </c>
      <c r="H227" s="5">
        <f t="shared" si="15"/>
        <v>0</v>
      </c>
    </row>
    <row r="228" spans="1:8" x14ac:dyDescent="0.2">
      <c r="A228" s="2">
        <v>227</v>
      </c>
      <c r="B228" s="5">
        <f t="shared" si="12"/>
        <v>0</v>
      </c>
      <c r="C228" s="5">
        <f t="shared" si="13"/>
        <v>0</v>
      </c>
      <c r="D228" s="5">
        <f>IF(ExtraPayment=0, 0, IF(AND($B228&lt;&gt;0,ExtraPayment&lt;=$B228),-ExtraPayment,-($F228)-$B228))</f>
        <v>0</v>
      </c>
      <c r="E228" s="5">
        <f>IF($B228 &lt;= 0, 0, -ROUND($B228 * (InterestRate / PaymentsPerYear), 2))</f>
        <v>0</v>
      </c>
      <c r="F228" s="5">
        <f>ROUND(IFERROR(IF(OR($B228 &lt;=0, $B228 = ExtraPayment),0,
MAX(-$B228, -(-PMT(InterestRate/PaymentsPerYear,LoanTerm*PaymentsPerYear,LoanAmount) + $E228))), 0), 2)</f>
        <v>0</v>
      </c>
      <c r="G228" s="5">
        <f t="shared" si="14"/>
        <v>0</v>
      </c>
      <c r="H228" s="5">
        <f t="shared" si="15"/>
        <v>0</v>
      </c>
    </row>
    <row r="229" spans="1:8" x14ac:dyDescent="0.2">
      <c r="A229" s="2">
        <v>228</v>
      </c>
      <c r="B229" s="5">
        <f t="shared" si="12"/>
        <v>0</v>
      </c>
      <c r="C229" s="5">
        <f t="shared" si="13"/>
        <v>0</v>
      </c>
      <c r="D229" s="5">
        <f>IF(ExtraPayment=0, 0, IF(AND($B229&lt;&gt;0,ExtraPayment&lt;=$B229),-ExtraPayment,-($F229)-$B229))</f>
        <v>0</v>
      </c>
      <c r="E229" s="5">
        <f>IF($B229 &lt;= 0, 0, -ROUND($B229 * (InterestRate / PaymentsPerYear), 2))</f>
        <v>0</v>
      </c>
      <c r="F229" s="5">
        <f>ROUND(IFERROR(IF(OR($B229 &lt;=0, $B229 = ExtraPayment),0,
MAX(-$B229, -(-PMT(InterestRate/PaymentsPerYear,LoanTerm*PaymentsPerYear,LoanAmount) + $E229))), 0), 2)</f>
        <v>0</v>
      </c>
      <c r="G229" s="5">
        <f t="shared" si="14"/>
        <v>0</v>
      </c>
      <c r="H229" s="5">
        <f t="shared" si="15"/>
        <v>0</v>
      </c>
    </row>
    <row r="230" spans="1:8" x14ac:dyDescent="0.2">
      <c r="A230" s="2">
        <v>229</v>
      </c>
      <c r="B230" s="5">
        <f t="shared" si="12"/>
        <v>0</v>
      </c>
      <c r="C230" s="5">
        <f t="shared" si="13"/>
        <v>0</v>
      </c>
      <c r="D230" s="5">
        <f>IF(ExtraPayment=0, 0, IF(AND($B230&lt;&gt;0,ExtraPayment&lt;=$B230),-ExtraPayment,-($F230)-$B230))</f>
        <v>0</v>
      </c>
      <c r="E230" s="5">
        <f>IF($B230 &lt;= 0, 0, -ROUND($B230 * (InterestRate / PaymentsPerYear), 2))</f>
        <v>0</v>
      </c>
      <c r="F230" s="5">
        <f>ROUND(IFERROR(IF(OR($B230 &lt;=0, $B230 = ExtraPayment),0,
MAX(-$B230, -(-PMT(InterestRate/PaymentsPerYear,LoanTerm*PaymentsPerYear,LoanAmount) + $E230))), 0), 2)</f>
        <v>0</v>
      </c>
      <c r="G230" s="5">
        <f t="shared" si="14"/>
        <v>0</v>
      </c>
      <c r="H230" s="5">
        <f t="shared" si="15"/>
        <v>0</v>
      </c>
    </row>
    <row r="231" spans="1:8" x14ac:dyDescent="0.2">
      <c r="A231" s="2">
        <v>230</v>
      </c>
      <c r="B231" s="5">
        <f t="shared" si="12"/>
        <v>0</v>
      </c>
      <c r="C231" s="5">
        <f t="shared" si="13"/>
        <v>0</v>
      </c>
      <c r="D231" s="5">
        <f>IF(ExtraPayment=0, 0, IF(AND($B231&lt;&gt;0,ExtraPayment&lt;=$B231),-ExtraPayment,-($F231)-$B231))</f>
        <v>0</v>
      </c>
      <c r="E231" s="5">
        <f>IF($B231 &lt;= 0, 0, -ROUND($B231 * (InterestRate / PaymentsPerYear), 2))</f>
        <v>0</v>
      </c>
      <c r="F231" s="5">
        <f>ROUND(IFERROR(IF(OR($B231 &lt;=0, $B231 = ExtraPayment),0,
MAX(-$B231, -(-PMT(InterestRate/PaymentsPerYear,LoanTerm*PaymentsPerYear,LoanAmount) + $E231))), 0), 2)</f>
        <v>0</v>
      </c>
      <c r="G231" s="5">
        <f t="shared" si="14"/>
        <v>0</v>
      </c>
      <c r="H231" s="5">
        <f t="shared" si="15"/>
        <v>0</v>
      </c>
    </row>
    <row r="232" spans="1:8" x14ac:dyDescent="0.2">
      <c r="A232" s="2">
        <v>231</v>
      </c>
      <c r="B232" s="5">
        <f t="shared" si="12"/>
        <v>0</v>
      </c>
      <c r="C232" s="5">
        <f t="shared" si="13"/>
        <v>0</v>
      </c>
      <c r="D232" s="5">
        <f>IF(ExtraPayment=0, 0, IF(AND($B232&lt;&gt;0,ExtraPayment&lt;=$B232),-ExtraPayment,-($F232)-$B232))</f>
        <v>0</v>
      </c>
      <c r="E232" s="5">
        <f>IF($B232 &lt;= 0, 0, -ROUND($B232 * (InterestRate / PaymentsPerYear), 2))</f>
        <v>0</v>
      </c>
      <c r="F232" s="5">
        <f>ROUND(IFERROR(IF(OR($B232 &lt;=0, $B232 = ExtraPayment),0,
MAX(-$B232, -(-PMT(InterestRate/PaymentsPerYear,LoanTerm*PaymentsPerYear,LoanAmount) + $E232))), 0), 2)</f>
        <v>0</v>
      </c>
      <c r="G232" s="5">
        <f t="shared" si="14"/>
        <v>0</v>
      </c>
      <c r="H232" s="5">
        <f t="shared" si="15"/>
        <v>0</v>
      </c>
    </row>
    <row r="233" spans="1:8" x14ac:dyDescent="0.2">
      <c r="A233" s="2">
        <v>232</v>
      </c>
      <c r="B233" s="5">
        <f t="shared" si="12"/>
        <v>0</v>
      </c>
      <c r="C233" s="5">
        <f t="shared" si="13"/>
        <v>0</v>
      </c>
      <c r="D233" s="5">
        <f>IF(ExtraPayment=0, 0, IF(AND($B233&lt;&gt;0,ExtraPayment&lt;=$B233),-ExtraPayment,-($F233)-$B233))</f>
        <v>0</v>
      </c>
      <c r="E233" s="5">
        <f>IF($B233 &lt;= 0, 0, -ROUND($B233 * (InterestRate / PaymentsPerYear), 2))</f>
        <v>0</v>
      </c>
      <c r="F233" s="5">
        <f>ROUND(IFERROR(IF(OR($B233 &lt;=0, $B233 = ExtraPayment),0,
MAX(-$B233, -(-PMT(InterestRate/PaymentsPerYear,LoanTerm*PaymentsPerYear,LoanAmount) + $E233))), 0), 2)</f>
        <v>0</v>
      </c>
      <c r="G233" s="5">
        <f t="shared" si="14"/>
        <v>0</v>
      </c>
      <c r="H233" s="5">
        <f t="shared" si="15"/>
        <v>0</v>
      </c>
    </row>
    <row r="234" spans="1:8" x14ac:dyDescent="0.2">
      <c r="A234" s="2">
        <v>233</v>
      </c>
      <c r="B234" s="5">
        <f t="shared" si="12"/>
        <v>0</v>
      </c>
      <c r="C234" s="5">
        <f t="shared" si="13"/>
        <v>0</v>
      </c>
      <c r="D234" s="5">
        <f>IF(ExtraPayment=0, 0, IF(AND($B234&lt;&gt;0,ExtraPayment&lt;=$B234),-ExtraPayment,-($F234)-$B234))</f>
        <v>0</v>
      </c>
      <c r="E234" s="5">
        <f>IF($B234 &lt;= 0, 0, -ROUND($B234 * (InterestRate / PaymentsPerYear), 2))</f>
        <v>0</v>
      </c>
      <c r="F234" s="5">
        <f>ROUND(IFERROR(IF(OR($B234 &lt;=0, $B234 = ExtraPayment),0,
MAX(-$B234, -(-PMT(InterestRate/PaymentsPerYear,LoanTerm*PaymentsPerYear,LoanAmount) + $E234))), 0), 2)</f>
        <v>0</v>
      </c>
      <c r="G234" s="5">
        <f t="shared" si="14"/>
        <v>0</v>
      </c>
      <c r="H234" s="5">
        <f t="shared" si="15"/>
        <v>0</v>
      </c>
    </row>
    <row r="235" spans="1:8" x14ac:dyDescent="0.2">
      <c r="A235" s="2">
        <v>234</v>
      </c>
      <c r="B235" s="5">
        <f t="shared" si="12"/>
        <v>0</v>
      </c>
      <c r="C235" s="5">
        <f t="shared" si="13"/>
        <v>0</v>
      </c>
      <c r="D235" s="5">
        <f>IF(ExtraPayment=0, 0, IF(AND($B235&lt;&gt;0,ExtraPayment&lt;=$B235),-ExtraPayment,-($F235)-$B235))</f>
        <v>0</v>
      </c>
      <c r="E235" s="5">
        <f>IF($B235 &lt;= 0, 0, -ROUND($B235 * (InterestRate / PaymentsPerYear), 2))</f>
        <v>0</v>
      </c>
      <c r="F235" s="5">
        <f>ROUND(IFERROR(IF(OR($B235 &lt;=0, $B235 = ExtraPayment),0,
MAX(-$B235, -(-PMT(InterestRate/PaymentsPerYear,LoanTerm*PaymentsPerYear,LoanAmount) + $E235))), 0), 2)</f>
        <v>0</v>
      </c>
      <c r="G235" s="5">
        <f t="shared" si="14"/>
        <v>0</v>
      </c>
      <c r="H235" s="5">
        <f t="shared" si="15"/>
        <v>0</v>
      </c>
    </row>
    <row r="236" spans="1:8" x14ac:dyDescent="0.2">
      <c r="A236" s="2">
        <v>235</v>
      </c>
      <c r="B236" s="5">
        <f t="shared" si="12"/>
        <v>0</v>
      </c>
      <c r="C236" s="5">
        <f t="shared" si="13"/>
        <v>0</v>
      </c>
      <c r="D236" s="5">
        <f>IF(ExtraPayment=0, 0, IF(AND($B236&lt;&gt;0,ExtraPayment&lt;=$B236),-ExtraPayment,-($F236)-$B236))</f>
        <v>0</v>
      </c>
      <c r="E236" s="5">
        <f>IF($B236 &lt;= 0, 0, -ROUND($B236 * (InterestRate / PaymentsPerYear), 2))</f>
        <v>0</v>
      </c>
      <c r="F236" s="5">
        <f>ROUND(IFERROR(IF(OR($B236 &lt;=0, $B236 = ExtraPayment),0,
MAX(-$B236, -(-PMT(InterestRate/PaymentsPerYear,LoanTerm*PaymentsPerYear,LoanAmount) + $E236))), 0), 2)</f>
        <v>0</v>
      </c>
      <c r="G236" s="5">
        <f t="shared" si="14"/>
        <v>0</v>
      </c>
      <c r="H236" s="5">
        <f t="shared" si="15"/>
        <v>0</v>
      </c>
    </row>
    <row r="237" spans="1:8" x14ac:dyDescent="0.2">
      <c r="A237" s="2">
        <v>236</v>
      </c>
      <c r="B237" s="5">
        <f t="shared" si="12"/>
        <v>0</v>
      </c>
      <c r="C237" s="5">
        <f t="shared" si="13"/>
        <v>0</v>
      </c>
      <c r="D237" s="5">
        <f>IF(ExtraPayment=0, 0, IF(AND($B237&lt;&gt;0,ExtraPayment&lt;=$B237),-ExtraPayment,-($F237)-$B237))</f>
        <v>0</v>
      </c>
      <c r="E237" s="5">
        <f>IF($B237 &lt;= 0, 0, -ROUND($B237 * (InterestRate / PaymentsPerYear), 2))</f>
        <v>0</v>
      </c>
      <c r="F237" s="5">
        <f>ROUND(IFERROR(IF(OR($B237 &lt;=0, $B237 = ExtraPayment),0,
MAX(-$B237, -(-PMT(InterestRate/PaymentsPerYear,LoanTerm*PaymentsPerYear,LoanAmount) + $E237))), 0), 2)</f>
        <v>0</v>
      </c>
      <c r="G237" s="5">
        <f t="shared" si="14"/>
        <v>0</v>
      </c>
      <c r="H237" s="5">
        <f t="shared" si="15"/>
        <v>0</v>
      </c>
    </row>
    <row r="238" spans="1:8" x14ac:dyDescent="0.2">
      <c r="A238" s="2">
        <v>237</v>
      </c>
      <c r="B238" s="5">
        <f t="shared" si="12"/>
        <v>0</v>
      </c>
      <c r="C238" s="5">
        <f t="shared" si="13"/>
        <v>0</v>
      </c>
      <c r="D238" s="5">
        <f>IF(ExtraPayment=0, 0, IF(AND($B238&lt;&gt;0,ExtraPayment&lt;=$B238),-ExtraPayment,-($F238)-$B238))</f>
        <v>0</v>
      </c>
      <c r="E238" s="5">
        <f>IF($B238 &lt;= 0, 0, -ROUND($B238 * (InterestRate / PaymentsPerYear), 2))</f>
        <v>0</v>
      </c>
      <c r="F238" s="5">
        <f>ROUND(IFERROR(IF(OR($B238 &lt;=0, $B238 = ExtraPayment),0,
MAX(-$B238, -(-PMT(InterestRate/PaymentsPerYear,LoanTerm*PaymentsPerYear,LoanAmount) + $E238))), 0), 2)</f>
        <v>0</v>
      </c>
      <c r="G238" s="5">
        <f t="shared" si="14"/>
        <v>0</v>
      </c>
      <c r="H238" s="5">
        <f t="shared" si="15"/>
        <v>0</v>
      </c>
    </row>
    <row r="239" spans="1:8" x14ac:dyDescent="0.2">
      <c r="A239" s="2">
        <v>238</v>
      </c>
      <c r="B239" s="5">
        <f t="shared" si="12"/>
        <v>0</v>
      </c>
      <c r="C239" s="5">
        <f t="shared" si="13"/>
        <v>0</v>
      </c>
      <c r="D239" s="5">
        <f>IF(ExtraPayment=0, 0, IF(AND($B239&lt;&gt;0,ExtraPayment&lt;=$B239),-ExtraPayment,-($F239)-$B239))</f>
        <v>0</v>
      </c>
      <c r="E239" s="5">
        <f>IF($B239 &lt;= 0, 0, -ROUND($B239 * (InterestRate / PaymentsPerYear), 2))</f>
        <v>0</v>
      </c>
      <c r="F239" s="5">
        <f>ROUND(IFERROR(IF(OR($B239 &lt;=0, $B239 = ExtraPayment),0,
MAX(-$B239, -(-PMT(InterestRate/PaymentsPerYear,LoanTerm*PaymentsPerYear,LoanAmount) + $E239))), 0), 2)</f>
        <v>0</v>
      </c>
      <c r="G239" s="5">
        <f t="shared" si="14"/>
        <v>0</v>
      </c>
      <c r="H239" s="5">
        <f t="shared" si="15"/>
        <v>0</v>
      </c>
    </row>
    <row r="240" spans="1:8" x14ac:dyDescent="0.2">
      <c r="A240" s="2">
        <v>239</v>
      </c>
      <c r="B240" s="5">
        <f t="shared" si="12"/>
        <v>0</v>
      </c>
      <c r="C240" s="5">
        <f t="shared" si="13"/>
        <v>0</v>
      </c>
      <c r="D240" s="5">
        <f>IF(ExtraPayment=0, 0, IF(AND($B240&lt;&gt;0,ExtraPayment&lt;=$B240),-ExtraPayment,-($F240)-$B240))</f>
        <v>0</v>
      </c>
      <c r="E240" s="5">
        <f>IF($B240 &lt;= 0, 0, -ROUND($B240 * (InterestRate / PaymentsPerYear), 2))</f>
        <v>0</v>
      </c>
      <c r="F240" s="5">
        <f>ROUND(IFERROR(IF(OR($B240 &lt;=0, $B240 = ExtraPayment),0,
MAX(-$B240, -(-PMT(InterestRate/PaymentsPerYear,LoanTerm*PaymentsPerYear,LoanAmount) + $E240))), 0), 2)</f>
        <v>0</v>
      </c>
      <c r="G240" s="5">
        <f t="shared" si="14"/>
        <v>0</v>
      </c>
      <c r="H240" s="5">
        <f t="shared" si="15"/>
        <v>0</v>
      </c>
    </row>
    <row r="241" spans="1:8" x14ac:dyDescent="0.2">
      <c r="A241" s="2">
        <v>240</v>
      </c>
      <c r="B241" s="5">
        <f t="shared" si="12"/>
        <v>0</v>
      </c>
      <c r="C241" s="5">
        <f t="shared" si="13"/>
        <v>0</v>
      </c>
      <c r="D241" s="5">
        <f>IF(ExtraPayment=0, 0, IF(AND($B241&lt;&gt;0,ExtraPayment&lt;=$B241),-ExtraPayment,-($F241)-$B241))</f>
        <v>0</v>
      </c>
      <c r="E241" s="5">
        <f>IF($B241 &lt;= 0, 0, -ROUND($B241 * (InterestRate / PaymentsPerYear), 2))</f>
        <v>0</v>
      </c>
      <c r="F241" s="5">
        <f>ROUND(IFERROR(IF(OR($B241 &lt;=0, $B241 = ExtraPayment),0,
MAX(-$B241, -(-PMT(InterestRate/PaymentsPerYear,LoanTerm*PaymentsPerYear,LoanAmount) + $E241))), 0), 2)</f>
        <v>0</v>
      </c>
      <c r="G241" s="5">
        <f t="shared" si="14"/>
        <v>0</v>
      </c>
      <c r="H241" s="5">
        <f t="shared" si="15"/>
        <v>0</v>
      </c>
    </row>
    <row r="242" spans="1:8" x14ac:dyDescent="0.2">
      <c r="A242" s="2">
        <v>241</v>
      </c>
      <c r="B242" s="5">
        <f t="shared" si="12"/>
        <v>0</v>
      </c>
      <c r="C242" s="5">
        <f t="shared" si="13"/>
        <v>0</v>
      </c>
      <c r="D242" s="5">
        <f>IF(ExtraPayment=0, 0, IF(AND($B242&lt;&gt;0,ExtraPayment&lt;=$B242),-ExtraPayment,-($F242)-$B242))</f>
        <v>0</v>
      </c>
      <c r="E242" s="5">
        <f>IF($B242 &lt;= 0, 0, -ROUND($B242 * (InterestRate / PaymentsPerYear), 2))</f>
        <v>0</v>
      </c>
      <c r="F242" s="5">
        <f>ROUND(IFERROR(IF(OR($B242 &lt;=0, $B242 = ExtraPayment),0,
MAX(-$B242, -(-PMT(InterestRate/PaymentsPerYear,LoanTerm*PaymentsPerYear,LoanAmount) + $E242))), 0), 2)</f>
        <v>0</v>
      </c>
      <c r="G242" s="5">
        <f t="shared" si="14"/>
        <v>0</v>
      </c>
      <c r="H242" s="5">
        <f t="shared" si="15"/>
        <v>0</v>
      </c>
    </row>
    <row r="243" spans="1:8" x14ac:dyDescent="0.2">
      <c r="A243" s="2">
        <v>242</v>
      </c>
      <c r="B243" s="5">
        <f t="shared" si="12"/>
        <v>0</v>
      </c>
      <c r="C243" s="5">
        <f t="shared" si="13"/>
        <v>0</v>
      </c>
      <c r="D243" s="5">
        <f>IF(ExtraPayment=0, 0, IF(AND($B243&lt;&gt;0,ExtraPayment&lt;=$B243),-ExtraPayment,-($F243)-$B243))</f>
        <v>0</v>
      </c>
      <c r="E243" s="5">
        <f>IF($B243 &lt;= 0, 0, -ROUND($B243 * (InterestRate / PaymentsPerYear), 2))</f>
        <v>0</v>
      </c>
      <c r="F243" s="5">
        <f>ROUND(IFERROR(IF(OR($B243 &lt;=0, $B243 = ExtraPayment),0,
MAX(-$B243, -(-PMT(InterestRate/PaymentsPerYear,LoanTerm*PaymentsPerYear,LoanAmount) + $E243))), 0), 2)</f>
        <v>0</v>
      </c>
      <c r="G243" s="5">
        <f t="shared" si="14"/>
        <v>0</v>
      </c>
      <c r="H243" s="5">
        <f t="shared" si="15"/>
        <v>0</v>
      </c>
    </row>
    <row r="244" spans="1:8" x14ac:dyDescent="0.2">
      <c r="A244" s="2">
        <v>243</v>
      </c>
      <c r="B244" s="5">
        <f t="shared" si="12"/>
        <v>0</v>
      </c>
      <c r="C244" s="5">
        <f t="shared" si="13"/>
        <v>0</v>
      </c>
      <c r="D244" s="5">
        <f>IF(ExtraPayment=0, 0, IF(AND($B244&lt;&gt;0,ExtraPayment&lt;=$B244),-ExtraPayment,-($F244)-$B244))</f>
        <v>0</v>
      </c>
      <c r="E244" s="5">
        <f>IF($B244 &lt;= 0, 0, -ROUND($B244 * (InterestRate / PaymentsPerYear), 2))</f>
        <v>0</v>
      </c>
      <c r="F244" s="5">
        <f>ROUND(IFERROR(IF(OR($B244 &lt;=0, $B244 = ExtraPayment),0,
MAX(-$B244, -(-PMT(InterestRate/PaymentsPerYear,LoanTerm*PaymentsPerYear,LoanAmount) + $E244))), 0), 2)</f>
        <v>0</v>
      </c>
      <c r="G244" s="5">
        <f t="shared" si="14"/>
        <v>0</v>
      </c>
      <c r="H244" s="5">
        <f t="shared" si="15"/>
        <v>0</v>
      </c>
    </row>
    <row r="245" spans="1:8" x14ac:dyDescent="0.2">
      <c r="A245" s="2">
        <v>244</v>
      </c>
      <c r="B245" s="5">
        <f t="shared" si="12"/>
        <v>0</v>
      </c>
      <c r="C245" s="5">
        <f t="shared" si="13"/>
        <v>0</v>
      </c>
      <c r="D245" s="5">
        <f>IF(ExtraPayment=0, 0, IF(AND($B245&lt;&gt;0,ExtraPayment&lt;=$B245),-ExtraPayment,-($F245)-$B245))</f>
        <v>0</v>
      </c>
      <c r="E245" s="5">
        <f>IF($B245 &lt;= 0, 0, -ROUND($B245 * (InterestRate / PaymentsPerYear), 2))</f>
        <v>0</v>
      </c>
      <c r="F245" s="5">
        <f>ROUND(IFERROR(IF(OR($B245 &lt;=0, $B245 = ExtraPayment),0,
MAX(-$B245, -(-PMT(InterestRate/PaymentsPerYear,LoanTerm*PaymentsPerYear,LoanAmount) + $E245))), 0), 2)</f>
        <v>0</v>
      </c>
      <c r="G245" s="5">
        <f t="shared" si="14"/>
        <v>0</v>
      </c>
      <c r="H245" s="5">
        <f t="shared" si="15"/>
        <v>0</v>
      </c>
    </row>
    <row r="246" spans="1:8" x14ac:dyDescent="0.2">
      <c r="A246" s="2">
        <v>245</v>
      </c>
      <c r="B246" s="5">
        <f t="shared" si="12"/>
        <v>0</v>
      </c>
      <c r="C246" s="5">
        <f t="shared" si="13"/>
        <v>0</v>
      </c>
      <c r="D246" s="5">
        <f>IF(ExtraPayment=0, 0, IF(AND($B246&lt;&gt;0,ExtraPayment&lt;=$B246),-ExtraPayment,-($F246)-$B246))</f>
        <v>0</v>
      </c>
      <c r="E246" s="5">
        <f>IF($B246 &lt;= 0, 0, -ROUND($B246 * (InterestRate / PaymentsPerYear), 2))</f>
        <v>0</v>
      </c>
      <c r="F246" s="5">
        <f>ROUND(IFERROR(IF(OR($B246 &lt;=0, $B246 = ExtraPayment),0,
MAX(-$B246, -(-PMT(InterestRate/PaymentsPerYear,LoanTerm*PaymentsPerYear,LoanAmount) + $E246))), 0), 2)</f>
        <v>0</v>
      </c>
      <c r="G246" s="5">
        <f t="shared" si="14"/>
        <v>0</v>
      </c>
      <c r="H246" s="5">
        <f t="shared" si="15"/>
        <v>0</v>
      </c>
    </row>
    <row r="247" spans="1:8" x14ac:dyDescent="0.2">
      <c r="A247" s="2">
        <v>246</v>
      </c>
      <c r="B247" s="5">
        <f t="shared" si="12"/>
        <v>0</v>
      </c>
      <c r="C247" s="5">
        <f t="shared" si="13"/>
        <v>0</v>
      </c>
      <c r="D247" s="5">
        <f>IF(ExtraPayment=0, 0, IF(AND($B247&lt;&gt;0,ExtraPayment&lt;=$B247),-ExtraPayment,-($F247)-$B247))</f>
        <v>0</v>
      </c>
      <c r="E247" s="5">
        <f>IF($B247 &lt;= 0, 0, -ROUND($B247 * (InterestRate / PaymentsPerYear), 2))</f>
        <v>0</v>
      </c>
      <c r="F247" s="5">
        <f>ROUND(IFERROR(IF(OR($B247 &lt;=0, $B247 = ExtraPayment),0,
MAX(-$B247, -(-PMT(InterestRate/PaymentsPerYear,LoanTerm*PaymentsPerYear,LoanAmount) + $E247))), 0), 2)</f>
        <v>0</v>
      </c>
      <c r="G247" s="5">
        <f t="shared" si="14"/>
        <v>0</v>
      </c>
      <c r="H247" s="5">
        <f t="shared" si="15"/>
        <v>0</v>
      </c>
    </row>
    <row r="248" spans="1:8" x14ac:dyDescent="0.2">
      <c r="A248" s="2">
        <v>247</v>
      </c>
      <c r="B248" s="5">
        <f t="shared" si="12"/>
        <v>0</v>
      </c>
      <c r="C248" s="5">
        <f t="shared" si="13"/>
        <v>0</v>
      </c>
      <c r="D248" s="5">
        <f>IF(ExtraPayment=0, 0, IF(AND($B248&lt;&gt;0,ExtraPayment&lt;=$B248),-ExtraPayment,-($F248)-$B248))</f>
        <v>0</v>
      </c>
      <c r="E248" s="5">
        <f>IF($B248 &lt;= 0, 0, -ROUND($B248 * (InterestRate / PaymentsPerYear), 2))</f>
        <v>0</v>
      </c>
      <c r="F248" s="5">
        <f>ROUND(IFERROR(IF(OR($B248 &lt;=0, $B248 = ExtraPayment),0,
MAX(-$B248, -(-PMT(InterestRate/PaymentsPerYear,LoanTerm*PaymentsPerYear,LoanAmount) + $E248))), 0), 2)</f>
        <v>0</v>
      </c>
      <c r="G248" s="5">
        <f t="shared" si="14"/>
        <v>0</v>
      </c>
      <c r="H248" s="5">
        <f t="shared" si="15"/>
        <v>0</v>
      </c>
    </row>
    <row r="249" spans="1:8" x14ac:dyDescent="0.2">
      <c r="A249" s="2">
        <v>248</v>
      </c>
      <c r="B249" s="5">
        <f t="shared" si="12"/>
        <v>0</v>
      </c>
      <c r="C249" s="5">
        <f t="shared" si="13"/>
        <v>0</v>
      </c>
      <c r="D249" s="5">
        <f>IF(ExtraPayment=0, 0, IF(AND($B249&lt;&gt;0,ExtraPayment&lt;=$B249),-ExtraPayment,-($F249)-$B249))</f>
        <v>0</v>
      </c>
      <c r="E249" s="5">
        <f>IF($B249 &lt;= 0, 0, -ROUND($B249 * (InterestRate / PaymentsPerYear), 2))</f>
        <v>0</v>
      </c>
      <c r="F249" s="5">
        <f>ROUND(IFERROR(IF(OR($B249 &lt;=0, $B249 = ExtraPayment),0,
MAX(-$B249, -(-PMT(InterestRate/PaymentsPerYear,LoanTerm*PaymentsPerYear,LoanAmount) + $E249))), 0), 2)</f>
        <v>0</v>
      </c>
      <c r="G249" s="5">
        <f t="shared" si="14"/>
        <v>0</v>
      </c>
      <c r="H249" s="5">
        <f t="shared" si="15"/>
        <v>0</v>
      </c>
    </row>
    <row r="250" spans="1:8" x14ac:dyDescent="0.2">
      <c r="A250" s="2">
        <v>249</v>
      </c>
      <c r="B250" s="5">
        <f t="shared" si="12"/>
        <v>0</v>
      </c>
      <c r="C250" s="5">
        <f t="shared" si="13"/>
        <v>0</v>
      </c>
      <c r="D250" s="5">
        <f>IF(ExtraPayment=0, 0, IF(AND($B250&lt;&gt;0,ExtraPayment&lt;=$B250),-ExtraPayment,-($F250)-$B250))</f>
        <v>0</v>
      </c>
      <c r="E250" s="5">
        <f>IF($B250 &lt;= 0, 0, -ROUND($B250 * (InterestRate / PaymentsPerYear), 2))</f>
        <v>0</v>
      </c>
      <c r="F250" s="5">
        <f>ROUND(IFERROR(IF(OR($B250 &lt;=0, $B250 = ExtraPayment),0,
MAX(-$B250, -(-PMT(InterestRate/PaymentsPerYear,LoanTerm*PaymentsPerYear,LoanAmount) + $E250))), 0), 2)</f>
        <v>0</v>
      </c>
      <c r="G250" s="5">
        <f t="shared" si="14"/>
        <v>0</v>
      </c>
      <c r="H250" s="5">
        <f t="shared" si="15"/>
        <v>0</v>
      </c>
    </row>
    <row r="251" spans="1:8" x14ac:dyDescent="0.2">
      <c r="A251" s="2">
        <v>250</v>
      </c>
      <c r="B251" s="5">
        <f t="shared" si="12"/>
        <v>0</v>
      </c>
      <c r="C251" s="5">
        <f t="shared" si="13"/>
        <v>0</v>
      </c>
      <c r="D251" s="5">
        <f>IF(ExtraPayment=0, 0, IF(AND($B251&lt;&gt;0,ExtraPayment&lt;=$B251),-ExtraPayment,-($F251)-$B251))</f>
        <v>0</v>
      </c>
      <c r="E251" s="5">
        <f>IF($B251 &lt;= 0, 0, -ROUND($B251 * (InterestRate / PaymentsPerYear), 2))</f>
        <v>0</v>
      </c>
      <c r="F251" s="5">
        <f>ROUND(IFERROR(IF(OR($B251 &lt;=0, $B251 = ExtraPayment),0,
MAX(-$B251, -(-PMT(InterestRate/PaymentsPerYear,LoanTerm*PaymentsPerYear,LoanAmount) + $E251))), 0), 2)</f>
        <v>0</v>
      </c>
      <c r="G251" s="5">
        <f t="shared" si="14"/>
        <v>0</v>
      </c>
      <c r="H251" s="5">
        <f t="shared" si="15"/>
        <v>0</v>
      </c>
    </row>
    <row r="252" spans="1:8" x14ac:dyDescent="0.2">
      <c r="A252" s="2">
        <v>251</v>
      </c>
      <c r="B252" s="5">
        <f t="shared" si="12"/>
        <v>0</v>
      </c>
      <c r="C252" s="5">
        <f t="shared" si="13"/>
        <v>0</v>
      </c>
      <c r="D252" s="5">
        <f>IF(ExtraPayment=0, 0, IF(AND($B252&lt;&gt;0,ExtraPayment&lt;=$B252),-ExtraPayment,-($F252)-$B252))</f>
        <v>0</v>
      </c>
      <c r="E252" s="5">
        <f>IF($B252 &lt;= 0, 0, -ROUND($B252 * (InterestRate / PaymentsPerYear), 2))</f>
        <v>0</v>
      </c>
      <c r="F252" s="5">
        <f>ROUND(IFERROR(IF(OR($B252 &lt;=0, $B252 = ExtraPayment),0,
MAX(-$B252, -(-PMT(InterestRate/PaymentsPerYear,LoanTerm*PaymentsPerYear,LoanAmount) + $E252))), 0), 2)</f>
        <v>0</v>
      </c>
      <c r="G252" s="5">
        <f t="shared" si="14"/>
        <v>0</v>
      </c>
      <c r="H252" s="5">
        <f t="shared" si="15"/>
        <v>0</v>
      </c>
    </row>
    <row r="253" spans="1:8" x14ac:dyDescent="0.2">
      <c r="A253" s="2">
        <v>252</v>
      </c>
      <c r="B253" s="5">
        <f t="shared" si="12"/>
        <v>0</v>
      </c>
      <c r="C253" s="5">
        <f t="shared" si="13"/>
        <v>0</v>
      </c>
      <c r="D253" s="5">
        <f>IF(ExtraPayment=0, 0, IF(AND($B253&lt;&gt;0,ExtraPayment&lt;=$B253),-ExtraPayment,-($F253)-$B253))</f>
        <v>0</v>
      </c>
      <c r="E253" s="5">
        <f>IF($B253 &lt;= 0, 0, -ROUND($B253 * (InterestRate / PaymentsPerYear), 2))</f>
        <v>0</v>
      </c>
      <c r="F253" s="5">
        <f>ROUND(IFERROR(IF(OR($B253 &lt;=0, $B253 = ExtraPayment),0,
MAX(-$B253, -(-PMT(InterestRate/PaymentsPerYear,LoanTerm*PaymentsPerYear,LoanAmount) + $E253))), 0), 2)</f>
        <v>0</v>
      </c>
      <c r="G253" s="5">
        <f t="shared" si="14"/>
        <v>0</v>
      </c>
      <c r="H253" s="5">
        <f t="shared" si="15"/>
        <v>0</v>
      </c>
    </row>
    <row r="254" spans="1:8" x14ac:dyDescent="0.2">
      <c r="A254" s="2">
        <v>253</v>
      </c>
      <c r="B254" s="5">
        <f t="shared" si="12"/>
        <v>0</v>
      </c>
      <c r="C254" s="5">
        <f t="shared" si="13"/>
        <v>0</v>
      </c>
      <c r="D254" s="5">
        <f>IF(ExtraPayment=0, 0, IF(AND($B254&lt;&gt;0,ExtraPayment&lt;=$B254),-ExtraPayment,-($F254)-$B254))</f>
        <v>0</v>
      </c>
      <c r="E254" s="5">
        <f>IF($B254 &lt;= 0, 0, -ROUND($B254 * (InterestRate / PaymentsPerYear), 2))</f>
        <v>0</v>
      </c>
      <c r="F254" s="5">
        <f>ROUND(IFERROR(IF(OR($B254 &lt;=0, $B254 = ExtraPayment),0,
MAX(-$B254, -(-PMT(InterestRate/PaymentsPerYear,LoanTerm*PaymentsPerYear,LoanAmount) + $E254))), 0), 2)</f>
        <v>0</v>
      </c>
      <c r="G254" s="5">
        <f t="shared" si="14"/>
        <v>0</v>
      </c>
      <c r="H254" s="5">
        <f t="shared" si="15"/>
        <v>0</v>
      </c>
    </row>
    <row r="255" spans="1:8" x14ac:dyDescent="0.2">
      <c r="A255" s="2">
        <v>254</v>
      </c>
      <c r="B255" s="5">
        <f t="shared" si="12"/>
        <v>0</v>
      </c>
      <c r="C255" s="5">
        <f t="shared" si="13"/>
        <v>0</v>
      </c>
      <c r="D255" s="5">
        <f>IF(ExtraPayment=0, 0, IF(AND($B255&lt;&gt;0,ExtraPayment&lt;=$B255),-ExtraPayment,-($F255)-$B255))</f>
        <v>0</v>
      </c>
      <c r="E255" s="5">
        <f>IF($B255 &lt;= 0, 0, -ROUND($B255 * (InterestRate / PaymentsPerYear), 2))</f>
        <v>0</v>
      </c>
      <c r="F255" s="5">
        <f>ROUND(IFERROR(IF(OR($B255 &lt;=0, $B255 = ExtraPayment),0,
MAX(-$B255, -(-PMT(InterestRate/PaymentsPerYear,LoanTerm*PaymentsPerYear,LoanAmount) + $E255))), 0), 2)</f>
        <v>0</v>
      </c>
      <c r="G255" s="5">
        <f t="shared" si="14"/>
        <v>0</v>
      </c>
      <c r="H255" s="5">
        <f t="shared" si="15"/>
        <v>0</v>
      </c>
    </row>
    <row r="256" spans="1:8" x14ac:dyDescent="0.2">
      <c r="A256" s="2">
        <v>255</v>
      </c>
      <c r="B256" s="5">
        <f t="shared" si="12"/>
        <v>0</v>
      </c>
      <c r="C256" s="5">
        <f t="shared" si="13"/>
        <v>0</v>
      </c>
      <c r="D256" s="5">
        <f>IF(ExtraPayment=0, 0, IF(AND($B256&lt;&gt;0,ExtraPayment&lt;=$B256),-ExtraPayment,-($F256)-$B256))</f>
        <v>0</v>
      </c>
      <c r="E256" s="5">
        <f>IF($B256 &lt;= 0, 0, -ROUND($B256 * (InterestRate / PaymentsPerYear), 2))</f>
        <v>0</v>
      </c>
      <c r="F256" s="5">
        <f>ROUND(IFERROR(IF(OR($B256 &lt;=0, $B256 = ExtraPayment),0,
MAX(-$B256, -(-PMT(InterestRate/PaymentsPerYear,LoanTerm*PaymentsPerYear,LoanAmount) + $E256))), 0), 2)</f>
        <v>0</v>
      </c>
      <c r="G256" s="5">
        <f t="shared" si="14"/>
        <v>0</v>
      </c>
      <c r="H256" s="5">
        <f t="shared" si="15"/>
        <v>0</v>
      </c>
    </row>
    <row r="257" spans="1:8" x14ac:dyDescent="0.2">
      <c r="A257" s="2">
        <v>256</v>
      </c>
      <c r="B257" s="5">
        <f t="shared" si="12"/>
        <v>0</v>
      </c>
      <c r="C257" s="5">
        <f t="shared" si="13"/>
        <v>0</v>
      </c>
      <c r="D257" s="5">
        <f>IF(ExtraPayment=0, 0, IF(AND($B257&lt;&gt;0,ExtraPayment&lt;=$B257),-ExtraPayment,-($F257)-$B257))</f>
        <v>0</v>
      </c>
      <c r="E257" s="5">
        <f>IF($B257 &lt;= 0, 0, -ROUND($B257 * (InterestRate / PaymentsPerYear), 2))</f>
        <v>0</v>
      </c>
      <c r="F257" s="5">
        <f>ROUND(IFERROR(IF(OR($B257 &lt;=0, $B257 = ExtraPayment),0,
MAX(-$B257, -(-PMT(InterestRate/PaymentsPerYear,LoanTerm*PaymentsPerYear,LoanAmount) + $E257))), 0), 2)</f>
        <v>0</v>
      </c>
      <c r="G257" s="5">
        <f t="shared" si="14"/>
        <v>0</v>
      </c>
      <c r="H257" s="5">
        <f t="shared" si="15"/>
        <v>0</v>
      </c>
    </row>
    <row r="258" spans="1:8" x14ac:dyDescent="0.2">
      <c r="A258" s="2">
        <v>257</v>
      </c>
      <c r="B258" s="5">
        <f t="shared" si="12"/>
        <v>0</v>
      </c>
      <c r="C258" s="5">
        <f t="shared" si="13"/>
        <v>0</v>
      </c>
      <c r="D258" s="5">
        <f>IF(ExtraPayment=0, 0, IF(AND($B258&lt;&gt;0,ExtraPayment&lt;=$B258),-ExtraPayment,-($F258)-$B258))</f>
        <v>0</v>
      </c>
      <c r="E258" s="5">
        <f>IF($B258 &lt;= 0, 0, -ROUND($B258 * (InterestRate / PaymentsPerYear), 2))</f>
        <v>0</v>
      </c>
      <c r="F258" s="5">
        <f>ROUND(IFERROR(IF(OR($B258 &lt;=0, $B258 = ExtraPayment),0,
MAX(-$B258, -(-PMT(InterestRate/PaymentsPerYear,LoanTerm*PaymentsPerYear,LoanAmount) + $E258))), 0), 2)</f>
        <v>0</v>
      </c>
      <c r="G258" s="5">
        <f t="shared" si="14"/>
        <v>0</v>
      </c>
      <c r="H258" s="5">
        <f t="shared" si="15"/>
        <v>0</v>
      </c>
    </row>
    <row r="259" spans="1:8" x14ac:dyDescent="0.2">
      <c r="A259" s="2">
        <v>258</v>
      </c>
      <c r="B259" s="5">
        <f t="shared" si="12"/>
        <v>0</v>
      </c>
      <c r="C259" s="5">
        <f t="shared" si="13"/>
        <v>0</v>
      </c>
      <c r="D259" s="5">
        <f>IF(ExtraPayment=0, 0, IF(AND($B259&lt;&gt;0,ExtraPayment&lt;=$B259),-ExtraPayment,-($F259)-$B259))</f>
        <v>0</v>
      </c>
      <c r="E259" s="5">
        <f>IF($B259 &lt;= 0, 0, -ROUND($B259 * (InterestRate / PaymentsPerYear), 2))</f>
        <v>0</v>
      </c>
      <c r="F259" s="5">
        <f>ROUND(IFERROR(IF(OR($B259 &lt;=0, $B259 = ExtraPayment),0,
MAX(-$B259, -(-PMT(InterestRate/PaymentsPerYear,LoanTerm*PaymentsPerYear,LoanAmount) + $E259))), 0), 2)</f>
        <v>0</v>
      </c>
      <c r="G259" s="5">
        <f t="shared" si="14"/>
        <v>0</v>
      </c>
      <c r="H259" s="5">
        <f t="shared" si="15"/>
        <v>0</v>
      </c>
    </row>
    <row r="260" spans="1:8" x14ac:dyDescent="0.2">
      <c r="A260" s="2">
        <v>259</v>
      </c>
      <c r="B260" s="5">
        <f t="shared" ref="B260:B323" si="16">ROUND(IF($H259 &gt;= 0, MAX($H259, $F259), 0), 2)</f>
        <v>0</v>
      </c>
      <c r="C260" s="5">
        <f t="shared" ref="C260:C323" si="17">IF($B260 &lt;= 0, 0, $D260+$E260+$F260)</f>
        <v>0</v>
      </c>
      <c r="D260" s="5">
        <f>IF(ExtraPayment=0, 0, IF(AND($B260&lt;&gt;0,ExtraPayment&lt;=$B260),-ExtraPayment,-($F260)-$B260))</f>
        <v>0</v>
      </c>
      <c r="E260" s="5">
        <f>IF($B260 &lt;= 0, 0, -ROUND($B260 * (InterestRate / PaymentsPerYear), 2))</f>
        <v>0</v>
      </c>
      <c r="F260" s="5">
        <f>ROUND(IFERROR(IF(OR($B260 &lt;=0, $B260 = ExtraPayment),0,
MAX(-$B260, -(-PMT(InterestRate/PaymentsPerYear,LoanTerm*PaymentsPerYear,LoanAmount) + $E260))), 0), 2)</f>
        <v>0</v>
      </c>
      <c r="G260" s="5">
        <f t="shared" ref="G260:G323" si="18">$D260+$F260</f>
        <v>0</v>
      </c>
      <c r="H260" s="5">
        <f t="shared" ref="H260:H323" si="19">ROUND(IF($B260 &lt;= 0, 0,MAX(0, $B260 + $G260)), 2)</f>
        <v>0</v>
      </c>
    </row>
    <row r="261" spans="1:8" x14ac:dyDescent="0.2">
      <c r="A261" s="2">
        <v>260</v>
      </c>
      <c r="B261" s="5">
        <f t="shared" si="16"/>
        <v>0</v>
      </c>
      <c r="C261" s="5">
        <f t="shared" si="17"/>
        <v>0</v>
      </c>
      <c r="D261" s="5">
        <f>IF(ExtraPayment=0, 0, IF(AND($B261&lt;&gt;0,ExtraPayment&lt;=$B261),-ExtraPayment,-($F261)-$B261))</f>
        <v>0</v>
      </c>
      <c r="E261" s="5">
        <f>IF($B261 &lt;= 0, 0, -ROUND($B261 * (InterestRate / PaymentsPerYear), 2))</f>
        <v>0</v>
      </c>
      <c r="F261" s="5">
        <f>ROUND(IFERROR(IF(OR($B261 &lt;=0, $B261 = ExtraPayment),0,
MAX(-$B261, -(-PMT(InterestRate/PaymentsPerYear,LoanTerm*PaymentsPerYear,LoanAmount) + $E261))), 0), 2)</f>
        <v>0</v>
      </c>
      <c r="G261" s="5">
        <f t="shared" si="18"/>
        <v>0</v>
      </c>
      <c r="H261" s="5">
        <f t="shared" si="19"/>
        <v>0</v>
      </c>
    </row>
    <row r="262" spans="1:8" x14ac:dyDescent="0.2">
      <c r="A262" s="2">
        <v>261</v>
      </c>
      <c r="B262" s="5">
        <f t="shared" si="16"/>
        <v>0</v>
      </c>
      <c r="C262" s="5">
        <f t="shared" si="17"/>
        <v>0</v>
      </c>
      <c r="D262" s="5">
        <f>IF(ExtraPayment=0, 0, IF(AND($B262&lt;&gt;0,ExtraPayment&lt;=$B262),-ExtraPayment,-($F262)-$B262))</f>
        <v>0</v>
      </c>
      <c r="E262" s="5">
        <f>IF($B262 &lt;= 0, 0, -ROUND($B262 * (InterestRate / PaymentsPerYear), 2))</f>
        <v>0</v>
      </c>
      <c r="F262" s="5">
        <f>ROUND(IFERROR(IF(OR($B262 &lt;=0, $B262 = ExtraPayment),0,
MAX(-$B262, -(-PMT(InterestRate/PaymentsPerYear,LoanTerm*PaymentsPerYear,LoanAmount) + $E262))), 0), 2)</f>
        <v>0</v>
      </c>
      <c r="G262" s="5">
        <f t="shared" si="18"/>
        <v>0</v>
      </c>
      <c r="H262" s="5">
        <f t="shared" si="19"/>
        <v>0</v>
      </c>
    </row>
    <row r="263" spans="1:8" x14ac:dyDescent="0.2">
      <c r="A263" s="2">
        <v>262</v>
      </c>
      <c r="B263" s="5">
        <f t="shared" si="16"/>
        <v>0</v>
      </c>
      <c r="C263" s="5">
        <f t="shared" si="17"/>
        <v>0</v>
      </c>
      <c r="D263" s="5">
        <f>IF(ExtraPayment=0, 0, IF(AND($B263&lt;&gt;0,ExtraPayment&lt;=$B263),-ExtraPayment,-($F263)-$B263))</f>
        <v>0</v>
      </c>
      <c r="E263" s="5">
        <f>IF($B263 &lt;= 0, 0, -ROUND($B263 * (InterestRate / PaymentsPerYear), 2))</f>
        <v>0</v>
      </c>
      <c r="F263" s="5">
        <f>ROUND(IFERROR(IF(OR($B263 &lt;=0, $B263 = ExtraPayment),0,
MAX(-$B263, -(-PMT(InterestRate/PaymentsPerYear,LoanTerm*PaymentsPerYear,LoanAmount) + $E263))), 0), 2)</f>
        <v>0</v>
      </c>
      <c r="G263" s="5">
        <f t="shared" si="18"/>
        <v>0</v>
      </c>
      <c r="H263" s="5">
        <f t="shared" si="19"/>
        <v>0</v>
      </c>
    </row>
    <row r="264" spans="1:8" x14ac:dyDescent="0.2">
      <c r="A264" s="2">
        <v>263</v>
      </c>
      <c r="B264" s="5">
        <f t="shared" si="16"/>
        <v>0</v>
      </c>
      <c r="C264" s="5">
        <f t="shared" si="17"/>
        <v>0</v>
      </c>
      <c r="D264" s="5">
        <f>IF(ExtraPayment=0, 0, IF(AND($B264&lt;&gt;0,ExtraPayment&lt;=$B264),-ExtraPayment,-($F264)-$B264))</f>
        <v>0</v>
      </c>
      <c r="E264" s="5">
        <f>IF($B264 &lt;= 0, 0, -ROUND($B264 * (InterestRate / PaymentsPerYear), 2))</f>
        <v>0</v>
      </c>
      <c r="F264" s="5">
        <f>ROUND(IFERROR(IF(OR($B264 &lt;=0, $B264 = ExtraPayment),0,
MAX(-$B264, -(-PMT(InterestRate/PaymentsPerYear,LoanTerm*PaymentsPerYear,LoanAmount) + $E264))), 0), 2)</f>
        <v>0</v>
      </c>
      <c r="G264" s="5">
        <f t="shared" si="18"/>
        <v>0</v>
      </c>
      <c r="H264" s="5">
        <f t="shared" si="19"/>
        <v>0</v>
      </c>
    </row>
    <row r="265" spans="1:8" x14ac:dyDescent="0.2">
      <c r="A265" s="2">
        <v>264</v>
      </c>
      <c r="B265" s="5">
        <f t="shared" si="16"/>
        <v>0</v>
      </c>
      <c r="C265" s="5">
        <f t="shared" si="17"/>
        <v>0</v>
      </c>
      <c r="D265" s="5">
        <f>IF(ExtraPayment=0, 0, IF(AND($B265&lt;&gt;0,ExtraPayment&lt;=$B265),-ExtraPayment,-($F265)-$B265))</f>
        <v>0</v>
      </c>
      <c r="E265" s="5">
        <f>IF($B265 &lt;= 0, 0, -ROUND($B265 * (InterestRate / PaymentsPerYear), 2))</f>
        <v>0</v>
      </c>
      <c r="F265" s="5">
        <f>ROUND(IFERROR(IF(OR($B265 &lt;=0, $B265 = ExtraPayment),0,
MAX(-$B265, -(-PMT(InterestRate/PaymentsPerYear,LoanTerm*PaymentsPerYear,LoanAmount) + $E265))), 0), 2)</f>
        <v>0</v>
      </c>
      <c r="G265" s="5">
        <f t="shared" si="18"/>
        <v>0</v>
      </c>
      <c r="H265" s="5">
        <f t="shared" si="19"/>
        <v>0</v>
      </c>
    </row>
    <row r="266" spans="1:8" x14ac:dyDescent="0.2">
      <c r="A266" s="2">
        <v>265</v>
      </c>
      <c r="B266" s="5">
        <f t="shared" si="16"/>
        <v>0</v>
      </c>
      <c r="C266" s="5">
        <f t="shared" si="17"/>
        <v>0</v>
      </c>
      <c r="D266" s="5">
        <f>IF(ExtraPayment=0, 0, IF(AND($B266&lt;&gt;0,ExtraPayment&lt;=$B266),-ExtraPayment,-($F266)-$B266))</f>
        <v>0</v>
      </c>
      <c r="E266" s="5">
        <f>IF($B266 &lt;= 0, 0, -ROUND($B266 * (InterestRate / PaymentsPerYear), 2))</f>
        <v>0</v>
      </c>
      <c r="F266" s="5">
        <f>ROUND(IFERROR(IF(OR($B266 &lt;=0, $B266 = ExtraPayment),0,
MAX(-$B266, -(-PMT(InterestRate/PaymentsPerYear,LoanTerm*PaymentsPerYear,LoanAmount) + $E266))), 0), 2)</f>
        <v>0</v>
      </c>
      <c r="G266" s="5">
        <f t="shared" si="18"/>
        <v>0</v>
      </c>
      <c r="H266" s="5">
        <f t="shared" si="19"/>
        <v>0</v>
      </c>
    </row>
    <row r="267" spans="1:8" x14ac:dyDescent="0.2">
      <c r="A267" s="2">
        <v>266</v>
      </c>
      <c r="B267" s="5">
        <f t="shared" si="16"/>
        <v>0</v>
      </c>
      <c r="C267" s="5">
        <f t="shared" si="17"/>
        <v>0</v>
      </c>
      <c r="D267" s="5">
        <f>IF(ExtraPayment=0, 0, IF(AND($B267&lt;&gt;0,ExtraPayment&lt;=$B267),-ExtraPayment,-($F267)-$B267))</f>
        <v>0</v>
      </c>
      <c r="E267" s="5">
        <f>IF($B267 &lt;= 0, 0, -ROUND($B267 * (InterestRate / PaymentsPerYear), 2))</f>
        <v>0</v>
      </c>
      <c r="F267" s="5">
        <f>ROUND(IFERROR(IF(OR($B267 &lt;=0, $B267 = ExtraPayment),0,
MAX(-$B267, -(-PMT(InterestRate/PaymentsPerYear,LoanTerm*PaymentsPerYear,LoanAmount) + $E267))), 0), 2)</f>
        <v>0</v>
      </c>
      <c r="G267" s="5">
        <f t="shared" si="18"/>
        <v>0</v>
      </c>
      <c r="H267" s="5">
        <f t="shared" si="19"/>
        <v>0</v>
      </c>
    </row>
    <row r="268" spans="1:8" x14ac:dyDescent="0.2">
      <c r="A268" s="2">
        <v>267</v>
      </c>
      <c r="B268" s="5">
        <f t="shared" si="16"/>
        <v>0</v>
      </c>
      <c r="C268" s="5">
        <f t="shared" si="17"/>
        <v>0</v>
      </c>
      <c r="D268" s="5">
        <f>IF(ExtraPayment=0, 0, IF(AND($B268&lt;&gt;0,ExtraPayment&lt;=$B268),-ExtraPayment,-($F268)-$B268))</f>
        <v>0</v>
      </c>
      <c r="E268" s="5">
        <f>IF($B268 &lt;= 0, 0, -ROUND($B268 * (InterestRate / PaymentsPerYear), 2))</f>
        <v>0</v>
      </c>
      <c r="F268" s="5">
        <f>ROUND(IFERROR(IF(OR($B268 &lt;=0, $B268 = ExtraPayment),0,
MAX(-$B268, -(-PMT(InterestRate/PaymentsPerYear,LoanTerm*PaymentsPerYear,LoanAmount) + $E268))), 0), 2)</f>
        <v>0</v>
      </c>
      <c r="G268" s="5">
        <f t="shared" si="18"/>
        <v>0</v>
      </c>
      <c r="H268" s="5">
        <f t="shared" si="19"/>
        <v>0</v>
      </c>
    </row>
    <row r="269" spans="1:8" x14ac:dyDescent="0.2">
      <c r="A269" s="2">
        <v>268</v>
      </c>
      <c r="B269" s="5">
        <f t="shared" si="16"/>
        <v>0</v>
      </c>
      <c r="C269" s="5">
        <f t="shared" si="17"/>
        <v>0</v>
      </c>
      <c r="D269" s="5">
        <f>IF(ExtraPayment=0, 0, IF(AND($B269&lt;&gt;0,ExtraPayment&lt;=$B269),-ExtraPayment,-($F269)-$B269))</f>
        <v>0</v>
      </c>
      <c r="E269" s="5">
        <f>IF($B269 &lt;= 0, 0, -ROUND($B269 * (InterestRate / PaymentsPerYear), 2))</f>
        <v>0</v>
      </c>
      <c r="F269" s="5">
        <f>ROUND(IFERROR(IF(OR($B269 &lt;=0, $B269 = ExtraPayment),0,
MAX(-$B269, -(-PMT(InterestRate/PaymentsPerYear,LoanTerm*PaymentsPerYear,LoanAmount) + $E269))), 0), 2)</f>
        <v>0</v>
      </c>
      <c r="G269" s="5">
        <f t="shared" si="18"/>
        <v>0</v>
      </c>
      <c r="H269" s="5">
        <f t="shared" si="19"/>
        <v>0</v>
      </c>
    </row>
    <row r="270" spans="1:8" x14ac:dyDescent="0.2">
      <c r="A270" s="2">
        <v>269</v>
      </c>
      <c r="B270" s="5">
        <f t="shared" si="16"/>
        <v>0</v>
      </c>
      <c r="C270" s="5">
        <f t="shared" si="17"/>
        <v>0</v>
      </c>
      <c r="D270" s="5">
        <f>IF(ExtraPayment=0, 0, IF(AND($B270&lt;&gt;0,ExtraPayment&lt;=$B270),-ExtraPayment,-($F270)-$B270))</f>
        <v>0</v>
      </c>
      <c r="E270" s="5">
        <f>IF($B270 &lt;= 0, 0, -ROUND($B270 * (InterestRate / PaymentsPerYear), 2))</f>
        <v>0</v>
      </c>
      <c r="F270" s="5">
        <f>ROUND(IFERROR(IF(OR($B270 &lt;=0, $B270 = ExtraPayment),0,
MAX(-$B270, -(-PMT(InterestRate/PaymentsPerYear,LoanTerm*PaymentsPerYear,LoanAmount) + $E270))), 0), 2)</f>
        <v>0</v>
      </c>
      <c r="G270" s="5">
        <f t="shared" si="18"/>
        <v>0</v>
      </c>
      <c r="H270" s="5">
        <f t="shared" si="19"/>
        <v>0</v>
      </c>
    </row>
    <row r="271" spans="1:8" x14ac:dyDescent="0.2">
      <c r="A271" s="2">
        <v>270</v>
      </c>
      <c r="B271" s="5">
        <f t="shared" si="16"/>
        <v>0</v>
      </c>
      <c r="C271" s="5">
        <f t="shared" si="17"/>
        <v>0</v>
      </c>
      <c r="D271" s="5">
        <f>IF(ExtraPayment=0, 0, IF(AND($B271&lt;&gt;0,ExtraPayment&lt;=$B271),-ExtraPayment,-($F271)-$B271))</f>
        <v>0</v>
      </c>
      <c r="E271" s="5">
        <f>IF($B271 &lt;= 0, 0, -ROUND($B271 * (InterestRate / PaymentsPerYear), 2))</f>
        <v>0</v>
      </c>
      <c r="F271" s="5">
        <f>ROUND(IFERROR(IF(OR($B271 &lt;=0, $B271 = ExtraPayment),0,
MAX(-$B271, -(-PMT(InterestRate/PaymentsPerYear,LoanTerm*PaymentsPerYear,LoanAmount) + $E271))), 0), 2)</f>
        <v>0</v>
      </c>
      <c r="G271" s="5">
        <f t="shared" si="18"/>
        <v>0</v>
      </c>
      <c r="H271" s="5">
        <f t="shared" si="19"/>
        <v>0</v>
      </c>
    </row>
    <row r="272" spans="1:8" x14ac:dyDescent="0.2">
      <c r="A272" s="2">
        <v>271</v>
      </c>
      <c r="B272" s="5">
        <f t="shared" si="16"/>
        <v>0</v>
      </c>
      <c r="C272" s="5">
        <f t="shared" si="17"/>
        <v>0</v>
      </c>
      <c r="D272" s="5">
        <f>IF(ExtraPayment=0, 0, IF(AND($B272&lt;&gt;0,ExtraPayment&lt;=$B272),-ExtraPayment,-($F272)-$B272))</f>
        <v>0</v>
      </c>
      <c r="E272" s="5">
        <f>IF($B272 &lt;= 0, 0, -ROUND($B272 * (InterestRate / PaymentsPerYear), 2))</f>
        <v>0</v>
      </c>
      <c r="F272" s="5">
        <f>ROUND(IFERROR(IF(OR($B272 &lt;=0, $B272 = ExtraPayment),0,
MAX(-$B272, -(-PMT(InterestRate/PaymentsPerYear,LoanTerm*PaymentsPerYear,LoanAmount) + $E272))), 0), 2)</f>
        <v>0</v>
      </c>
      <c r="G272" s="5">
        <f t="shared" si="18"/>
        <v>0</v>
      </c>
      <c r="H272" s="5">
        <f t="shared" si="19"/>
        <v>0</v>
      </c>
    </row>
    <row r="273" spans="1:8" x14ac:dyDescent="0.2">
      <c r="A273" s="2">
        <v>272</v>
      </c>
      <c r="B273" s="5">
        <f t="shared" si="16"/>
        <v>0</v>
      </c>
      <c r="C273" s="5">
        <f t="shared" si="17"/>
        <v>0</v>
      </c>
      <c r="D273" s="5">
        <f>IF(ExtraPayment=0, 0, IF(AND($B273&lt;&gt;0,ExtraPayment&lt;=$B273),-ExtraPayment,-($F273)-$B273))</f>
        <v>0</v>
      </c>
      <c r="E273" s="5">
        <f>IF($B273 &lt;= 0, 0, -ROUND($B273 * (InterestRate / PaymentsPerYear), 2))</f>
        <v>0</v>
      </c>
      <c r="F273" s="5">
        <f>ROUND(IFERROR(IF(OR($B273 &lt;=0, $B273 = ExtraPayment),0,
MAX(-$B273, -(-PMT(InterestRate/PaymentsPerYear,LoanTerm*PaymentsPerYear,LoanAmount) + $E273))), 0), 2)</f>
        <v>0</v>
      </c>
      <c r="G273" s="5">
        <f t="shared" si="18"/>
        <v>0</v>
      </c>
      <c r="H273" s="5">
        <f t="shared" si="19"/>
        <v>0</v>
      </c>
    </row>
    <row r="274" spans="1:8" x14ac:dyDescent="0.2">
      <c r="A274" s="2">
        <v>273</v>
      </c>
      <c r="B274" s="5">
        <f t="shared" si="16"/>
        <v>0</v>
      </c>
      <c r="C274" s="5">
        <f t="shared" si="17"/>
        <v>0</v>
      </c>
      <c r="D274" s="5">
        <f>IF(ExtraPayment=0, 0, IF(AND($B274&lt;&gt;0,ExtraPayment&lt;=$B274),-ExtraPayment,-($F274)-$B274))</f>
        <v>0</v>
      </c>
      <c r="E274" s="5">
        <f>IF($B274 &lt;= 0, 0, -ROUND($B274 * (InterestRate / PaymentsPerYear), 2))</f>
        <v>0</v>
      </c>
      <c r="F274" s="5">
        <f>ROUND(IFERROR(IF(OR($B274 &lt;=0, $B274 = ExtraPayment),0,
MAX(-$B274, -(-PMT(InterestRate/PaymentsPerYear,LoanTerm*PaymentsPerYear,LoanAmount) + $E274))), 0), 2)</f>
        <v>0</v>
      </c>
      <c r="G274" s="5">
        <f t="shared" si="18"/>
        <v>0</v>
      </c>
      <c r="H274" s="5">
        <f t="shared" si="19"/>
        <v>0</v>
      </c>
    </row>
    <row r="275" spans="1:8" x14ac:dyDescent="0.2">
      <c r="A275" s="2">
        <v>274</v>
      </c>
      <c r="B275" s="5">
        <f t="shared" si="16"/>
        <v>0</v>
      </c>
      <c r="C275" s="5">
        <f t="shared" si="17"/>
        <v>0</v>
      </c>
      <c r="D275" s="5">
        <f>IF(ExtraPayment=0, 0, IF(AND($B275&lt;&gt;0,ExtraPayment&lt;=$B275),-ExtraPayment,-($F275)-$B275))</f>
        <v>0</v>
      </c>
      <c r="E275" s="5">
        <f>IF($B275 &lt;= 0, 0, -ROUND($B275 * (InterestRate / PaymentsPerYear), 2))</f>
        <v>0</v>
      </c>
      <c r="F275" s="5">
        <f>ROUND(IFERROR(IF(OR($B275 &lt;=0, $B275 = ExtraPayment),0,
MAX(-$B275, -(-PMT(InterestRate/PaymentsPerYear,LoanTerm*PaymentsPerYear,LoanAmount) + $E275))), 0), 2)</f>
        <v>0</v>
      </c>
      <c r="G275" s="5">
        <f t="shared" si="18"/>
        <v>0</v>
      </c>
      <c r="H275" s="5">
        <f t="shared" si="19"/>
        <v>0</v>
      </c>
    </row>
    <row r="276" spans="1:8" x14ac:dyDescent="0.2">
      <c r="A276" s="2">
        <v>275</v>
      </c>
      <c r="B276" s="5">
        <f t="shared" si="16"/>
        <v>0</v>
      </c>
      <c r="C276" s="5">
        <f t="shared" si="17"/>
        <v>0</v>
      </c>
      <c r="D276" s="5">
        <f>IF(ExtraPayment=0, 0, IF(AND($B276&lt;&gt;0,ExtraPayment&lt;=$B276),-ExtraPayment,-($F276)-$B276))</f>
        <v>0</v>
      </c>
      <c r="E276" s="5">
        <f>IF($B276 &lt;= 0, 0, -ROUND($B276 * (InterestRate / PaymentsPerYear), 2))</f>
        <v>0</v>
      </c>
      <c r="F276" s="5">
        <f>ROUND(IFERROR(IF(OR($B276 &lt;=0, $B276 = ExtraPayment),0,
MAX(-$B276, -(-PMT(InterestRate/PaymentsPerYear,LoanTerm*PaymentsPerYear,LoanAmount) + $E276))), 0), 2)</f>
        <v>0</v>
      </c>
      <c r="G276" s="5">
        <f t="shared" si="18"/>
        <v>0</v>
      </c>
      <c r="H276" s="5">
        <f t="shared" si="19"/>
        <v>0</v>
      </c>
    </row>
    <row r="277" spans="1:8" x14ac:dyDescent="0.2">
      <c r="A277" s="2">
        <v>276</v>
      </c>
      <c r="B277" s="5">
        <f t="shared" si="16"/>
        <v>0</v>
      </c>
      <c r="C277" s="5">
        <f t="shared" si="17"/>
        <v>0</v>
      </c>
      <c r="D277" s="5">
        <f>IF(ExtraPayment=0, 0, IF(AND($B277&lt;&gt;0,ExtraPayment&lt;=$B277),-ExtraPayment,-($F277)-$B277))</f>
        <v>0</v>
      </c>
      <c r="E277" s="5">
        <f>IF($B277 &lt;= 0, 0, -ROUND($B277 * (InterestRate / PaymentsPerYear), 2))</f>
        <v>0</v>
      </c>
      <c r="F277" s="5">
        <f>ROUND(IFERROR(IF(OR($B277 &lt;=0, $B277 = ExtraPayment),0,
MAX(-$B277, -(-PMT(InterestRate/PaymentsPerYear,LoanTerm*PaymentsPerYear,LoanAmount) + $E277))), 0), 2)</f>
        <v>0</v>
      </c>
      <c r="G277" s="5">
        <f t="shared" si="18"/>
        <v>0</v>
      </c>
      <c r="H277" s="5">
        <f t="shared" si="19"/>
        <v>0</v>
      </c>
    </row>
    <row r="278" spans="1:8" x14ac:dyDescent="0.2">
      <c r="A278" s="2">
        <v>277</v>
      </c>
      <c r="B278" s="5">
        <f t="shared" si="16"/>
        <v>0</v>
      </c>
      <c r="C278" s="5">
        <f t="shared" si="17"/>
        <v>0</v>
      </c>
      <c r="D278" s="5">
        <f>IF(ExtraPayment=0, 0, IF(AND($B278&lt;&gt;0,ExtraPayment&lt;=$B278),-ExtraPayment,-($F278)-$B278))</f>
        <v>0</v>
      </c>
      <c r="E278" s="5">
        <f>IF($B278 &lt;= 0, 0, -ROUND($B278 * (InterestRate / PaymentsPerYear), 2))</f>
        <v>0</v>
      </c>
      <c r="F278" s="5">
        <f>ROUND(IFERROR(IF(OR($B278 &lt;=0, $B278 = ExtraPayment),0,
MAX(-$B278, -(-PMT(InterestRate/PaymentsPerYear,LoanTerm*PaymentsPerYear,LoanAmount) + $E278))), 0), 2)</f>
        <v>0</v>
      </c>
      <c r="G278" s="5">
        <f t="shared" si="18"/>
        <v>0</v>
      </c>
      <c r="H278" s="5">
        <f t="shared" si="19"/>
        <v>0</v>
      </c>
    </row>
    <row r="279" spans="1:8" x14ac:dyDescent="0.2">
      <c r="A279" s="2">
        <v>278</v>
      </c>
      <c r="B279" s="5">
        <f t="shared" si="16"/>
        <v>0</v>
      </c>
      <c r="C279" s="5">
        <f t="shared" si="17"/>
        <v>0</v>
      </c>
      <c r="D279" s="5">
        <f>IF(ExtraPayment=0, 0, IF(AND($B279&lt;&gt;0,ExtraPayment&lt;=$B279),-ExtraPayment,-($F279)-$B279))</f>
        <v>0</v>
      </c>
      <c r="E279" s="5">
        <f>IF($B279 &lt;= 0, 0, -ROUND($B279 * (InterestRate / PaymentsPerYear), 2))</f>
        <v>0</v>
      </c>
      <c r="F279" s="5">
        <f>ROUND(IFERROR(IF(OR($B279 &lt;=0, $B279 = ExtraPayment),0,
MAX(-$B279, -(-PMT(InterestRate/PaymentsPerYear,LoanTerm*PaymentsPerYear,LoanAmount) + $E279))), 0), 2)</f>
        <v>0</v>
      </c>
      <c r="G279" s="5">
        <f t="shared" si="18"/>
        <v>0</v>
      </c>
      <c r="H279" s="5">
        <f t="shared" si="19"/>
        <v>0</v>
      </c>
    </row>
    <row r="280" spans="1:8" x14ac:dyDescent="0.2">
      <c r="A280" s="2">
        <v>279</v>
      </c>
      <c r="B280" s="5">
        <f t="shared" si="16"/>
        <v>0</v>
      </c>
      <c r="C280" s="5">
        <f t="shared" si="17"/>
        <v>0</v>
      </c>
      <c r="D280" s="5">
        <f>IF(ExtraPayment=0, 0, IF(AND($B280&lt;&gt;0,ExtraPayment&lt;=$B280),-ExtraPayment,-($F280)-$B280))</f>
        <v>0</v>
      </c>
      <c r="E280" s="5">
        <f>IF($B280 &lt;= 0, 0, -ROUND($B280 * (InterestRate / PaymentsPerYear), 2))</f>
        <v>0</v>
      </c>
      <c r="F280" s="5">
        <f>ROUND(IFERROR(IF(OR($B280 &lt;=0, $B280 = ExtraPayment),0,
MAX(-$B280, -(-PMT(InterestRate/PaymentsPerYear,LoanTerm*PaymentsPerYear,LoanAmount) + $E280))), 0), 2)</f>
        <v>0</v>
      </c>
      <c r="G280" s="5">
        <f t="shared" si="18"/>
        <v>0</v>
      </c>
      <c r="H280" s="5">
        <f t="shared" si="19"/>
        <v>0</v>
      </c>
    </row>
    <row r="281" spans="1:8" x14ac:dyDescent="0.2">
      <c r="A281" s="2">
        <v>280</v>
      </c>
      <c r="B281" s="5">
        <f t="shared" si="16"/>
        <v>0</v>
      </c>
      <c r="C281" s="5">
        <f t="shared" si="17"/>
        <v>0</v>
      </c>
      <c r="D281" s="5">
        <f>IF(ExtraPayment=0, 0, IF(AND($B281&lt;&gt;0,ExtraPayment&lt;=$B281),-ExtraPayment,-($F281)-$B281))</f>
        <v>0</v>
      </c>
      <c r="E281" s="5">
        <f>IF($B281 &lt;= 0, 0, -ROUND($B281 * (InterestRate / PaymentsPerYear), 2))</f>
        <v>0</v>
      </c>
      <c r="F281" s="5">
        <f>ROUND(IFERROR(IF(OR($B281 &lt;=0, $B281 = ExtraPayment),0,
MAX(-$B281, -(-PMT(InterestRate/PaymentsPerYear,LoanTerm*PaymentsPerYear,LoanAmount) + $E281))), 0), 2)</f>
        <v>0</v>
      </c>
      <c r="G281" s="5">
        <f t="shared" si="18"/>
        <v>0</v>
      </c>
      <c r="H281" s="5">
        <f t="shared" si="19"/>
        <v>0</v>
      </c>
    </row>
    <row r="282" spans="1:8" x14ac:dyDescent="0.2">
      <c r="A282" s="2">
        <v>281</v>
      </c>
      <c r="B282" s="5">
        <f t="shared" si="16"/>
        <v>0</v>
      </c>
      <c r="C282" s="5">
        <f t="shared" si="17"/>
        <v>0</v>
      </c>
      <c r="D282" s="5">
        <f>IF(ExtraPayment=0, 0, IF(AND($B282&lt;&gt;0,ExtraPayment&lt;=$B282),-ExtraPayment,-($F282)-$B282))</f>
        <v>0</v>
      </c>
      <c r="E282" s="5">
        <f>IF($B282 &lt;= 0, 0, -ROUND($B282 * (InterestRate / PaymentsPerYear), 2))</f>
        <v>0</v>
      </c>
      <c r="F282" s="5">
        <f>ROUND(IFERROR(IF(OR($B282 &lt;=0, $B282 = ExtraPayment),0,
MAX(-$B282, -(-PMT(InterestRate/PaymentsPerYear,LoanTerm*PaymentsPerYear,LoanAmount) + $E282))), 0), 2)</f>
        <v>0</v>
      </c>
      <c r="G282" s="5">
        <f t="shared" si="18"/>
        <v>0</v>
      </c>
      <c r="H282" s="5">
        <f t="shared" si="19"/>
        <v>0</v>
      </c>
    </row>
    <row r="283" spans="1:8" x14ac:dyDescent="0.2">
      <c r="A283" s="2">
        <v>282</v>
      </c>
      <c r="B283" s="5">
        <f t="shared" si="16"/>
        <v>0</v>
      </c>
      <c r="C283" s="5">
        <f t="shared" si="17"/>
        <v>0</v>
      </c>
      <c r="D283" s="5">
        <f>IF(ExtraPayment=0, 0, IF(AND($B283&lt;&gt;0,ExtraPayment&lt;=$B283),-ExtraPayment,-($F283)-$B283))</f>
        <v>0</v>
      </c>
      <c r="E283" s="5">
        <f>IF($B283 &lt;= 0, 0, -ROUND($B283 * (InterestRate / PaymentsPerYear), 2))</f>
        <v>0</v>
      </c>
      <c r="F283" s="5">
        <f>ROUND(IFERROR(IF(OR($B283 &lt;=0, $B283 = ExtraPayment),0,
MAX(-$B283, -(-PMT(InterestRate/PaymentsPerYear,LoanTerm*PaymentsPerYear,LoanAmount) + $E283))), 0), 2)</f>
        <v>0</v>
      </c>
      <c r="G283" s="5">
        <f t="shared" si="18"/>
        <v>0</v>
      </c>
      <c r="H283" s="5">
        <f t="shared" si="19"/>
        <v>0</v>
      </c>
    </row>
    <row r="284" spans="1:8" x14ac:dyDescent="0.2">
      <c r="A284" s="2">
        <v>283</v>
      </c>
      <c r="B284" s="5">
        <f t="shared" si="16"/>
        <v>0</v>
      </c>
      <c r="C284" s="5">
        <f t="shared" si="17"/>
        <v>0</v>
      </c>
      <c r="D284" s="5">
        <f>IF(ExtraPayment=0, 0, IF(AND($B284&lt;&gt;0,ExtraPayment&lt;=$B284),-ExtraPayment,-($F284)-$B284))</f>
        <v>0</v>
      </c>
      <c r="E284" s="5">
        <f>IF($B284 &lt;= 0, 0, -ROUND($B284 * (InterestRate / PaymentsPerYear), 2))</f>
        <v>0</v>
      </c>
      <c r="F284" s="5">
        <f>ROUND(IFERROR(IF(OR($B284 &lt;=0, $B284 = ExtraPayment),0,
MAX(-$B284, -(-PMT(InterestRate/PaymentsPerYear,LoanTerm*PaymentsPerYear,LoanAmount) + $E284))), 0), 2)</f>
        <v>0</v>
      </c>
      <c r="G284" s="5">
        <f t="shared" si="18"/>
        <v>0</v>
      </c>
      <c r="H284" s="5">
        <f t="shared" si="19"/>
        <v>0</v>
      </c>
    </row>
    <row r="285" spans="1:8" x14ac:dyDescent="0.2">
      <c r="A285" s="2">
        <v>284</v>
      </c>
      <c r="B285" s="5">
        <f t="shared" si="16"/>
        <v>0</v>
      </c>
      <c r="C285" s="5">
        <f t="shared" si="17"/>
        <v>0</v>
      </c>
      <c r="D285" s="5">
        <f>IF(ExtraPayment=0, 0, IF(AND($B285&lt;&gt;0,ExtraPayment&lt;=$B285),-ExtraPayment,-($F285)-$B285))</f>
        <v>0</v>
      </c>
      <c r="E285" s="5">
        <f>IF($B285 &lt;= 0, 0, -ROUND($B285 * (InterestRate / PaymentsPerYear), 2))</f>
        <v>0</v>
      </c>
      <c r="F285" s="5">
        <f>ROUND(IFERROR(IF(OR($B285 &lt;=0, $B285 = ExtraPayment),0,
MAX(-$B285, -(-PMT(InterestRate/PaymentsPerYear,LoanTerm*PaymentsPerYear,LoanAmount) + $E285))), 0), 2)</f>
        <v>0</v>
      </c>
      <c r="G285" s="5">
        <f t="shared" si="18"/>
        <v>0</v>
      </c>
      <c r="H285" s="5">
        <f t="shared" si="19"/>
        <v>0</v>
      </c>
    </row>
    <row r="286" spans="1:8" x14ac:dyDescent="0.2">
      <c r="A286" s="2">
        <v>285</v>
      </c>
      <c r="B286" s="5">
        <f t="shared" si="16"/>
        <v>0</v>
      </c>
      <c r="C286" s="5">
        <f t="shared" si="17"/>
        <v>0</v>
      </c>
      <c r="D286" s="5">
        <f>IF(ExtraPayment=0, 0, IF(AND($B286&lt;&gt;0,ExtraPayment&lt;=$B286),-ExtraPayment,-($F286)-$B286))</f>
        <v>0</v>
      </c>
      <c r="E286" s="5">
        <f>IF($B286 &lt;= 0, 0, -ROUND($B286 * (InterestRate / PaymentsPerYear), 2))</f>
        <v>0</v>
      </c>
      <c r="F286" s="5">
        <f>ROUND(IFERROR(IF(OR($B286 &lt;=0, $B286 = ExtraPayment),0,
MAX(-$B286, -(-PMT(InterestRate/PaymentsPerYear,LoanTerm*PaymentsPerYear,LoanAmount) + $E286))), 0), 2)</f>
        <v>0</v>
      </c>
      <c r="G286" s="5">
        <f t="shared" si="18"/>
        <v>0</v>
      </c>
      <c r="H286" s="5">
        <f t="shared" si="19"/>
        <v>0</v>
      </c>
    </row>
    <row r="287" spans="1:8" x14ac:dyDescent="0.2">
      <c r="A287" s="2">
        <v>286</v>
      </c>
      <c r="B287" s="5">
        <f t="shared" si="16"/>
        <v>0</v>
      </c>
      <c r="C287" s="5">
        <f t="shared" si="17"/>
        <v>0</v>
      </c>
      <c r="D287" s="5">
        <f>IF(ExtraPayment=0, 0, IF(AND($B287&lt;&gt;0,ExtraPayment&lt;=$B287),-ExtraPayment,-($F287)-$B287))</f>
        <v>0</v>
      </c>
      <c r="E287" s="5">
        <f>IF($B287 &lt;= 0, 0, -ROUND($B287 * (InterestRate / PaymentsPerYear), 2))</f>
        <v>0</v>
      </c>
      <c r="F287" s="5">
        <f>ROUND(IFERROR(IF(OR($B287 &lt;=0, $B287 = ExtraPayment),0,
MAX(-$B287, -(-PMT(InterestRate/PaymentsPerYear,LoanTerm*PaymentsPerYear,LoanAmount) + $E287))), 0), 2)</f>
        <v>0</v>
      </c>
      <c r="G287" s="5">
        <f t="shared" si="18"/>
        <v>0</v>
      </c>
      <c r="H287" s="5">
        <f t="shared" si="19"/>
        <v>0</v>
      </c>
    </row>
    <row r="288" spans="1:8" x14ac:dyDescent="0.2">
      <c r="A288" s="2">
        <v>287</v>
      </c>
      <c r="B288" s="5">
        <f t="shared" si="16"/>
        <v>0</v>
      </c>
      <c r="C288" s="5">
        <f t="shared" si="17"/>
        <v>0</v>
      </c>
      <c r="D288" s="5">
        <f>IF(ExtraPayment=0, 0, IF(AND($B288&lt;&gt;0,ExtraPayment&lt;=$B288),-ExtraPayment,-($F288)-$B288))</f>
        <v>0</v>
      </c>
      <c r="E288" s="5">
        <f>IF($B288 &lt;= 0, 0, -ROUND($B288 * (InterestRate / PaymentsPerYear), 2))</f>
        <v>0</v>
      </c>
      <c r="F288" s="5">
        <f>ROUND(IFERROR(IF(OR($B288 &lt;=0, $B288 = ExtraPayment),0,
MAX(-$B288, -(-PMT(InterestRate/PaymentsPerYear,LoanTerm*PaymentsPerYear,LoanAmount) + $E288))), 0), 2)</f>
        <v>0</v>
      </c>
      <c r="G288" s="5">
        <f t="shared" si="18"/>
        <v>0</v>
      </c>
      <c r="H288" s="5">
        <f t="shared" si="19"/>
        <v>0</v>
      </c>
    </row>
    <row r="289" spans="1:8" x14ac:dyDescent="0.2">
      <c r="A289" s="2">
        <v>288</v>
      </c>
      <c r="B289" s="5">
        <f t="shared" si="16"/>
        <v>0</v>
      </c>
      <c r="C289" s="5">
        <f t="shared" si="17"/>
        <v>0</v>
      </c>
      <c r="D289" s="5">
        <f>IF(ExtraPayment=0, 0, IF(AND($B289&lt;&gt;0,ExtraPayment&lt;=$B289),-ExtraPayment,-($F289)-$B289))</f>
        <v>0</v>
      </c>
      <c r="E289" s="5">
        <f>IF($B289 &lt;= 0, 0, -ROUND($B289 * (InterestRate / PaymentsPerYear), 2))</f>
        <v>0</v>
      </c>
      <c r="F289" s="5">
        <f>ROUND(IFERROR(IF(OR($B289 &lt;=0, $B289 = ExtraPayment),0,
MAX(-$B289, -(-PMT(InterestRate/PaymentsPerYear,LoanTerm*PaymentsPerYear,LoanAmount) + $E289))), 0), 2)</f>
        <v>0</v>
      </c>
      <c r="G289" s="5">
        <f t="shared" si="18"/>
        <v>0</v>
      </c>
      <c r="H289" s="5">
        <f t="shared" si="19"/>
        <v>0</v>
      </c>
    </row>
    <row r="290" spans="1:8" x14ac:dyDescent="0.2">
      <c r="A290" s="2">
        <v>289</v>
      </c>
      <c r="B290" s="5">
        <f t="shared" si="16"/>
        <v>0</v>
      </c>
      <c r="C290" s="5">
        <f t="shared" si="17"/>
        <v>0</v>
      </c>
      <c r="D290" s="5">
        <f>IF(ExtraPayment=0, 0, IF(AND($B290&lt;&gt;0,ExtraPayment&lt;=$B290),-ExtraPayment,-($F290)-$B290))</f>
        <v>0</v>
      </c>
      <c r="E290" s="5">
        <f>IF($B290 &lt;= 0, 0, -ROUND($B290 * (InterestRate / PaymentsPerYear), 2))</f>
        <v>0</v>
      </c>
      <c r="F290" s="5">
        <f>ROUND(IFERROR(IF(OR($B290 &lt;=0, $B290 = ExtraPayment),0,
MAX(-$B290, -(-PMT(InterestRate/PaymentsPerYear,LoanTerm*PaymentsPerYear,LoanAmount) + $E290))), 0), 2)</f>
        <v>0</v>
      </c>
      <c r="G290" s="5">
        <f t="shared" si="18"/>
        <v>0</v>
      </c>
      <c r="H290" s="5">
        <f t="shared" si="19"/>
        <v>0</v>
      </c>
    </row>
    <row r="291" spans="1:8" x14ac:dyDescent="0.2">
      <c r="A291" s="2">
        <v>290</v>
      </c>
      <c r="B291" s="5">
        <f t="shared" si="16"/>
        <v>0</v>
      </c>
      <c r="C291" s="5">
        <f t="shared" si="17"/>
        <v>0</v>
      </c>
      <c r="D291" s="5">
        <f>IF(ExtraPayment=0, 0, IF(AND($B291&lt;&gt;0,ExtraPayment&lt;=$B291),-ExtraPayment,-($F291)-$B291))</f>
        <v>0</v>
      </c>
      <c r="E291" s="5">
        <f>IF($B291 &lt;= 0, 0, -ROUND($B291 * (InterestRate / PaymentsPerYear), 2))</f>
        <v>0</v>
      </c>
      <c r="F291" s="5">
        <f>ROUND(IFERROR(IF(OR($B291 &lt;=0, $B291 = ExtraPayment),0,
MAX(-$B291, -(-PMT(InterestRate/PaymentsPerYear,LoanTerm*PaymentsPerYear,LoanAmount) + $E291))), 0), 2)</f>
        <v>0</v>
      </c>
      <c r="G291" s="5">
        <f t="shared" si="18"/>
        <v>0</v>
      </c>
      <c r="H291" s="5">
        <f t="shared" si="19"/>
        <v>0</v>
      </c>
    </row>
    <row r="292" spans="1:8" x14ac:dyDescent="0.2">
      <c r="A292" s="2">
        <v>291</v>
      </c>
      <c r="B292" s="5">
        <f t="shared" si="16"/>
        <v>0</v>
      </c>
      <c r="C292" s="5">
        <f t="shared" si="17"/>
        <v>0</v>
      </c>
      <c r="D292" s="5">
        <f>IF(ExtraPayment=0, 0, IF(AND($B292&lt;&gt;0,ExtraPayment&lt;=$B292),-ExtraPayment,-($F292)-$B292))</f>
        <v>0</v>
      </c>
      <c r="E292" s="5">
        <f>IF($B292 &lt;= 0, 0, -ROUND($B292 * (InterestRate / PaymentsPerYear), 2))</f>
        <v>0</v>
      </c>
      <c r="F292" s="5">
        <f>ROUND(IFERROR(IF(OR($B292 &lt;=0, $B292 = ExtraPayment),0,
MAX(-$B292, -(-PMT(InterestRate/PaymentsPerYear,LoanTerm*PaymentsPerYear,LoanAmount) + $E292))), 0), 2)</f>
        <v>0</v>
      </c>
      <c r="G292" s="5">
        <f t="shared" si="18"/>
        <v>0</v>
      </c>
      <c r="H292" s="5">
        <f t="shared" si="19"/>
        <v>0</v>
      </c>
    </row>
    <row r="293" spans="1:8" x14ac:dyDescent="0.2">
      <c r="A293" s="2">
        <v>292</v>
      </c>
      <c r="B293" s="5">
        <f t="shared" si="16"/>
        <v>0</v>
      </c>
      <c r="C293" s="5">
        <f t="shared" si="17"/>
        <v>0</v>
      </c>
      <c r="D293" s="5">
        <f>IF(ExtraPayment=0, 0, IF(AND($B293&lt;&gt;0,ExtraPayment&lt;=$B293),-ExtraPayment,-($F293)-$B293))</f>
        <v>0</v>
      </c>
      <c r="E293" s="5">
        <f>IF($B293 &lt;= 0, 0, -ROUND($B293 * (InterestRate / PaymentsPerYear), 2))</f>
        <v>0</v>
      </c>
      <c r="F293" s="5">
        <f>ROUND(IFERROR(IF(OR($B293 &lt;=0, $B293 = ExtraPayment),0,
MAX(-$B293, -(-PMT(InterestRate/PaymentsPerYear,LoanTerm*PaymentsPerYear,LoanAmount) + $E293))), 0), 2)</f>
        <v>0</v>
      </c>
      <c r="G293" s="5">
        <f t="shared" si="18"/>
        <v>0</v>
      </c>
      <c r="H293" s="5">
        <f t="shared" si="19"/>
        <v>0</v>
      </c>
    </row>
    <row r="294" spans="1:8" x14ac:dyDescent="0.2">
      <c r="A294" s="2">
        <v>293</v>
      </c>
      <c r="B294" s="5">
        <f t="shared" si="16"/>
        <v>0</v>
      </c>
      <c r="C294" s="5">
        <f t="shared" si="17"/>
        <v>0</v>
      </c>
      <c r="D294" s="5">
        <f>IF(ExtraPayment=0, 0, IF(AND($B294&lt;&gt;0,ExtraPayment&lt;=$B294),-ExtraPayment,-($F294)-$B294))</f>
        <v>0</v>
      </c>
      <c r="E294" s="5">
        <f>IF($B294 &lt;= 0, 0, -ROUND($B294 * (InterestRate / PaymentsPerYear), 2))</f>
        <v>0</v>
      </c>
      <c r="F294" s="5">
        <f>ROUND(IFERROR(IF(OR($B294 &lt;=0, $B294 = ExtraPayment),0,
MAX(-$B294, -(-PMT(InterestRate/PaymentsPerYear,LoanTerm*PaymentsPerYear,LoanAmount) + $E294))), 0), 2)</f>
        <v>0</v>
      </c>
      <c r="G294" s="5">
        <f t="shared" si="18"/>
        <v>0</v>
      </c>
      <c r="H294" s="5">
        <f t="shared" si="19"/>
        <v>0</v>
      </c>
    </row>
    <row r="295" spans="1:8" x14ac:dyDescent="0.2">
      <c r="A295" s="2">
        <v>294</v>
      </c>
      <c r="B295" s="5">
        <f t="shared" si="16"/>
        <v>0</v>
      </c>
      <c r="C295" s="5">
        <f t="shared" si="17"/>
        <v>0</v>
      </c>
      <c r="D295" s="5">
        <f>IF(ExtraPayment=0, 0, IF(AND($B295&lt;&gt;0,ExtraPayment&lt;=$B295),-ExtraPayment,-($F295)-$B295))</f>
        <v>0</v>
      </c>
      <c r="E295" s="5">
        <f>IF($B295 &lt;= 0, 0, -ROUND($B295 * (InterestRate / PaymentsPerYear), 2))</f>
        <v>0</v>
      </c>
      <c r="F295" s="5">
        <f>ROUND(IFERROR(IF(OR($B295 &lt;=0, $B295 = ExtraPayment),0,
MAX(-$B295, -(-PMT(InterestRate/PaymentsPerYear,LoanTerm*PaymentsPerYear,LoanAmount) + $E295))), 0), 2)</f>
        <v>0</v>
      </c>
      <c r="G295" s="5">
        <f t="shared" si="18"/>
        <v>0</v>
      </c>
      <c r="H295" s="5">
        <f t="shared" si="19"/>
        <v>0</v>
      </c>
    </row>
    <row r="296" spans="1:8" x14ac:dyDescent="0.2">
      <c r="A296" s="2">
        <v>295</v>
      </c>
      <c r="B296" s="5">
        <f t="shared" si="16"/>
        <v>0</v>
      </c>
      <c r="C296" s="5">
        <f t="shared" si="17"/>
        <v>0</v>
      </c>
      <c r="D296" s="5">
        <f>IF(ExtraPayment=0, 0, IF(AND($B296&lt;&gt;0,ExtraPayment&lt;=$B296),-ExtraPayment,-($F296)-$B296))</f>
        <v>0</v>
      </c>
      <c r="E296" s="5">
        <f>IF($B296 &lt;= 0, 0, -ROUND($B296 * (InterestRate / PaymentsPerYear), 2))</f>
        <v>0</v>
      </c>
      <c r="F296" s="5">
        <f>ROUND(IFERROR(IF(OR($B296 &lt;=0, $B296 = ExtraPayment),0,
MAX(-$B296, -(-PMT(InterestRate/PaymentsPerYear,LoanTerm*PaymentsPerYear,LoanAmount) + $E296))), 0), 2)</f>
        <v>0</v>
      </c>
      <c r="G296" s="5">
        <f t="shared" si="18"/>
        <v>0</v>
      </c>
      <c r="H296" s="5">
        <f t="shared" si="19"/>
        <v>0</v>
      </c>
    </row>
    <row r="297" spans="1:8" x14ac:dyDescent="0.2">
      <c r="A297" s="2">
        <v>296</v>
      </c>
      <c r="B297" s="5">
        <f t="shared" si="16"/>
        <v>0</v>
      </c>
      <c r="C297" s="5">
        <f t="shared" si="17"/>
        <v>0</v>
      </c>
      <c r="D297" s="5">
        <f>IF(ExtraPayment=0, 0, IF(AND($B297&lt;&gt;0,ExtraPayment&lt;=$B297),-ExtraPayment,-($F297)-$B297))</f>
        <v>0</v>
      </c>
      <c r="E297" s="5">
        <f>IF($B297 &lt;= 0, 0, -ROUND($B297 * (InterestRate / PaymentsPerYear), 2))</f>
        <v>0</v>
      </c>
      <c r="F297" s="5">
        <f>ROUND(IFERROR(IF(OR($B297 &lt;=0, $B297 = ExtraPayment),0,
MAX(-$B297, -(-PMT(InterestRate/PaymentsPerYear,LoanTerm*PaymentsPerYear,LoanAmount) + $E297))), 0), 2)</f>
        <v>0</v>
      </c>
      <c r="G297" s="5">
        <f t="shared" si="18"/>
        <v>0</v>
      </c>
      <c r="H297" s="5">
        <f t="shared" si="19"/>
        <v>0</v>
      </c>
    </row>
    <row r="298" spans="1:8" x14ac:dyDescent="0.2">
      <c r="A298" s="2">
        <v>297</v>
      </c>
      <c r="B298" s="5">
        <f t="shared" si="16"/>
        <v>0</v>
      </c>
      <c r="C298" s="5">
        <f t="shared" si="17"/>
        <v>0</v>
      </c>
      <c r="D298" s="5">
        <f>IF(ExtraPayment=0, 0, IF(AND($B298&lt;&gt;0,ExtraPayment&lt;=$B298),-ExtraPayment,-($F298)-$B298))</f>
        <v>0</v>
      </c>
      <c r="E298" s="5">
        <f>IF($B298 &lt;= 0, 0, -ROUND($B298 * (InterestRate / PaymentsPerYear), 2))</f>
        <v>0</v>
      </c>
      <c r="F298" s="5">
        <f>ROUND(IFERROR(IF(OR($B298 &lt;=0, $B298 = ExtraPayment),0,
MAX(-$B298, -(-PMT(InterestRate/PaymentsPerYear,LoanTerm*PaymentsPerYear,LoanAmount) + $E298))), 0), 2)</f>
        <v>0</v>
      </c>
      <c r="G298" s="5">
        <f t="shared" si="18"/>
        <v>0</v>
      </c>
      <c r="H298" s="5">
        <f t="shared" si="19"/>
        <v>0</v>
      </c>
    </row>
    <row r="299" spans="1:8" x14ac:dyDescent="0.2">
      <c r="A299" s="2">
        <v>298</v>
      </c>
      <c r="B299" s="5">
        <f t="shared" si="16"/>
        <v>0</v>
      </c>
      <c r="C299" s="5">
        <f t="shared" si="17"/>
        <v>0</v>
      </c>
      <c r="D299" s="5">
        <f>IF(ExtraPayment=0, 0, IF(AND($B299&lt;&gt;0,ExtraPayment&lt;=$B299),-ExtraPayment,-($F299)-$B299))</f>
        <v>0</v>
      </c>
      <c r="E299" s="5">
        <f>IF($B299 &lt;= 0, 0, -ROUND($B299 * (InterestRate / PaymentsPerYear), 2))</f>
        <v>0</v>
      </c>
      <c r="F299" s="5">
        <f>ROUND(IFERROR(IF(OR($B299 &lt;=0, $B299 = ExtraPayment),0,
MAX(-$B299, -(-PMT(InterestRate/PaymentsPerYear,LoanTerm*PaymentsPerYear,LoanAmount) + $E299))), 0), 2)</f>
        <v>0</v>
      </c>
      <c r="G299" s="5">
        <f t="shared" si="18"/>
        <v>0</v>
      </c>
      <c r="H299" s="5">
        <f t="shared" si="19"/>
        <v>0</v>
      </c>
    </row>
    <row r="300" spans="1:8" x14ac:dyDescent="0.2">
      <c r="A300" s="2">
        <v>299</v>
      </c>
      <c r="B300" s="5">
        <f t="shared" si="16"/>
        <v>0</v>
      </c>
      <c r="C300" s="5">
        <f t="shared" si="17"/>
        <v>0</v>
      </c>
      <c r="D300" s="5">
        <f>IF(ExtraPayment=0, 0, IF(AND($B300&lt;&gt;0,ExtraPayment&lt;=$B300),-ExtraPayment,-($F300)-$B300))</f>
        <v>0</v>
      </c>
      <c r="E300" s="5">
        <f>IF($B300 &lt;= 0, 0, -ROUND($B300 * (InterestRate / PaymentsPerYear), 2))</f>
        <v>0</v>
      </c>
      <c r="F300" s="5">
        <f>ROUND(IFERROR(IF(OR($B300 &lt;=0, $B300 = ExtraPayment),0,
MAX(-$B300, -(-PMT(InterestRate/PaymentsPerYear,LoanTerm*PaymentsPerYear,LoanAmount) + $E300))), 0), 2)</f>
        <v>0</v>
      </c>
      <c r="G300" s="5">
        <f t="shared" si="18"/>
        <v>0</v>
      </c>
      <c r="H300" s="5">
        <f t="shared" si="19"/>
        <v>0</v>
      </c>
    </row>
    <row r="301" spans="1:8" x14ac:dyDescent="0.2">
      <c r="A301" s="2">
        <v>300</v>
      </c>
      <c r="B301" s="5">
        <f t="shared" si="16"/>
        <v>0</v>
      </c>
      <c r="C301" s="5">
        <f t="shared" si="17"/>
        <v>0</v>
      </c>
      <c r="D301" s="5">
        <f>IF(ExtraPayment=0, 0, IF(AND($B301&lt;&gt;0,ExtraPayment&lt;=$B301),-ExtraPayment,-($F301)-$B301))</f>
        <v>0</v>
      </c>
      <c r="E301" s="5">
        <f>IF($B301 &lt;= 0, 0, -ROUND($B301 * (InterestRate / PaymentsPerYear), 2))</f>
        <v>0</v>
      </c>
      <c r="F301" s="5">
        <f>ROUND(IFERROR(IF(OR($B301 &lt;=0, $B301 = ExtraPayment),0,
MAX(-$B301, -(-PMT(InterestRate/PaymentsPerYear,LoanTerm*PaymentsPerYear,LoanAmount) + $E301))), 0), 2)</f>
        <v>0</v>
      </c>
      <c r="G301" s="5">
        <f t="shared" si="18"/>
        <v>0</v>
      </c>
      <c r="H301" s="5">
        <f t="shared" si="19"/>
        <v>0</v>
      </c>
    </row>
    <row r="302" spans="1:8" x14ac:dyDescent="0.2">
      <c r="A302" s="2">
        <v>301</v>
      </c>
      <c r="B302" s="5">
        <f t="shared" si="16"/>
        <v>0</v>
      </c>
      <c r="C302" s="5">
        <f t="shared" si="17"/>
        <v>0</v>
      </c>
      <c r="D302" s="5">
        <f>IF(ExtraPayment=0, 0, IF(AND($B302&lt;&gt;0,ExtraPayment&lt;=$B302),-ExtraPayment,-($F302)-$B302))</f>
        <v>0</v>
      </c>
      <c r="E302" s="5">
        <f>IF($B302 &lt;= 0, 0, -ROUND($B302 * (InterestRate / PaymentsPerYear), 2))</f>
        <v>0</v>
      </c>
      <c r="F302" s="5">
        <f>ROUND(IFERROR(IF(OR($B302 &lt;=0, $B302 = ExtraPayment),0,
MAX(-$B302, -(-PMT(InterestRate/PaymentsPerYear,LoanTerm*PaymentsPerYear,LoanAmount) + $E302))), 0), 2)</f>
        <v>0</v>
      </c>
      <c r="G302" s="5">
        <f t="shared" si="18"/>
        <v>0</v>
      </c>
      <c r="H302" s="5">
        <f t="shared" si="19"/>
        <v>0</v>
      </c>
    </row>
    <row r="303" spans="1:8" x14ac:dyDescent="0.2">
      <c r="A303" s="2">
        <v>302</v>
      </c>
      <c r="B303" s="5">
        <f t="shared" si="16"/>
        <v>0</v>
      </c>
      <c r="C303" s="5">
        <f t="shared" si="17"/>
        <v>0</v>
      </c>
      <c r="D303" s="5">
        <f>IF(ExtraPayment=0, 0, IF(AND($B303&lt;&gt;0,ExtraPayment&lt;=$B303),-ExtraPayment,-($F303)-$B303))</f>
        <v>0</v>
      </c>
      <c r="E303" s="5">
        <f>IF($B303 &lt;= 0, 0, -ROUND($B303 * (InterestRate / PaymentsPerYear), 2))</f>
        <v>0</v>
      </c>
      <c r="F303" s="5">
        <f>ROUND(IFERROR(IF(OR($B303 &lt;=0, $B303 = ExtraPayment),0,
MAX(-$B303, -(-PMT(InterestRate/PaymentsPerYear,LoanTerm*PaymentsPerYear,LoanAmount) + $E303))), 0), 2)</f>
        <v>0</v>
      </c>
      <c r="G303" s="5">
        <f t="shared" si="18"/>
        <v>0</v>
      </c>
      <c r="H303" s="5">
        <f t="shared" si="19"/>
        <v>0</v>
      </c>
    </row>
    <row r="304" spans="1:8" x14ac:dyDescent="0.2">
      <c r="A304" s="2">
        <v>303</v>
      </c>
      <c r="B304" s="5">
        <f t="shared" si="16"/>
        <v>0</v>
      </c>
      <c r="C304" s="5">
        <f t="shared" si="17"/>
        <v>0</v>
      </c>
      <c r="D304" s="5">
        <f>IF(ExtraPayment=0, 0, IF(AND($B304&lt;&gt;0,ExtraPayment&lt;=$B304),-ExtraPayment,-($F304)-$B304))</f>
        <v>0</v>
      </c>
      <c r="E304" s="5">
        <f>IF($B304 &lt;= 0, 0, -ROUND($B304 * (InterestRate / PaymentsPerYear), 2))</f>
        <v>0</v>
      </c>
      <c r="F304" s="5">
        <f>ROUND(IFERROR(IF(OR($B304 &lt;=0, $B304 = ExtraPayment),0,
MAX(-$B304, -(-PMT(InterestRate/PaymentsPerYear,LoanTerm*PaymentsPerYear,LoanAmount) + $E304))), 0), 2)</f>
        <v>0</v>
      </c>
      <c r="G304" s="5">
        <f t="shared" si="18"/>
        <v>0</v>
      </c>
      <c r="H304" s="5">
        <f t="shared" si="19"/>
        <v>0</v>
      </c>
    </row>
    <row r="305" spans="1:8" x14ac:dyDescent="0.2">
      <c r="A305" s="2">
        <v>304</v>
      </c>
      <c r="B305" s="5">
        <f t="shared" si="16"/>
        <v>0</v>
      </c>
      <c r="C305" s="5">
        <f t="shared" si="17"/>
        <v>0</v>
      </c>
      <c r="D305" s="5">
        <f>IF(ExtraPayment=0, 0, IF(AND($B305&lt;&gt;0,ExtraPayment&lt;=$B305),-ExtraPayment,-($F305)-$B305))</f>
        <v>0</v>
      </c>
      <c r="E305" s="5">
        <f>IF($B305 &lt;= 0, 0, -ROUND($B305 * (InterestRate / PaymentsPerYear), 2))</f>
        <v>0</v>
      </c>
      <c r="F305" s="5">
        <f>ROUND(IFERROR(IF(OR($B305 &lt;=0, $B305 = ExtraPayment),0,
MAX(-$B305, -(-PMT(InterestRate/PaymentsPerYear,LoanTerm*PaymentsPerYear,LoanAmount) + $E305))), 0), 2)</f>
        <v>0</v>
      </c>
      <c r="G305" s="5">
        <f t="shared" si="18"/>
        <v>0</v>
      </c>
      <c r="H305" s="5">
        <f t="shared" si="19"/>
        <v>0</v>
      </c>
    </row>
    <row r="306" spans="1:8" x14ac:dyDescent="0.2">
      <c r="A306" s="2">
        <v>305</v>
      </c>
      <c r="B306" s="5">
        <f t="shared" si="16"/>
        <v>0</v>
      </c>
      <c r="C306" s="5">
        <f t="shared" si="17"/>
        <v>0</v>
      </c>
      <c r="D306" s="5">
        <f>IF(ExtraPayment=0, 0, IF(AND($B306&lt;&gt;0,ExtraPayment&lt;=$B306),-ExtraPayment,-($F306)-$B306))</f>
        <v>0</v>
      </c>
      <c r="E306" s="5">
        <f>IF($B306 &lt;= 0, 0, -ROUND($B306 * (InterestRate / PaymentsPerYear), 2))</f>
        <v>0</v>
      </c>
      <c r="F306" s="5">
        <f>ROUND(IFERROR(IF(OR($B306 &lt;=0, $B306 = ExtraPayment),0,
MAX(-$B306, -(-PMT(InterestRate/PaymentsPerYear,LoanTerm*PaymentsPerYear,LoanAmount) + $E306))), 0), 2)</f>
        <v>0</v>
      </c>
      <c r="G306" s="5">
        <f t="shared" si="18"/>
        <v>0</v>
      </c>
      <c r="H306" s="5">
        <f t="shared" si="19"/>
        <v>0</v>
      </c>
    </row>
    <row r="307" spans="1:8" x14ac:dyDescent="0.2">
      <c r="A307" s="2">
        <v>306</v>
      </c>
      <c r="B307" s="5">
        <f t="shared" si="16"/>
        <v>0</v>
      </c>
      <c r="C307" s="5">
        <f t="shared" si="17"/>
        <v>0</v>
      </c>
      <c r="D307" s="5">
        <f>IF(ExtraPayment=0, 0, IF(AND($B307&lt;&gt;0,ExtraPayment&lt;=$B307),-ExtraPayment,-($F307)-$B307))</f>
        <v>0</v>
      </c>
      <c r="E307" s="5">
        <f>IF($B307 &lt;= 0, 0, -ROUND($B307 * (InterestRate / PaymentsPerYear), 2))</f>
        <v>0</v>
      </c>
      <c r="F307" s="5">
        <f>ROUND(IFERROR(IF(OR($B307 &lt;=0, $B307 = ExtraPayment),0,
MAX(-$B307, -(-PMT(InterestRate/PaymentsPerYear,LoanTerm*PaymentsPerYear,LoanAmount) + $E307))), 0), 2)</f>
        <v>0</v>
      </c>
      <c r="G307" s="5">
        <f t="shared" si="18"/>
        <v>0</v>
      </c>
      <c r="H307" s="5">
        <f t="shared" si="19"/>
        <v>0</v>
      </c>
    </row>
    <row r="308" spans="1:8" x14ac:dyDescent="0.2">
      <c r="A308" s="2">
        <v>307</v>
      </c>
      <c r="B308" s="5">
        <f t="shared" si="16"/>
        <v>0</v>
      </c>
      <c r="C308" s="5">
        <f t="shared" si="17"/>
        <v>0</v>
      </c>
      <c r="D308" s="5">
        <f>IF(ExtraPayment=0, 0, IF(AND($B308&lt;&gt;0,ExtraPayment&lt;=$B308),-ExtraPayment,-($F308)-$B308))</f>
        <v>0</v>
      </c>
      <c r="E308" s="5">
        <f>IF($B308 &lt;= 0, 0, -ROUND($B308 * (InterestRate / PaymentsPerYear), 2))</f>
        <v>0</v>
      </c>
      <c r="F308" s="5">
        <f>ROUND(IFERROR(IF(OR($B308 &lt;=0, $B308 = ExtraPayment),0,
MAX(-$B308, -(-PMT(InterestRate/PaymentsPerYear,LoanTerm*PaymentsPerYear,LoanAmount) + $E308))), 0), 2)</f>
        <v>0</v>
      </c>
      <c r="G308" s="5">
        <f t="shared" si="18"/>
        <v>0</v>
      </c>
      <c r="H308" s="5">
        <f t="shared" si="19"/>
        <v>0</v>
      </c>
    </row>
    <row r="309" spans="1:8" x14ac:dyDescent="0.2">
      <c r="A309" s="2">
        <v>308</v>
      </c>
      <c r="B309" s="5">
        <f t="shared" si="16"/>
        <v>0</v>
      </c>
      <c r="C309" s="5">
        <f t="shared" si="17"/>
        <v>0</v>
      </c>
      <c r="D309" s="5">
        <f>IF(ExtraPayment=0, 0, IF(AND($B309&lt;&gt;0,ExtraPayment&lt;=$B309),-ExtraPayment,-($F309)-$B309))</f>
        <v>0</v>
      </c>
      <c r="E309" s="5">
        <f>IF($B309 &lt;= 0, 0, -ROUND($B309 * (InterestRate / PaymentsPerYear), 2))</f>
        <v>0</v>
      </c>
      <c r="F309" s="5">
        <f>ROUND(IFERROR(IF(OR($B309 &lt;=0, $B309 = ExtraPayment),0,
MAX(-$B309, -(-PMT(InterestRate/PaymentsPerYear,LoanTerm*PaymentsPerYear,LoanAmount) + $E309))), 0), 2)</f>
        <v>0</v>
      </c>
      <c r="G309" s="5">
        <f t="shared" si="18"/>
        <v>0</v>
      </c>
      <c r="H309" s="5">
        <f t="shared" si="19"/>
        <v>0</v>
      </c>
    </row>
    <row r="310" spans="1:8" x14ac:dyDescent="0.2">
      <c r="A310" s="2">
        <v>309</v>
      </c>
      <c r="B310" s="5">
        <f t="shared" si="16"/>
        <v>0</v>
      </c>
      <c r="C310" s="5">
        <f t="shared" si="17"/>
        <v>0</v>
      </c>
      <c r="D310" s="5">
        <f>IF(ExtraPayment=0, 0, IF(AND($B310&lt;&gt;0,ExtraPayment&lt;=$B310),-ExtraPayment,-($F310)-$B310))</f>
        <v>0</v>
      </c>
      <c r="E310" s="5">
        <f>IF($B310 &lt;= 0, 0, -ROUND($B310 * (InterestRate / PaymentsPerYear), 2))</f>
        <v>0</v>
      </c>
      <c r="F310" s="5">
        <f>ROUND(IFERROR(IF(OR($B310 &lt;=0, $B310 = ExtraPayment),0,
MAX(-$B310, -(-PMT(InterestRate/PaymentsPerYear,LoanTerm*PaymentsPerYear,LoanAmount) + $E310))), 0), 2)</f>
        <v>0</v>
      </c>
      <c r="G310" s="5">
        <f t="shared" si="18"/>
        <v>0</v>
      </c>
      <c r="H310" s="5">
        <f t="shared" si="19"/>
        <v>0</v>
      </c>
    </row>
    <row r="311" spans="1:8" x14ac:dyDescent="0.2">
      <c r="A311" s="2">
        <v>310</v>
      </c>
      <c r="B311" s="5">
        <f t="shared" si="16"/>
        <v>0</v>
      </c>
      <c r="C311" s="5">
        <f t="shared" si="17"/>
        <v>0</v>
      </c>
      <c r="D311" s="5">
        <f>IF(ExtraPayment=0, 0, IF(AND($B311&lt;&gt;0,ExtraPayment&lt;=$B311),-ExtraPayment,-($F311)-$B311))</f>
        <v>0</v>
      </c>
      <c r="E311" s="5">
        <f>IF($B311 &lt;= 0, 0, -ROUND($B311 * (InterestRate / PaymentsPerYear), 2))</f>
        <v>0</v>
      </c>
      <c r="F311" s="5">
        <f>ROUND(IFERROR(IF(OR($B311 &lt;=0, $B311 = ExtraPayment),0,
MAX(-$B311, -(-PMT(InterestRate/PaymentsPerYear,LoanTerm*PaymentsPerYear,LoanAmount) + $E311))), 0), 2)</f>
        <v>0</v>
      </c>
      <c r="G311" s="5">
        <f t="shared" si="18"/>
        <v>0</v>
      </c>
      <c r="H311" s="5">
        <f t="shared" si="19"/>
        <v>0</v>
      </c>
    </row>
    <row r="312" spans="1:8" x14ac:dyDescent="0.2">
      <c r="A312" s="2">
        <v>311</v>
      </c>
      <c r="B312" s="5">
        <f t="shared" si="16"/>
        <v>0</v>
      </c>
      <c r="C312" s="5">
        <f t="shared" si="17"/>
        <v>0</v>
      </c>
      <c r="D312" s="5">
        <f>IF(ExtraPayment=0, 0, IF(AND($B312&lt;&gt;0,ExtraPayment&lt;=$B312),-ExtraPayment,-($F312)-$B312))</f>
        <v>0</v>
      </c>
      <c r="E312" s="5">
        <f>IF($B312 &lt;= 0, 0, -ROUND($B312 * (InterestRate / PaymentsPerYear), 2))</f>
        <v>0</v>
      </c>
      <c r="F312" s="5">
        <f>ROUND(IFERROR(IF(OR($B312 &lt;=0, $B312 = ExtraPayment),0,
MAX(-$B312, -(-PMT(InterestRate/PaymentsPerYear,LoanTerm*PaymentsPerYear,LoanAmount) + $E312))), 0), 2)</f>
        <v>0</v>
      </c>
      <c r="G312" s="5">
        <f t="shared" si="18"/>
        <v>0</v>
      </c>
      <c r="H312" s="5">
        <f t="shared" si="19"/>
        <v>0</v>
      </c>
    </row>
    <row r="313" spans="1:8" x14ac:dyDescent="0.2">
      <c r="A313" s="2">
        <v>312</v>
      </c>
      <c r="B313" s="5">
        <f t="shared" si="16"/>
        <v>0</v>
      </c>
      <c r="C313" s="5">
        <f t="shared" si="17"/>
        <v>0</v>
      </c>
      <c r="D313" s="5">
        <f>IF(ExtraPayment=0, 0, IF(AND($B313&lt;&gt;0,ExtraPayment&lt;=$B313),-ExtraPayment,-($F313)-$B313))</f>
        <v>0</v>
      </c>
      <c r="E313" s="5">
        <f>IF($B313 &lt;= 0, 0, -ROUND($B313 * (InterestRate / PaymentsPerYear), 2))</f>
        <v>0</v>
      </c>
      <c r="F313" s="5">
        <f>ROUND(IFERROR(IF(OR($B313 &lt;=0, $B313 = ExtraPayment),0,
MAX(-$B313, -(-PMT(InterestRate/PaymentsPerYear,LoanTerm*PaymentsPerYear,LoanAmount) + $E313))), 0), 2)</f>
        <v>0</v>
      </c>
      <c r="G313" s="5">
        <f t="shared" si="18"/>
        <v>0</v>
      </c>
      <c r="H313" s="5">
        <f t="shared" si="19"/>
        <v>0</v>
      </c>
    </row>
    <row r="314" spans="1:8" x14ac:dyDescent="0.2">
      <c r="A314" s="2">
        <v>313</v>
      </c>
      <c r="B314" s="5">
        <f t="shared" si="16"/>
        <v>0</v>
      </c>
      <c r="C314" s="5">
        <f t="shared" si="17"/>
        <v>0</v>
      </c>
      <c r="D314" s="5">
        <f>IF(ExtraPayment=0, 0, IF(AND($B314&lt;&gt;0,ExtraPayment&lt;=$B314),-ExtraPayment,-($F314)-$B314))</f>
        <v>0</v>
      </c>
      <c r="E314" s="5">
        <f>IF($B314 &lt;= 0, 0, -ROUND($B314 * (InterestRate / PaymentsPerYear), 2))</f>
        <v>0</v>
      </c>
      <c r="F314" s="5">
        <f>ROUND(IFERROR(IF(OR($B314 &lt;=0, $B314 = ExtraPayment),0,
MAX(-$B314, -(-PMT(InterestRate/PaymentsPerYear,LoanTerm*PaymentsPerYear,LoanAmount) + $E314))), 0), 2)</f>
        <v>0</v>
      </c>
      <c r="G314" s="5">
        <f t="shared" si="18"/>
        <v>0</v>
      </c>
      <c r="H314" s="5">
        <f t="shared" si="19"/>
        <v>0</v>
      </c>
    </row>
    <row r="315" spans="1:8" x14ac:dyDescent="0.2">
      <c r="A315" s="2">
        <v>314</v>
      </c>
      <c r="B315" s="5">
        <f t="shared" si="16"/>
        <v>0</v>
      </c>
      <c r="C315" s="5">
        <f t="shared" si="17"/>
        <v>0</v>
      </c>
      <c r="D315" s="5">
        <f>IF(ExtraPayment=0, 0, IF(AND($B315&lt;&gt;0,ExtraPayment&lt;=$B315),-ExtraPayment,-($F315)-$B315))</f>
        <v>0</v>
      </c>
      <c r="E315" s="5">
        <f>IF($B315 &lt;= 0, 0, -ROUND($B315 * (InterestRate / PaymentsPerYear), 2))</f>
        <v>0</v>
      </c>
      <c r="F315" s="5">
        <f>ROUND(IFERROR(IF(OR($B315 &lt;=0, $B315 = ExtraPayment),0,
MAX(-$B315, -(-PMT(InterestRate/PaymentsPerYear,LoanTerm*PaymentsPerYear,LoanAmount) + $E315))), 0), 2)</f>
        <v>0</v>
      </c>
      <c r="G315" s="5">
        <f t="shared" si="18"/>
        <v>0</v>
      </c>
      <c r="H315" s="5">
        <f t="shared" si="19"/>
        <v>0</v>
      </c>
    </row>
    <row r="316" spans="1:8" x14ac:dyDescent="0.2">
      <c r="A316" s="2">
        <v>315</v>
      </c>
      <c r="B316" s="5">
        <f t="shared" si="16"/>
        <v>0</v>
      </c>
      <c r="C316" s="5">
        <f t="shared" si="17"/>
        <v>0</v>
      </c>
      <c r="D316" s="5">
        <f>IF(ExtraPayment=0, 0, IF(AND($B316&lt;&gt;0,ExtraPayment&lt;=$B316),-ExtraPayment,-($F316)-$B316))</f>
        <v>0</v>
      </c>
      <c r="E316" s="5">
        <f>IF($B316 &lt;= 0, 0, -ROUND($B316 * (InterestRate / PaymentsPerYear), 2))</f>
        <v>0</v>
      </c>
      <c r="F316" s="5">
        <f>ROUND(IFERROR(IF(OR($B316 &lt;=0, $B316 = ExtraPayment),0,
MAX(-$B316, -(-PMT(InterestRate/PaymentsPerYear,LoanTerm*PaymentsPerYear,LoanAmount) + $E316))), 0), 2)</f>
        <v>0</v>
      </c>
      <c r="G316" s="5">
        <f t="shared" si="18"/>
        <v>0</v>
      </c>
      <c r="H316" s="5">
        <f t="shared" si="19"/>
        <v>0</v>
      </c>
    </row>
    <row r="317" spans="1:8" x14ac:dyDescent="0.2">
      <c r="A317" s="2">
        <v>316</v>
      </c>
      <c r="B317" s="5">
        <f t="shared" si="16"/>
        <v>0</v>
      </c>
      <c r="C317" s="5">
        <f t="shared" si="17"/>
        <v>0</v>
      </c>
      <c r="D317" s="5">
        <f>IF(ExtraPayment=0, 0, IF(AND($B317&lt;&gt;0,ExtraPayment&lt;=$B317),-ExtraPayment,-($F317)-$B317))</f>
        <v>0</v>
      </c>
      <c r="E317" s="5">
        <f>IF($B317 &lt;= 0, 0, -ROUND($B317 * (InterestRate / PaymentsPerYear), 2))</f>
        <v>0</v>
      </c>
      <c r="F317" s="5">
        <f>ROUND(IFERROR(IF(OR($B317 &lt;=0, $B317 = ExtraPayment),0,
MAX(-$B317, -(-PMT(InterestRate/PaymentsPerYear,LoanTerm*PaymentsPerYear,LoanAmount) + $E317))), 0), 2)</f>
        <v>0</v>
      </c>
      <c r="G317" s="5">
        <f t="shared" si="18"/>
        <v>0</v>
      </c>
      <c r="H317" s="5">
        <f t="shared" si="19"/>
        <v>0</v>
      </c>
    </row>
    <row r="318" spans="1:8" x14ac:dyDescent="0.2">
      <c r="A318" s="2">
        <v>317</v>
      </c>
      <c r="B318" s="5">
        <f t="shared" si="16"/>
        <v>0</v>
      </c>
      <c r="C318" s="5">
        <f t="shared" si="17"/>
        <v>0</v>
      </c>
      <c r="D318" s="5">
        <f>IF(ExtraPayment=0, 0, IF(AND($B318&lt;&gt;0,ExtraPayment&lt;=$B318),-ExtraPayment,-($F318)-$B318))</f>
        <v>0</v>
      </c>
      <c r="E318" s="5">
        <f>IF($B318 &lt;= 0, 0, -ROUND($B318 * (InterestRate / PaymentsPerYear), 2))</f>
        <v>0</v>
      </c>
      <c r="F318" s="5">
        <f>ROUND(IFERROR(IF(OR($B318 &lt;=0, $B318 = ExtraPayment),0,
MAX(-$B318, -(-PMT(InterestRate/PaymentsPerYear,LoanTerm*PaymentsPerYear,LoanAmount) + $E318))), 0), 2)</f>
        <v>0</v>
      </c>
      <c r="G318" s="5">
        <f t="shared" si="18"/>
        <v>0</v>
      </c>
      <c r="H318" s="5">
        <f t="shared" si="19"/>
        <v>0</v>
      </c>
    </row>
    <row r="319" spans="1:8" x14ac:dyDescent="0.2">
      <c r="A319" s="2">
        <v>318</v>
      </c>
      <c r="B319" s="5">
        <f t="shared" si="16"/>
        <v>0</v>
      </c>
      <c r="C319" s="5">
        <f t="shared" si="17"/>
        <v>0</v>
      </c>
      <c r="D319" s="5">
        <f>IF(ExtraPayment=0, 0, IF(AND($B319&lt;&gt;0,ExtraPayment&lt;=$B319),-ExtraPayment,-($F319)-$B319))</f>
        <v>0</v>
      </c>
      <c r="E319" s="5">
        <f>IF($B319 &lt;= 0, 0, -ROUND($B319 * (InterestRate / PaymentsPerYear), 2))</f>
        <v>0</v>
      </c>
      <c r="F319" s="5">
        <f>ROUND(IFERROR(IF(OR($B319 &lt;=0, $B319 = ExtraPayment),0,
MAX(-$B319, -(-PMT(InterestRate/PaymentsPerYear,LoanTerm*PaymentsPerYear,LoanAmount) + $E319))), 0), 2)</f>
        <v>0</v>
      </c>
      <c r="G319" s="5">
        <f t="shared" si="18"/>
        <v>0</v>
      </c>
      <c r="H319" s="5">
        <f t="shared" si="19"/>
        <v>0</v>
      </c>
    </row>
    <row r="320" spans="1:8" x14ac:dyDescent="0.2">
      <c r="A320" s="2">
        <v>319</v>
      </c>
      <c r="B320" s="5">
        <f t="shared" si="16"/>
        <v>0</v>
      </c>
      <c r="C320" s="5">
        <f t="shared" si="17"/>
        <v>0</v>
      </c>
      <c r="D320" s="5">
        <f>IF(ExtraPayment=0, 0, IF(AND($B320&lt;&gt;0,ExtraPayment&lt;=$B320),-ExtraPayment,-($F320)-$B320))</f>
        <v>0</v>
      </c>
      <c r="E320" s="5">
        <f>IF($B320 &lt;= 0, 0, -ROUND($B320 * (InterestRate / PaymentsPerYear), 2))</f>
        <v>0</v>
      </c>
      <c r="F320" s="5">
        <f>ROUND(IFERROR(IF(OR($B320 &lt;=0, $B320 = ExtraPayment),0,
MAX(-$B320, -(-PMT(InterestRate/PaymentsPerYear,LoanTerm*PaymentsPerYear,LoanAmount) + $E320))), 0), 2)</f>
        <v>0</v>
      </c>
      <c r="G320" s="5">
        <f t="shared" si="18"/>
        <v>0</v>
      </c>
      <c r="H320" s="5">
        <f t="shared" si="19"/>
        <v>0</v>
      </c>
    </row>
    <row r="321" spans="1:8" x14ac:dyDescent="0.2">
      <c r="A321" s="2">
        <v>320</v>
      </c>
      <c r="B321" s="5">
        <f t="shared" si="16"/>
        <v>0</v>
      </c>
      <c r="C321" s="5">
        <f t="shared" si="17"/>
        <v>0</v>
      </c>
      <c r="D321" s="5">
        <f>IF(ExtraPayment=0, 0, IF(AND($B321&lt;&gt;0,ExtraPayment&lt;=$B321),-ExtraPayment,-($F321)-$B321))</f>
        <v>0</v>
      </c>
      <c r="E321" s="5">
        <f>IF($B321 &lt;= 0, 0, -ROUND($B321 * (InterestRate / PaymentsPerYear), 2))</f>
        <v>0</v>
      </c>
      <c r="F321" s="5">
        <f>ROUND(IFERROR(IF(OR($B321 &lt;=0, $B321 = ExtraPayment),0,
MAX(-$B321, -(-PMT(InterestRate/PaymentsPerYear,LoanTerm*PaymentsPerYear,LoanAmount) + $E321))), 0), 2)</f>
        <v>0</v>
      </c>
      <c r="G321" s="5">
        <f t="shared" si="18"/>
        <v>0</v>
      </c>
      <c r="H321" s="5">
        <f t="shared" si="19"/>
        <v>0</v>
      </c>
    </row>
    <row r="322" spans="1:8" x14ac:dyDescent="0.2">
      <c r="A322" s="2">
        <v>321</v>
      </c>
      <c r="B322" s="5">
        <f t="shared" si="16"/>
        <v>0</v>
      </c>
      <c r="C322" s="5">
        <f t="shared" si="17"/>
        <v>0</v>
      </c>
      <c r="D322" s="5">
        <f>IF(ExtraPayment=0, 0, IF(AND($B322&lt;&gt;0,ExtraPayment&lt;=$B322),-ExtraPayment,-($F322)-$B322))</f>
        <v>0</v>
      </c>
      <c r="E322" s="5">
        <f>IF($B322 &lt;= 0, 0, -ROUND($B322 * (InterestRate / PaymentsPerYear), 2))</f>
        <v>0</v>
      </c>
      <c r="F322" s="5">
        <f>ROUND(IFERROR(IF(OR($B322 &lt;=0, $B322 = ExtraPayment),0,
MAX(-$B322, -(-PMT(InterestRate/PaymentsPerYear,LoanTerm*PaymentsPerYear,LoanAmount) + $E322))), 0), 2)</f>
        <v>0</v>
      </c>
      <c r="G322" s="5">
        <f t="shared" si="18"/>
        <v>0</v>
      </c>
      <c r="H322" s="5">
        <f t="shared" si="19"/>
        <v>0</v>
      </c>
    </row>
    <row r="323" spans="1:8" x14ac:dyDescent="0.2">
      <c r="A323" s="2">
        <v>322</v>
      </c>
      <c r="B323" s="5">
        <f t="shared" si="16"/>
        <v>0</v>
      </c>
      <c r="C323" s="5">
        <f t="shared" si="17"/>
        <v>0</v>
      </c>
      <c r="D323" s="5">
        <f>IF(ExtraPayment=0, 0, IF(AND($B323&lt;&gt;0,ExtraPayment&lt;=$B323),-ExtraPayment,-($F323)-$B323))</f>
        <v>0</v>
      </c>
      <c r="E323" s="5">
        <f>IF($B323 &lt;= 0, 0, -ROUND($B323 * (InterestRate / PaymentsPerYear), 2))</f>
        <v>0</v>
      </c>
      <c r="F323" s="5">
        <f>ROUND(IFERROR(IF(OR($B323 &lt;=0, $B323 = ExtraPayment),0,
MAX(-$B323, -(-PMT(InterestRate/PaymentsPerYear,LoanTerm*PaymentsPerYear,LoanAmount) + $E323))), 0), 2)</f>
        <v>0</v>
      </c>
      <c r="G323" s="5">
        <f t="shared" si="18"/>
        <v>0</v>
      </c>
      <c r="H323" s="5">
        <f t="shared" si="19"/>
        <v>0</v>
      </c>
    </row>
    <row r="324" spans="1:8" x14ac:dyDescent="0.2">
      <c r="A324" s="2">
        <v>323</v>
      </c>
      <c r="B324" s="5">
        <f t="shared" ref="B324:B387" si="20">ROUND(IF($H323 &gt;= 0, MAX($H323, $F323), 0), 2)</f>
        <v>0</v>
      </c>
      <c r="C324" s="5">
        <f t="shared" ref="C324:C387" si="21">IF($B324 &lt;= 0, 0, $D324+$E324+$F324)</f>
        <v>0</v>
      </c>
      <c r="D324" s="5">
        <f>IF(ExtraPayment=0, 0, IF(AND($B324&lt;&gt;0,ExtraPayment&lt;=$B324),-ExtraPayment,-($F324)-$B324))</f>
        <v>0</v>
      </c>
      <c r="E324" s="5">
        <f>IF($B324 &lt;= 0, 0, -ROUND($B324 * (InterestRate / PaymentsPerYear), 2))</f>
        <v>0</v>
      </c>
      <c r="F324" s="5">
        <f>ROUND(IFERROR(IF(OR($B324 &lt;=0, $B324 = ExtraPayment),0,
MAX(-$B324, -(-PMT(InterestRate/PaymentsPerYear,LoanTerm*PaymentsPerYear,LoanAmount) + $E324))), 0), 2)</f>
        <v>0</v>
      </c>
      <c r="G324" s="5">
        <f t="shared" ref="G324:G387" si="22">$D324+$F324</f>
        <v>0</v>
      </c>
      <c r="H324" s="5">
        <f t="shared" ref="H324:H387" si="23">ROUND(IF($B324 &lt;= 0, 0,MAX(0, $B324 + $G324)), 2)</f>
        <v>0</v>
      </c>
    </row>
    <row r="325" spans="1:8" x14ac:dyDescent="0.2">
      <c r="A325" s="2">
        <v>324</v>
      </c>
      <c r="B325" s="5">
        <f t="shared" si="20"/>
        <v>0</v>
      </c>
      <c r="C325" s="5">
        <f t="shared" si="21"/>
        <v>0</v>
      </c>
      <c r="D325" s="5">
        <f>IF(ExtraPayment=0, 0, IF(AND($B325&lt;&gt;0,ExtraPayment&lt;=$B325),-ExtraPayment,-($F325)-$B325))</f>
        <v>0</v>
      </c>
      <c r="E325" s="5">
        <f>IF($B325 &lt;= 0, 0, -ROUND($B325 * (InterestRate / PaymentsPerYear), 2))</f>
        <v>0</v>
      </c>
      <c r="F325" s="5">
        <f>ROUND(IFERROR(IF(OR($B325 &lt;=0, $B325 = ExtraPayment),0,
MAX(-$B325, -(-PMT(InterestRate/PaymentsPerYear,LoanTerm*PaymentsPerYear,LoanAmount) + $E325))), 0), 2)</f>
        <v>0</v>
      </c>
      <c r="G325" s="5">
        <f t="shared" si="22"/>
        <v>0</v>
      </c>
      <c r="H325" s="5">
        <f t="shared" si="23"/>
        <v>0</v>
      </c>
    </row>
    <row r="326" spans="1:8" x14ac:dyDescent="0.2">
      <c r="A326" s="2">
        <v>325</v>
      </c>
      <c r="B326" s="5">
        <f t="shared" si="20"/>
        <v>0</v>
      </c>
      <c r="C326" s="5">
        <f t="shared" si="21"/>
        <v>0</v>
      </c>
      <c r="D326" s="5">
        <f>IF(ExtraPayment=0, 0, IF(AND($B326&lt;&gt;0,ExtraPayment&lt;=$B326),-ExtraPayment,-($F326)-$B326))</f>
        <v>0</v>
      </c>
      <c r="E326" s="5">
        <f>IF($B326 &lt;= 0, 0, -ROUND($B326 * (InterestRate / PaymentsPerYear), 2))</f>
        <v>0</v>
      </c>
      <c r="F326" s="5">
        <f>ROUND(IFERROR(IF(OR($B326 &lt;=0, $B326 = ExtraPayment),0,
MAX(-$B326, -(-PMT(InterestRate/PaymentsPerYear,LoanTerm*PaymentsPerYear,LoanAmount) + $E326))), 0), 2)</f>
        <v>0</v>
      </c>
      <c r="G326" s="5">
        <f t="shared" si="22"/>
        <v>0</v>
      </c>
      <c r="H326" s="5">
        <f t="shared" si="23"/>
        <v>0</v>
      </c>
    </row>
    <row r="327" spans="1:8" x14ac:dyDescent="0.2">
      <c r="A327" s="2">
        <v>326</v>
      </c>
      <c r="B327" s="5">
        <f t="shared" si="20"/>
        <v>0</v>
      </c>
      <c r="C327" s="5">
        <f t="shared" si="21"/>
        <v>0</v>
      </c>
      <c r="D327" s="5">
        <f>IF(ExtraPayment=0, 0, IF(AND($B327&lt;&gt;0,ExtraPayment&lt;=$B327),-ExtraPayment,-($F327)-$B327))</f>
        <v>0</v>
      </c>
      <c r="E327" s="5">
        <f>IF($B327 &lt;= 0, 0, -ROUND($B327 * (InterestRate / PaymentsPerYear), 2))</f>
        <v>0</v>
      </c>
      <c r="F327" s="5">
        <f>ROUND(IFERROR(IF(OR($B327 &lt;=0, $B327 = ExtraPayment),0,
MAX(-$B327, -(-PMT(InterestRate/PaymentsPerYear,LoanTerm*PaymentsPerYear,LoanAmount) + $E327))), 0), 2)</f>
        <v>0</v>
      </c>
      <c r="G327" s="5">
        <f t="shared" si="22"/>
        <v>0</v>
      </c>
      <c r="H327" s="5">
        <f t="shared" si="23"/>
        <v>0</v>
      </c>
    </row>
    <row r="328" spans="1:8" x14ac:dyDescent="0.2">
      <c r="A328" s="2">
        <v>327</v>
      </c>
      <c r="B328" s="5">
        <f t="shared" si="20"/>
        <v>0</v>
      </c>
      <c r="C328" s="5">
        <f t="shared" si="21"/>
        <v>0</v>
      </c>
      <c r="D328" s="5">
        <f>IF(ExtraPayment=0, 0, IF(AND($B328&lt;&gt;0,ExtraPayment&lt;=$B328),-ExtraPayment,-($F328)-$B328))</f>
        <v>0</v>
      </c>
      <c r="E328" s="5">
        <f>IF($B328 &lt;= 0, 0, -ROUND($B328 * (InterestRate / PaymentsPerYear), 2))</f>
        <v>0</v>
      </c>
      <c r="F328" s="5">
        <f>ROUND(IFERROR(IF(OR($B328 &lt;=0, $B328 = ExtraPayment),0,
MAX(-$B328, -(-PMT(InterestRate/PaymentsPerYear,LoanTerm*PaymentsPerYear,LoanAmount) + $E328))), 0), 2)</f>
        <v>0</v>
      </c>
      <c r="G328" s="5">
        <f t="shared" si="22"/>
        <v>0</v>
      </c>
      <c r="H328" s="5">
        <f t="shared" si="23"/>
        <v>0</v>
      </c>
    </row>
    <row r="329" spans="1:8" x14ac:dyDescent="0.2">
      <c r="A329" s="2">
        <v>328</v>
      </c>
      <c r="B329" s="5">
        <f t="shared" si="20"/>
        <v>0</v>
      </c>
      <c r="C329" s="5">
        <f t="shared" si="21"/>
        <v>0</v>
      </c>
      <c r="D329" s="5">
        <f>IF(ExtraPayment=0, 0, IF(AND($B329&lt;&gt;0,ExtraPayment&lt;=$B329),-ExtraPayment,-($F329)-$B329))</f>
        <v>0</v>
      </c>
      <c r="E329" s="5">
        <f>IF($B329 &lt;= 0, 0, -ROUND($B329 * (InterestRate / PaymentsPerYear), 2))</f>
        <v>0</v>
      </c>
      <c r="F329" s="5">
        <f>ROUND(IFERROR(IF(OR($B329 &lt;=0, $B329 = ExtraPayment),0,
MAX(-$B329, -(-PMT(InterestRate/PaymentsPerYear,LoanTerm*PaymentsPerYear,LoanAmount) + $E329))), 0), 2)</f>
        <v>0</v>
      </c>
      <c r="G329" s="5">
        <f t="shared" si="22"/>
        <v>0</v>
      </c>
      <c r="H329" s="5">
        <f t="shared" si="23"/>
        <v>0</v>
      </c>
    </row>
    <row r="330" spans="1:8" x14ac:dyDescent="0.2">
      <c r="A330" s="2">
        <v>329</v>
      </c>
      <c r="B330" s="5">
        <f t="shared" si="20"/>
        <v>0</v>
      </c>
      <c r="C330" s="5">
        <f t="shared" si="21"/>
        <v>0</v>
      </c>
      <c r="D330" s="5">
        <f>IF(ExtraPayment=0, 0, IF(AND($B330&lt;&gt;0,ExtraPayment&lt;=$B330),-ExtraPayment,-($F330)-$B330))</f>
        <v>0</v>
      </c>
      <c r="E330" s="5">
        <f>IF($B330 &lt;= 0, 0, -ROUND($B330 * (InterestRate / PaymentsPerYear), 2))</f>
        <v>0</v>
      </c>
      <c r="F330" s="5">
        <f>ROUND(IFERROR(IF(OR($B330 &lt;=0, $B330 = ExtraPayment),0,
MAX(-$B330, -(-PMT(InterestRate/PaymentsPerYear,LoanTerm*PaymentsPerYear,LoanAmount) + $E330))), 0), 2)</f>
        <v>0</v>
      </c>
      <c r="G330" s="5">
        <f t="shared" si="22"/>
        <v>0</v>
      </c>
      <c r="H330" s="5">
        <f t="shared" si="23"/>
        <v>0</v>
      </c>
    </row>
    <row r="331" spans="1:8" x14ac:dyDescent="0.2">
      <c r="A331" s="2">
        <v>330</v>
      </c>
      <c r="B331" s="5">
        <f t="shared" si="20"/>
        <v>0</v>
      </c>
      <c r="C331" s="5">
        <f t="shared" si="21"/>
        <v>0</v>
      </c>
      <c r="D331" s="5">
        <f>IF(ExtraPayment=0, 0, IF(AND($B331&lt;&gt;0,ExtraPayment&lt;=$B331),-ExtraPayment,-($F331)-$B331))</f>
        <v>0</v>
      </c>
      <c r="E331" s="5">
        <f>IF($B331 &lt;= 0, 0, -ROUND($B331 * (InterestRate / PaymentsPerYear), 2))</f>
        <v>0</v>
      </c>
      <c r="F331" s="5">
        <f>ROUND(IFERROR(IF(OR($B331 &lt;=0, $B331 = ExtraPayment),0,
MAX(-$B331, -(-PMT(InterestRate/PaymentsPerYear,LoanTerm*PaymentsPerYear,LoanAmount) + $E331))), 0), 2)</f>
        <v>0</v>
      </c>
      <c r="G331" s="5">
        <f t="shared" si="22"/>
        <v>0</v>
      </c>
      <c r="H331" s="5">
        <f t="shared" si="23"/>
        <v>0</v>
      </c>
    </row>
    <row r="332" spans="1:8" x14ac:dyDescent="0.2">
      <c r="A332" s="2">
        <v>331</v>
      </c>
      <c r="B332" s="5">
        <f t="shared" si="20"/>
        <v>0</v>
      </c>
      <c r="C332" s="5">
        <f t="shared" si="21"/>
        <v>0</v>
      </c>
      <c r="D332" s="5">
        <f>IF(ExtraPayment=0, 0, IF(AND($B332&lt;&gt;0,ExtraPayment&lt;=$B332),-ExtraPayment,-($F332)-$B332))</f>
        <v>0</v>
      </c>
      <c r="E332" s="5">
        <f>IF($B332 &lt;= 0, 0, -ROUND($B332 * (InterestRate / PaymentsPerYear), 2))</f>
        <v>0</v>
      </c>
      <c r="F332" s="5">
        <f>ROUND(IFERROR(IF(OR($B332 &lt;=0, $B332 = ExtraPayment),0,
MAX(-$B332, -(-PMT(InterestRate/PaymentsPerYear,LoanTerm*PaymentsPerYear,LoanAmount) + $E332))), 0), 2)</f>
        <v>0</v>
      </c>
      <c r="G332" s="5">
        <f t="shared" si="22"/>
        <v>0</v>
      </c>
      <c r="H332" s="5">
        <f t="shared" si="23"/>
        <v>0</v>
      </c>
    </row>
    <row r="333" spans="1:8" x14ac:dyDescent="0.2">
      <c r="A333" s="2">
        <v>332</v>
      </c>
      <c r="B333" s="5">
        <f t="shared" si="20"/>
        <v>0</v>
      </c>
      <c r="C333" s="5">
        <f t="shared" si="21"/>
        <v>0</v>
      </c>
      <c r="D333" s="5">
        <f>IF(ExtraPayment=0, 0, IF(AND($B333&lt;&gt;0,ExtraPayment&lt;=$B333),-ExtraPayment,-($F333)-$B333))</f>
        <v>0</v>
      </c>
      <c r="E333" s="5">
        <f>IF($B333 &lt;= 0, 0, -ROUND($B333 * (InterestRate / PaymentsPerYear), 2))</f>
        <v>0</v>
      </c>
      <c r="F333" s="5">
        <f>ROUND(IFERROR(IF(OR($B333 &lt;=0, $B333 = ExtraPayment),0,
MAX(-$B333, -(-PMT(InterestRate/PaymentsPerYear,LoanTerm*PaymentsPerYear,LoanAmount) + $E333))), 0), 2)</f>
        <v>0</v>
      </c>
      <c r="G333" s="5">
        <f t="shared" si="22"/>
        <v>0</v>
      </c>
      <c r="H333" s="5">
        <f t="shared" si="23"/>
        <v>0</v>
      </c>
    </row>
    <row r="334" spans="1:8" x14ac:dyDescent="0.2">
      <c r="A334" s="2">
        <v>333</v>
      </c>
      <c r="B334" s="5">
        <f t="shared" si="20"/>
        <v>0</v>
      </c>
      <c r="C334" s="5">
        <f t="shared" si="21"/>
        <v>0</v>
      </c>
      <c r="D334" s="5">
        <f>IF(ExtraPayment=0, 0, IF(AND($B334&lt;&gt;0,ExtraPayment&lt;=$B334),-ExtraPayment,-($F334)-$B334))</f>
        <v>0</v>
      </c>
      <c r="E334" s="5">
        <f>IF($B334 &lt;= 0, 0, -ROUND($B334 * (InterestRate / PaymentsPerYear), 2))</f>
        <v>0</v>
      </c>
      <c r="F334" s="5">
        <f>ROUND(IFERROR(IF(OR($B334 &lt;=0, $B334 = ExtraPayment),0,
MAX(-$B334, -(-PMT(InterestRate/PaymentsPerYear,LoanTerm*PaymentsPerYear,LoanAmount) + $E334))), 0), 2)</f>
        <v>0</v>
      </c>
      <c r="G334" s="5">
        <f t="shared" si="22"/>
        <v>0</v>
      </c>
      <c r="H334" s="5">
        <f t="shared" si="23"/>
        <v>0</v>
      </c>
    </row>
    <row r="335" spans="1:8" x14ac:dyDescent="0.2">
      <c r="A335" s="2">
        <v>334</v>
      </c>
      <c r="B335" s="5">
        <f t="shared" si="20"/>
        <v>0</v>
      </c>
      <c r="C335" s="5">
        <f t="shared" si="21"/>
        <v>0</v>
      </c>
      <c r="D335" s="5">
        <f>IF(ExtraPayment=0, 0, IF(AND($B335&lt;&gt;0,ExtraPayment&lt;=$B335),-ExtraPayment,-($F335)-$B335))</f>
        <v>0</v>
      </c>
      <c r="E335" s="5">
        <f>IF($B335 &lt;= 0, 0, -ROUND($B335 * (InterestRate / PaymentsPerYear), 2))</f>
        <v>0</v>
      </c>
      <c r="F335" s="5">
        <f>ROUND(IFERROR(IF(OR($B335 &lt;=0, $B335 = ExtraPayment),0,
MAX(-$B335, -(-PMT(InterestRate/PaymentsPerYear,LoanTerm*PaymentsPerYear,LoanAmount) + $E335))), 0), 2)</f>
        <v>0</v>
      </c>
      <c r="G335" s="5">
        <f t="shared" si="22"/>
        <v>0</v>
      </c>
      <c r="H335" s="5">
        <f t="shared" si="23"/>
        <v>0</v>
      </c>
    </row>
    <row r="336" spans="1:8" x14ac:dyDescent="0.2">
      <c r="A336" s="2">
        <v>335</v>
      </c>
      <c r="B336" s="5">
        <f t="shared" si="20"/>
        <v>0</v>
      </c>
      <c r="C336" s="5">
        <f t="shared" si="21"/>
        <v>0</v>
      </c>
      <c r="D336" s="5">
        <f>IF(ExtraPayment=0, 0, IF(AND($B336&lt;&gt;0,ExtraPayment&lt;=$B336),-ExtraPayment,-($F336)-$B336))</f>
        <v>0</v>
      </c>
      <c r="E336" s="5">
        <f>IF($B336 &lt;= 0, 0, -ROUND($B336 * (InterestRate / PaymentsPerYear), 2))</f>
        <v>0</v>
      </c>
      <c r="F336" s="5">
        <f>ROUND(IFERROR(IF(OR($B336 &lt;=0, $B336 = ExtraPayment),0,
MAX(-$B336, -(-PMT(InterestRate/PaymentsPerYear,LoanTerm*PaymentsPerYear,LoanAmount) + $E336))), 0), 2)</f>
        <v>0</v>
      </c>
      <c r="G336" s="5">
        <f t="shared" si="22"/>
        <v>0</v>
      </c>
      <c r="H336" s="5">
        <f t="shared" si="23"/>
        <v>0</v>
      </c>
    </row>
    <row r="337" spans="1:8" x14ac:dyDescent="0.2">
      <c r="A337" s="2">
        <v>336</v>
      </c>
      <c r="B337" s="5">
        <f t="shared" si="20"/>
        <v>0</v>
      </c>
      <c r="C337" s="5">
        <f t="shared" si="21"/>
        <v>0</v>
      </c>
      <c r="D337" s="5">
        <f>IF(ExtraPayment=0, 0, IF(AND($B337&lt;&gt;0,ExtraPayment&lt;=$B337),-ExtraPayment,-($F337)-$B337))</f>
        <v>0</v>
      </c>
      <c r="E337" s="5">
        <f>IF($B337 &lt;= 0, 0, -ROUND($B337 * (InterestRate / PaymentsPerYear), 2))</f>
        <v>0</v>
      </c>
      <c r="F337" s="5">
        <f>ROUND(IFERROR(IF(OR($B337 &lt;=0, $B337 = ExtraPayment),0,
MAX(-$B337, -(-PMT(InterestRate/PaymentsPerYear,LoanTerm*PaymentsPerYear,LoanAmount) + $E337))), 0), 2)</f>
        <v>0</v>
      </c>
      <c r="G337" s="5">
        <f t="shared" si="22"/>
        <v>0</v>
      </c>
      <c r="H337" s="5">
        <f t="shared" si="23"/>
        <v>0</v>
      </c>
    </row>
    <row r="338" spans="1:8" x14ac:dyDescent="0.2">
      <c r="A338" s="2">
        <v>337</v>
      </c>
      <c r="B338" s="5">
        <f t="shared" si="20"/>
        <v>0</v>
      </c>
      <c r="C338" s="5">
        <f t="shared" si="21"/>
        <v>0</v>
      </c>
      <c r="D338" s="5">
        <f>IF(ExtraPayment=0, 0, IF(AND($B338&lt;&gt;0,ExtraPayment&lt;=$B338),-ExtraPayment,-($F338)-$B338))</f>
        <v>0</v>
      </c>
      <c r="E338" s="5">
        <f>IF($B338 &lt;= 0, 0, -ROUND($B338 * (InterestRate / PaymentsPerYear), 2))</f>
        <v>0</v>
      </c>
      <c r="F338" s="5">
        <f>ROUND(IFERROR(IF(OR($B338 &lt;=0, $B338 = ExtraPayment),0,
MAX(-$B338, -(-PMT(InterestRate/PaymentsPerYear,LoanTerm*PaymentsPerYear,LoanAmount) + $E338))), 0), 2)</f>
        <v>0</v>
      </c>
      <c r="G338" s="5">
        <f t="shared" si="22"/>
        <v>0</v>
      </c>
      <c r="H338" s="5">
        <f t="shared" si="23"/>
        <v>0</v>
      </c>
    </row>
    <row r="339" spans="1:8" x14ac:dyDescent="0.2">
      <c r="A339" s="2">
        <v>338</v>
      </c>
      <c r="B339" s="5">
        <f t="shared" si="20"/>
        <v>0</v>
      </c>
      <c r="C339" s="5">
        <f t="shared" si="21"/>
        <v>0</v>
      </c>
      <c r="D339" s="5">
        <f>IF(ExtraPayment=0, 0, IF(AND($B339&lt;&gt;0,ExtraPayment&lt;=$B339),-ExtraPayment,-($F339)-$B339))</f>
        <v>0</v>
      </c>
      <c r="E339" s="5">
        <f>IF($B339 &lt;= 0, 0, -ROUND($B339 * (InterestRate / PaymentsPerYear), 2))</f>
        <v>0</v>
      </c>
      <c r="F339" s="5">
        <f>ROUND(IFERROR(IF(OR($B339 &lt;=0, $B339 = ExtraPayment),0,
MAX(-$B339, -(-PMT(InterestRate/PaymentsPerYear,LoanTerm*PaymentsPerYear,LoanAmount) + $E339))), 0), 2)</f>
        <v>0</v>
      </c>
      <c r="G339" s="5">
        <f t="shared" si="22"/>
        <v>0</v>
      </c>
      <c r="H339" s="5">
        <f t="shared" si="23"/>
        <v>0</v>
      </c>
    </row>
    <row r="340" spans="1:8" x14ac:dyDescent="0.2">
      <c r="A340" s="2">
        <v>339</v>
      </c>
      <c r="B340" s="5">
        <f t="shared" si="20"/>
        <v>0</v>
      </c>
      <c r="C340" s="5">
        <f t="shared" si="21"/>
        <v>0</v>
      </c>
      <c r="D340" s="5">
        <f>IF(ExtraPayment=0, 0, IF(AND($B340&lt;&gt;0,ExtraPayment&lt;=$B340),-ExtraPayment,-($F340)-$B340))</f>
        <v>0</v>
      </c>
      <c r="E340" s="5">
        <f>IF($B340 &lt;= 0, 0, -ROUND($B340 * (InterestRate / PaymentsPerYear), 2))</f>
        <v>0</v>
      </c>
      <c r="F340" s="5">
        <f>ROUND(IFERROR(IF(OR($B340 &lt;=0, $B340 = ExtraPayment),0,
MAX(-$B340, -(-PMT(InterestRate/PaymentsPerYear,LoanTerm*PaymentsPerYear,LoanAmount) + $E340))), 0), 2)</f>
        <v>0</v>
      </c>
      <c r="G340" s="5">
        <f t="shared" si="22"/>
        <v>0</v>
      </c>
      <c r="H340" s="5">
        <f t="shared" si="23"/>
        <v>0</v>
      </c>
    </row>
    <row r="341" spans="1:8" x14ac:dyDescent="0.2">
      <c r="A341" s="2">
        <v>340</v>
      </c>
      <c r="B341" s="5">
        <f t="shared" si="20"/>
        <v>0</v>
      </c>
      <c r="C341" s="5">
        <f t="shared" si="21"/>
        <v>0</v>
      </c>
      <c r="D341" s="5">
        <f>IF(ExtraPayment=0, 0, IF(AND($B341&lt;&gt;0,ExtraPayment&lt;=$B341),-ExtraPayment,-($F341)-$B341))</f>
        <v>0</v>
      </c>
      <c r="E341" s="5">
        <f>IF($B341 &lt;= 0, 0, -ROUND($B341 * (InterestRate / PaymentsPerYear), 2))</f>
        <v>0</v>
      </c>
      <c r="F341" s="5">
        <f>ROUND(IFERROR(IF(OR($B341 &lt;=0, $B341 = ExtraPayment),0,
MAX(-$B341, -(-PMT(InterestRate/PaymentsPerYear,LoanTerm*PaymentsPerYear,LoanAmount) + $E341))), 0), 2)</f>
        <v>0</v>
      </c>
      <c r="G341" s="5">
        <f t="shared" si="22"/>
        <v>0</v>
      </c>
      <c r="H341" s="5">
        <f t="shared" si="23"/>
        <v>0</v>
      </c>
    </row>
    <row r="342" spans="1:8" x14ac:dyDescent="0.2">
      <c r="A342" s="2">
        <v>341</v>
      </c>
      <c r="B342" s="5">
        <f t="shared" si="20"/>
        <v>0</v>
      </c>
      <c r="C342" s="5">
        <f t="shared" si="21"/>
        <v>0</v>
      </c>
      <c r="D342" s="5">
        <f>IF(ExtraPayment=0, 0, IF(AND($B342&lt;&gt;0,ExtraPayment&lt;=$B342),-ExtraPayment,-($F342)-$B342))</f>
        <v>0</v>
      </c>
      <c r="E342" s="5">
        <f>IF($B342 &lt;= 0, 0, -ROUND($B342 * (InterestRate / PaymentsPerYear), 2))</f>
        <v>0</v>
      </c>
      <c r="F342" s="5">
        <f>ROUND(IFERROR(IF(OR($B342 &lt;=0, $B342 = ExtraPayment),0,
MAX(-$B342, -(-PMT(InterestRate/PaymentsPerYear,LoanTerm*PaymentsPerYear,LoanAmount) + $E342))), 0), 2)</f>
        <v>0</v>
      </c>
      <c r="G342" s="5">
        <f t="shared" si="22"/>
        <v>0</v>
      </c>
      <c r="H342" s="5">
        <f t="shared" si="23"/>
        <v>0</v>
      </c>
    </row>
    <row r="343" spans="1:8" x14ac:dyDescent="0.2">
      <c r="A343" s="2">
        <v>342</v>
      </c>
      <c r="B343" s="5">
        <f t="shared" si="20"/>
        <v>0</v>
      </c>
      <c r="C343" s="5">
        <f t="shared" si="21"/>
        <v>0</v>
      </c>
      <c r="D343" s="5">
        <f>IF(ExtraPayment=0, 0, IF(AND($B343&lt;&gt;0,ExtraPayment&lt;=$B343),-ExtraPayment,-($F343)-$B343))</f>
        <v>0</v>
      </c>
      <c r="E343" s="5">
        <f>IF($B343 &lt;= 0, 0, -ROUND($B343 * (InterestRate / PaymentsPerYear), 2))</f>
        <v>0</v>
      </c>
      <c r="F343" s="5">
        <f>ROUND(IFERROR(IF(OR($B343 &lt;=0, $B343 = ExtraPayment),0,
MAX(-$B343, -(-PMT(InterestRate/PaymentsPerYear,LoanTerm*PaymentsPerYear,LoanAmount) + $E343))), 0), 2)</f>
        <v>0</v>
      </c>
      <c r="G343" s="5">
        <f t="shared" si="22"/>
        <v>0</v>
      </c>
      <c r="H343" s="5">
        <f t="shared" si="23"/>
        <v>0</v>
      </c>
    </row>
    <row r="344" spans="1:8" x14ac:dyDescent="0.2">
      <c r="A344" s="2">
        <v>343</v>
      </c>
      <c r="B344" s="5">
        <f t="shared" si="20"/>
        <v>0</v>
      </c>
      <c r="C344" s="5">
        <f t="shared" si="21"/>
        <v>0</v>
      </c>
      <c r="D344" s="5">
        <f>IF(ExtraPayment=0, 0, IF(AND($B344&lt;&gt;0,ExtraPayment&lt;=$B344),-ExtraPayment,-($F344)-$B344))</f>
        <v>0</v>
      </c>
      <c r="E344" s="5">
        <f>IF($B344 &lt;= 0, 0, -ROUND($B344 * (InterestRate / PaymentsPerYear), 2))</f>
        <v>0</v>
      </c>
      <c r="F344" s="5">
        <f>ROUND(IFERROR(IF(OR($B344 &lt;=0, $B344 = ExtraPayment),0,
MAX(-$B344, -(-PMT(InterestRate/PaymentsPerYear,LoanTerm*PaymentsPerYear,LoanAmount) + $E344))), 0), 2)</f>
        <v>0</v>
      </c>
      <c r="G344" s="5">
        <f t="shared" si="22"/>
        <v>0</v>
      </c>
      <c r="H344" s="5">
        <f t="shared" si="23"/>
        <v>0</v>
      </c>
    </row>
    <row r="345" spans="1:8" x14ac:dyDescent="0.2">
      <c r="A345" s="2">
        <v>344</v>
      </c>
      <c r="B345" s="5">
        <f t="shared" si="20"/>
        <v>0</v>
      </c>
      <c r="C345" s="5">
        <f t="shared" si="21"/>
        <v>0</v>
      </c>
      <c r="D345" s="5">
        <f>IF(ExtraPayment=0, 0, IF(AND($B345&lt;&gt;0,ExtraPayment&lt;=$B345),-ExtraPayment,-($F345)-$B345))</f>
        <v>0</v>
      </c>
      <c r="E345" s="5">
        <f>IF($B345 &lt;= 0, 0, -ROUND($B345 * (InterestRate / PaymentsPerYear), 2))</f>
        <v>0</v>
      </c>
      <c r="F345" s="5">
        <f>ROUND(IFERROR(IF(OR($B345 &lt;=0, $B345 = ExtraPayment),0,
MAX(-$B345, -(-PMT(InterestRate/PaymentsPerYear,LoanTerm*PaymentsPerYear,LoanAmount) + $E345))), 0), 2)</f>
        <v>0</v>
      </c>
      <c r="G345" s="5">
        <f t="shared" si="22"/>
        <v>0</v>
      </c>
      <c r="H345" s="5">
        <f t="shared" si="23"/>
        <v>0</v>
      </c>
    </row>
    <row r="346" spans="1:8" x14ac:dyDescent="0.2">
      <c r="A346" s="2">
        <v>345</v>
      </c>
      <c r="B346" s="5">
        <f t="shared" si="20"/>
        <v>0</v>
      </c>
      <c r="C346" s="5">
        <f t="shared" si="21"/>
        <v>0</v>
      </c>
      <c r="D346" s="5">
        <f>IF(ExtraPayment=0, 0, IF(AND($B346&lt;&gt;0,ExtraPayment&lt;=$B346),-ExtraPayment,-($F346)-$B346))</f>
        <v>0</v>
      </c>
      <c r="E346" s="5">
        <f>IF($B346 &lt;= 0, 0, -ROUND($B346 * (InterestRate / PaymentsPerYear), 2))</f>
        <v>0</v>
      </c>
      <c r="F346" s="5">
        <f>ROUND(IFERROR(IF(OR($B346 &lt;=0, $B346 = ExtraPayment),0,
MAX(-$B346, -(-PMT(InterestRate/PaymentsPerYear,LoanTerm*PaymentsPerYear,LoanAmount) + $E346))), 0), 2)</f>
        <v>0</v>
      </c>
      <c r="G346" s="5">
        <f t="shared" si="22"/>
        <v>0</v>
      </c>
      <c r="H346" s="5">
        <f t="shared" si="23"/>
        <v>0</v>
      </c>
    </row>
    <row r="347" spans="1:8" x14ac:dyDescent="0.2">
      <c r="A347" s="2">
        <v>346</v>
      </c>
      <c r="B347" s="5">
        <f t="shared" si="20"/>
        <v>0</v>
      </c>
      <c r="C347" s="5">
        <f t="shared" si="21"/>
        <v>0</v>
      </c>
      <c r="D347" s="5">
        <f>IF(ExtraPayment=0, 0, IF(AND($B347&lt;&gt;0,ExtraPayment&lt;=$B347),-ExtraPayment,-($F347)-$B347))</f>
        <v>0</v>
      </c>
      <c r="E347" s="5">
        <f>IF($B347 &lt;= 0, 0, -ROUND($B347 * (InterestRate / PaymentsPerYear), 2))</f>
        <v>0</v>
      </c>
      <c r="F347" s="5">
        <f>ROUND(IFERROR(IF(OR($B347 &lt;=0, $B347 = ExtraPayment),0,
MAX(-$B347, -(-PMT(InterestRate/PaymentsPerYear,LoanTerm*PaymentsPerYear,LoanAmount) + $E347))), 0), 2)</f>
        <v>0</v>
      </c>
      <c r="G347" s="5">
        <f t="shared" si="22"/>
        <v>0</v>
      </c>
      <c r="H347" s="5">
        <f t="shared" si="23"/>
        <v>0</v>
      </c>
    </row>
    <row r="348" spans="1:8" x14ac:dyDescent="0.2">
      <c r="A348" s="2">
        <v>347</v>
      </c>
      <c r="B348" s="5">
        <f t="shared" si="20"/>
        <v>0</v>
      </c>
      <c r="C348" s="5">
        <f t="shared" si="21"/>
        <v>0</v>
      </c>
      <c r="D348" s="5">
        <f>IF(ExtraPayment=0, 0, IF(AND($B348&lt;&gt;0,ExtraPayment&lt;=$B348),-ExtraPayment,-($F348)-$B348))</f>
        <v>0</v>
      </c>
      <c r="E348" s="5">
        <f>IF($B348 &lt;= 0, 0, -ROUND($B348 * (InterestRate / PaymentsPerYear), 2))</f>
        <v>0</v>
      </c>
      <c r="F348" s="5">
        <f>ROUND(IFERROR(IF(OR($B348 &lt;=0, $B348 = ExtraPayment),0,
MAX(-$B348, -(-PMT(InterestRate/PaymentsPerYear,LoanTerm*PaymentsPerYear,LoanAmount) + $E348))), 0), 2)</f>
        <v>0</v>
      </c>
      <c r="G348" s="5">
        <f t="shared" si="22"/>
        <v>0</v>
      </c>
      <c r="H348" s="5">
        <f t="shared" si="23"/>
        <v>0</v>
      </c>
    </row>
    <row r="349" spans="1:8" x14ac:dyDescent="0.2">
      <c r="A349" s="2">
        <v>348</v>
      </c>
      <c r="B349" s="5">
        <f t="shared" si="20"/>
        <v>0</v>
      </c>
      <c r="C349" s="5">
        <f t="shared" si="21"/>
        <v>0</v>
      </c>
      <c r="D349" s="5">
        <f>IF(ExtraPayment=0, 0, IF(AND($B349&lt;&gt;0,ExtraPayment&lt;=$B349),-ExtraPayment,-($F349)-$B349))</f>
        <v>0</v>
      </c>
      <c r="E349" s="5">
        <f>IF($B349 &lt;= 0, 0, -ROUND($B349 * (InterestRate / PaymentsPerYear), 2))</f>
        <v>0</v>
      </c>
      <c r="F349" s="5">
        <f>ROUND(IFERROR(IF(OR($B349 &lt;=0, $B349 = ExtraPayment),0,
MAX(-$B349, -(-PMT(InterestRate/PaymentsPerYear,LoanTerm*PaymentsPerYear,LoanAmount) + $E349))), 0), 2)</f>
        <v>0</v>
      </c>
      <c r="G349" s="5">
        <f t="shared" si="22"/>
        <v>0</v>
      </c>
      <c r="H349" s="5">
        <f t="shared" si="23"/>
        <v>0</v>
      </c>
    </row>
    <row r="350" spans="1:8" x14ac:dyDescent="0.2">
      <c r="A350" s="2">
        <v>349</v>
      </c>
      <c r="B350" s="5">
        <f t="shared" si="20"/>
        <v>0</v>
      </c>
      <c r="C350" s="5">
        <f t="shared" si="21"/>
        <v>0</v>
      </c>
      <c r="D350" s="5">
        <f>IF(ExtraPayment=0, 0, IF(AND($B350&lt;&gt;0,ExtraPayment&lt;=$B350),-ExtraPayment,-($F350)-$B350))</f>
        <v>0</v>
      </c>
      <c r="E350" s="5">
        <f>IF($B350 &lt;= 0, 0, -ROUND($B350 * (InterestRate / PaymentsPerYear), 2))</f>
        <v>0</v>
      </c>
      <c r="F350" s="5">
        <f>ROUND(IFERROR(IF(OR($B350 &lt;=0, $B350 = ExtraPayment),0,
MAX(-$B350, -(-PMT(InterestRate/PaymentsPerYear,LoanTerm*PaymentsPerYear,LoanAmount) + $E350))), 0), 2)</f>
        <v>0</v>
      </c>
      <c r="G350" s="5">
        <f t="shared" si="22"/>
        <v>0</v>
      </c>
      <c r="H350" s="5">
        <f t="shared" si="23"/>
        <v>0</v>
      </c>
    </row>
    <row r="351" spans="1:8" x14ac:dyDescent="0.2">
      <c r="A351" s="2">
        <v>350</v>
      </c>
      <c r="B351" s="5">
        <f t="shared" si="20"/>
        <v>0</v>
      </c>
      <c r="C351" s="5">
        <f t="shared" si="21"/>
        <v>0</v>
      </c>
      <c r="D351" s="5">
        <f>IF(ExtraPayment=0, 0, IF(AND($B351&lt;&gt;0,ExtraPayment&lt;=$B351),-ExtraPayment,-($F351)-$B351))</f>
        <v>0</v>
      </c>
      <c r="E351" s="5">
        <f>IF($B351 &lt;= 0, 0, -ROUND($B351 * (InterestRate / PaymentsPerYear), 2))</f>
        <v>0</v>
      </c>
      <c r="F351" s="5">
        <f>ROUND(IFERROR(IF(OR($B351 &lt;=0, $B351 = ExtraPayment),0,
MAX(-$B351, -(-PMT(InterestRate/PaymentsPerYear,LoanTerm*PaymentsPerYear,LoanAmount) + $E351))), 0), 2)</f>
        <v>0</v>
      </c>
      <c r="G351" s="5">
        <f t="shared" si="22"/>
        <v>0</v>
      </c>
      <c r="H351" s="5">
        <f t="shared" si="23"/>
        <v>0</v>
      </c>
    </row>
    <row r="352" spans="1:8" x14ac:dyDescent="0.2">
      <c r="A352" s="2">
        <v>351</v>
      </c>
      <c r="B352" s="5">
        <f t="shared" si="20"/>
        <v>0</v>
      </c>
      <c r="C352" s="5">
        <f t="shared" si="21"/>
        <v>0</v>
      </c>
      <c r="D352" s="5">
        <f>IF(ExtraPayment=0, 0, IF(AND($B352&lt;&gt;0,ExtraPayment&lt;=$B352),-ExtraPayment,-($F352)-$B352))</f>
        <v>0</v>
      </c>
      <c r="E352" s="5">
        <f>IF($B352 &lt;= 0, 0, -ROUND($B352 * (InterestRate / PaymentsPerYear), 2))</f>
        <v>0</v>
      </c>
      <c r="F352" s="5">
        <f>ROUND(IFERROR(IF(OR($B352 &lt;=0, $B352 = ExtraPayment),0,
MAX(-$B352, -(-PMT(InterestRate/PaymentsPerYear,LoanTerm*PaymentsPerYear,LoanAmount) + $E352))), 0), 2)</f>
        <v>0</v>
      </c>
      <c r="G352" s="5">
        <f t="shared" si="22"/>
        <v>0</v>
      </c>
      <c r="H352" s="5">
        <f t="shared" si="23"/>
        <v>0</v>
      </c>
    </row>
    <row r="353" spans="1:8" x14ac:dyDescent="0.2">
      <c r="A353" s="2">
        <v>352</v>
      </c>
      <c r="B353" s="5">
        <f t="shared" si="20"/>
        <v>0</v>
      </c>
      <c r="C353" s="5">
        <f t="shared" si="21"/>
        <v>0</v>
      </c>
      <c r="D353" s="5">
        <f>IF(ExtraPayment=0, 0, IF(AND($B353&lt;&gt;0,ExtraPayment&lt;=$B353),-ExtraPayment,-($F353)-$B353))</f>
        <v>0</v>
      </c>
      <c r="E353" s="5">
        <f>IF($B353 &lt;= 0, 0, -ROUND($B353 * (InterestRate / PaymentsPerYear), 2))</f>
        <v>0</v>
      </c>
      <c r="F353" s="5">
        <f>ROUND(IFERROR(IF(OR($B353 &lt;=0, $B353 = ExtraPayment),0,
MAX(-$B353, -(-PMT(InterestRate/PaymentsPerYear,LoanTerm*PaymentsPerYear,LoanAmount) + $E353))), 0), 2)</f>
        <v>0</v>
      </c>
      <c r="G353" s="5">
        <f t="shared" si="22"/>
        <v>0</v>
      </c>
      <c r="H353" s="5">
        <f t="shared" si="23"/>
        <v>0</v>
      </c>
    </row>
    <row r="354" spans="1:8" x14ac:dyDescent="0.2">
      <c r="A354" s="2">
        <v>353</v>
      </c>
      <c r="B354" s="5">
        <f t="shared" si="20"/>
        <v>0</v>
      </c>
      <c r="C354" s="5">
        <f t="shared" si="21"/>
        <v>0</v>
      </c>
      <c r="D354" s="5">
        <f>IF(ExtraPayment=0, 0, IF(AND($B354&lt;&gt;0,ExtraPayment&lt;=$B354),-ExtraPayment,-($F354)-$B354))</f>
        <v>0</v>
      </c>
      <c r="E354" s="5">
        <f>IF($B354 &lt;= 0, 0, -ROUND($B354 * (InterestRate / PaymentsPerYear), 2))</f>
        <v>0</v>
      </c>
      <c r="F354" s="5">
        <f>ROUND(IFERROR(IF(OR($B354 &lt;=0, $B354 = ExtraPayment),0,
MAX(-$B354, -(-PMT(InterestRate/PaymentsPerYear,LoanTerm*PaymentsPerYear,LoanAmount) + $E354))), 0), 2)</f>
        <v>0</v>
      </c>
      <c r="G354" s="5">
        <f t="shared" si="22"/>
        <v>0</v>
      </c>
      <c r="H354" s="5">
        <f t="shared" si="23"/>
        <v>0</v>
      </c>
    </row>
    <row r="355" spans="1:8" x14ac:dyDescent="0.2">
      <c r="A355" s="2">
        <v>354</v>
      </c>
      <c r="B355" s="5">
        <f t="shared" si="20"/>
        <v>0</v>
      </c>
      <c r="C355" s="5">
        <f t="shared" si="21"/>
        <v>0</v>
      </c>
      <c r="D355" s="5">
        <f>IF(ExtraPayment=0, 0, IF(AND($B355&lt;&gt;0,ExtraPayment&lt;=$B355),-ExtraPayment,-($F355)-$B355))</f>
        <v>0</v>
      </c>
      <c r="E355" s="5">
        <f>IF($B355 &lt;= 0, 0, -ROUND($B355 * (InterestRate / PaymentsPerYear), 2))</f>
        <v>0</v>
      </c>
      <c r="F355" s="5">
        <f>ROUND(IFERROR(IF(OR($B355 &lt;=0, $B355 = ExtraPayment),0,
MAX(-$B355, -(-PMT(InterestRate/PaymentsPerYear,LoanTerm*PaymentsPerYear,LoanAmount) + $E355))), 0), 2)</f>
        <v>0</v>
      </c>
      <c r="G355" s="5">
        <f t="shared" si="22"/>
        <v>0</v>
      </c>
      <c r="H355" s="5">
        <f t="shared" si="23"/>
        <v>0</v>
      </c>
    </row>
    <row r="356" spans="1:8" x14ac:dyDescent="0.2">
      <c r="A356" s="2">
        <v>355</v>
      </c>
      <c r="B356" s="5">
        <f t="shared" si="20"/>
        <v>0</v>
      </c>
      <c r="C356" s="5">
        <f t="shared" si="21"/>
        <v>0</v>
      </c>
      <c r="D356" s="5">
        <f>IF(ExtraPayment=0, 0, IF(AND($B356&lt;&gt;0,ExtraPayment&lt;=$B356),-ExtraPayment,-($F356)-$B356))</f>
        <v>0</v>
      </c>
      <c r="E356" s="5">
        <f>IF($B356 &lt;= 0, 0, -ROUND($B356 * (InterestRate / PaymentsPerYear), 2))</f>
        <v>0</v>
      </c>
      <c r="F356" s="5">
        <f>ROUND(IFERROR(IF(OR($B356 &lt;=0, $B356 = ExtraPayment),0,
MAX(-$B356, -(-PMT(InterestRate/PaymentsPerYear,LoanTerm*PaymentsPerYear,LoanAmount) + $E356))), 0), 2)</f>
        <v>0</v>
      </c>
      <c r="G356" s="5">
        <f t="shared" si="22"/>
        <v>0</v>
      </c>
      <c r="H356" s="5">
        <f t="shared" si="23"/>
        <v>0</v>
      </c>
    </row>
    <row r="357" spans="1:8" x14ac:dyDescent="0.2">
      <c r="A357" s="2">
        <v>356</v>
      </c>
      <c r="B357" s="5">
        <f t="shared" si="20"/>
        <v>0</v>
      </c>
      <c r="C357" s="5">
        <f t="shared" si="21"/>
        <v>0</v>
      </c>
      <c r="D357" s="5">
        <f>IF(ExtraPayment=0, 0, IF(AND($B357&lt;&gt;0,ExtraPayment&lt;=$B357),-ExtraPayment,-($F357)-$B357))</f>
        <v>0</v>
      </c>
      <c r="E357" s="5">
        <f>IF($B357 &lt;= 0, 0, -ROUND($B357 * (InterestRate / PaymentsPerYear), 2))</f>
        <v>0</v>
      </c>
      <c r="F357" s="5">
        <f>ROUND(IFERROR(IF(OR($B357 &lt;=0, $B357 = ExtraPayment),0,
MAX(-$B357, -(-PMT(InterestRate/PaymentsPerYear,LoanTerm*PaymentsPerYear,LoanAmount) + $E357))), 0), 2)</f>
        <v>0</v>
      </c>
      <c r="G357" s="5">
        <f t="shared" si="22"/>
        <v>0</v>
      </c>
      <c r="H357" s="5">
        <f t="shared" si="23"/>
        <v>0</v>
      </c>
    </row>
    <row r="358" spans="1:8" x14ac:dyDescent="0.2">
      <c r="A358" s="2">
        <v>357</v>
      </c>
      <c r="B358" s="5">
        <f t="shared" si="20"/>
        <v>0</v>
      </c>
      <c r="C358" s="5">
        <f t="shared" si="21"/>
        <v>0</v>
      </c>
      <c r="D358" s="5">
        <f>IF(ExtraPayment=0, 0, IF(AND($B358&lt;&gt;0,ExtraPayment&lt;=$B358),-ExtraPayment,-($F358)-$B358))</f>
        <v>0</v>
      </c>
      <c r="E358" s="5">
        <f>IF($B358 &lt;= 0, 0, -ROUND($B358 * (InterestRate / PaymentsPerYear), 2))</f>
        <v>0</v>
      </c>
      <c r="F358" s="5">
        <f>ROUND(IFERROR(IF(OR($B358 &lt;=0, $B358 = ExtraPayment),0,
MAX(-$B358, -(-PMT(InterestRate/PaymentsPerYear,LoanTerm*PaymentsPerYear,LoanAmount) + $E358))), 0), 2)</f>
        <v>0</v>
      </c>
      <c r="G358" s="5">
        <f t="shared" si="22"/>
        <v>0</v>
      </c>
      <c r="H358" s="5">
        <f t="shared" si="23"/>
        <v>0</v>
      </c>
    </row>
    <row r="359" spans="1:8" x14ac:dyDescent="0.2">
      <c r="A359" s="2">
        <v>358</v>
      </c>
      <c r="B359" s="5">
        <f t="shared" si="20"/>
        <v>0</v>
      </c>
      <c r="C359" s="5">
        <f t="shared" si="21"/>
        <v>0</v>
      </c>
      <c r="D359" s="5">
        <f>IF(ExtraPayment=0, 0, IF(AND($B359&lt;&gt;0,ExtraPayment&lt;=$B359),-ExtraPayment,-($F359)-$B359))</f>
        <v>0</v>
      </c>
      <c r="E359" s="5">
        <f>IF($B359 &lt;= 0, 0, -ROUND($B359 * (InterestRate / PaymentsPerYear), 2))</f>
        <v>0</v>
      </c>
      <c r="F359" s="5">
        <f>ROUND(IFERROR(IF(OR($B359 &lt;=0, $B359 = ExtraPayment),0,
MAX(-$B359, -(-PMT(InterestRate/PaymentsPerYear,LoanTerm*PaymentsPerYear,LoanAmount) + $E359))), 0), 2)</f>
        <v>0</v>
      </c>
      <c r="G359" s="5">
        <f t="shared" si="22"/>
        <v>0</v>
      </c>
      <c r="H359" s="5">
        <f t="shared" si="23"/>
        <v>0</v>
      </c>
    </row>
    <row r="360" spans="1:8" x14ac:dyDescent="0.2">
      <c r="A360" s="2">
        <v>359</v>
      </c>
      <c r="B360" s="5">
        <f t="shared" si="20"/>
        <v>0</v>
      </c>
      <c r="C360" s="5">
        <f t="shared" si="21"/>
        <v>0</v>
      </c>
      <c r="D360" s="5">
        <f>IF(ExtraPayment=0, 0, IF(AND($B360&lt;&gt;0,ExtraPayment&lt;=$B360),-ExtraPayment,-($F360)-$B360))</f>
        <v>0</v>
      </c>
      <c r="E360" s="5">
        <f>IF($B360 &lt;= 0, 0, -ROUND($B360 * (InterestRate / PaymentsPerYear), 2))</f>
        <v>0</v>
      </c>
      <c r="F360" s="5">
        <f>ROUND(IFERROR(IF(OR($B360 &lt;=0, $B360 = ExtraPayment),0,
MAX(-$B360, -(-PMT(InterestRate/PaymentsPerYear,LoanTerm*PaymentsPerYear,LoanAmount) + $E360))), 0), 2)</f>
        <v>0</v>
      </c>
      <c r="G360" s="5">
        <f t="shared" si="22"/>
        <v>0</v>
      </c>
      <c r="H360" s="5">
        <f t="shared" si="23"/>
        <v>0</v>
      </c>
    </row>
    <row r="361" spans="1:8" x14ac:dyDescent="0.2">
      <c r="A361" s="2">
        <v>360</v>
      </c>
      <c r="B361" s="5">
        <f t="shared" si="20"/>
        <v>0</v>
      </c>
      <c r="C361" s="5">
        <f t="shared" si="21"/>
        <v>0</v>
      </c>
      <c r="D361" s="5">
        <f>IF(ExtraPayment=0, 0, IF(AND($B361&lt;&gt;0,ExtraPayment&lt;=$B361),-ExtraPayment,-($F361)-$B361))</f>
        <v>0</v>
      </c>
      <c r="E361" s="5">
        <f>IF($B361 &lt;= 0, 0, -ROUND($B361 * (InterestRate / PaymentsPerYear), 2))</f>
        <v>0</v>
      </c>
      <c r="F361" s="5">
        <f>ROUND(IFERROR(IF(OR($B361 &lt;=0, $B361 = ExtraPayment),0,
MAX(-$B361, -(-PMT(InterestRate/PaymentsPerYear,LoanTerm*PaymentsPerYear,LoanAmount) + $E361))), 0), 2)</f>
        <v>0</v>
      </c>
      <c r="G361" s="5">
        <f t="shared" si="22"/>
        <v>0</v>
      </c>
      <c r="H361" s="5">
        <f t="shared" si="23"/>
        <v>0</v>
      </c>
    </row>
    <row r="362" spans="1:8" x14ac:dyDescent="0.2">
      <c r="A362" s="2">
        <v>361</v>
      </c>
      <c r="B362" s="5">
        <f t="shared" si="20"/>
        <v>0</v>
      </c>
      <c r="C362" s="5">
        <f t="shared" si="21"/>
        <v>0</v>
      </c>
      <c r="D362" s="5">
        <f>IF(ExtraPayment=0, 0, IF(AND($B362&lt;&gt;0,ExtraPayment&lt;=$B362),-ExtraPayment,-($F362)-$B362))</f>
        <v>0</v>
      </c>
      <c r="E362" s="5">
        <f>IF($B362 &lt;= 0, 0, -ROUND($B362 * (InterestRate / PaymentsPerYear), 2))</f>
        <v>0</v>
      </c>
      <c r="F362" s="5">
        <f>ROUND(IFERROR(IF(OR($B362 &lt;=0, $B362 = ExtraPayment),0,
MAX(-$B362, -(-PMT(InterestRate/PaymentsPerYear,LoanTerm*PaymentsPerYear,LoanAmount) + $E362))), 0), 2)</f>
        <v>0</v>
      </c>
      <c r="G362" s="5">
        <f t="shared" si="22"/>
        <v>0</v>
      </c>
      <c r="H362" s="5">
        <f t="shared" si="23"/>
        <v>0</v>
      </c>
    </row>
    <row r="363" spans="1:8" x14ac:dyDescent="0.2">
      <c r="A363" s="2">
        <v>362</v>
      </c>
      <c r="B363" s="5">
        <f t="shared" si="20"/>
        <v>0</v>
      </c>
      <c r="C363" s="5">
        <f t="shared" si="21"/>
        <v>0</v>
      </c>
      <c r="D363" s="5">
        <f>IF(ExtraPayment=0, 0, IF(AND($B363&lt;&gt;0,ExtraPayment&lt;=$B363),-ExtraPayment,-($F363)-$B363))</f>
        <v>0</v>
      </c>
      <c r="E363" s="5">
        <f>IF($B363 &lt;= 0, 0, -ROUND($B363 * (InterestRate / PaymentsPerYear), 2))</f>
        <v>0</v>
      </c>
      <c r="F363" s="5">
        <f>ROUND(IFERROR(IF(OR($B363 &lt;=0, $B363 = ExtraPayment),0,
MAX(-$B363, -(-PMT(InterestRate/PaymentsPerYear,LoanTerm*PaymentsPerYear,LoanAmount) + $E363))), 0), 2)</f>
        <v>0</v>
      </c>
      <c r="G363" s="5">
        <f t="shared" si="22"/>
        <v>0</v>
      </c>
      <c r="H363" s="5">
        <f t="shared" si="23"/>
        <v>0</v>
      </c>
    </row>
    <row r="364" spans="1:8" x14ac:dyDescent="0.2">
      <c r="A364" s="2">
        <v>363</v>
      </c>
      <c r="B364" s="5">
        <f t="shared" si="20"/>
        <v>0</v>
      </c>
      <c r="C364" s="5">
        <f t="shared" si="21"/>
        <v>0</v>
      </c>
      <c r="D364" s="5">
        <f>IF(ExtraPayment=0, 0, IF(AND($B364&lt;&gt;0,ExtraPayment&lt;=$B364),-ExtraPayment,-($F364)-$B364))</f>
        <v>0</v>
      </c>
      <c r="E364" s="5">
        <f>IF($B364 &lt;= 0, 0, -ROUND($B364 * (InterestRate / PaymentsPerYear), 2))</f>
        <v>0</v>
      </c>
      <c r="F364" s="5">
        <f>ROUND(IFERROR(IF(OR($B364 &lt;=0, $B364 = ExtraPayment),0,
MAX(-$B364, -(-PMT(InterestRate/PaymentsPerYear,LoanTerm*PaymentsPerYear,LoanAmount) + $E364))), 0), 2)</f>
        <v>0</v>
      </c>
      <c r="G364" s="5">
        <f t="shared" si="22"/>
        <v>0</v>
      </c>
      <c r="H364" s="5">
        <f t="shared" si="23"/>
        <v>0</v>
      </c>
    </row>
    <row r="365" spans="1:8" x14ac:dyDescent="0.2">
      <c r="A365" s="2">
        <v>364</v>
      </c>
      <c r="B365" s="5">
        <f t="shared" si="20"/>
        <v>0</v>
      </c>
      <c r="C365" s="5">
        <f t="shared" si="21"/>
        <v>0</v>
      </c>
      <c r="D365" s="5">
        <f>IF(ExtraPayment=0, 0, IF(AND($B365&lt;&gt;0,ExtraPayment&lt;=$B365),-ExtraPayment,-($F365)-$B365))</f>
        <v>0</v>
      </c>
      <c r="E365" s="5">
        <f>IF($B365 &lt;= 0, 0, -ROUND($B365 * (InterestRate / PaymentsPerYear), 2))</f>
        <v>0</v>
      </c>
      <c r="F365" s="5">
        <f>ROUND(IFERROR(IF(OR($B365 &lt;=0, $B365 = ExtraPayment),0,
MAX(-$B365, -(-PMT(InterestRate/PaymentsPerYear,LoanTerm*PaymentsPerYear,LoanAmount) + $E365))), 0), 2)</f>
        <v>0</v>
      </c>
      <c r="G365" s="5">
        <f t="shared" si="22"/>
        <v>0</v>
      </c>
      <c r="H365" s="5">
        <f t="shared" si="23"/>
        <v>0</v>
      </c>
    </row>
    <row r="366" spans="1:8" x14ac:dyDescent="0.2">
      <c r="A366" s="2">
        <v>365</v>
      </c>
      <c r="B366" s="5">
        <f t="shared" si="20"/>
        <v>0</v>
      </c>
      <c r="C366" s="5">
        <f t="shared" si="21"/>
        <v>0</v>
      </c>
      <c r="D366" s="5">
        <f>IF(ExtraPayment=0, 0, IF(AND($B366&lt;&gt;0,ExtraPayment&lt;=$B366),-ExtraPayment,-($F366)-$B366))</f>
        <v>0</v>
      </c>
      <c r="E366" s="5">
        <f>IF($B366 &lt;= 0, 0, -ROUND($B366 * (InterestRate / PaymentsPerYear), 2))</f>
        <v>0</v>
      </c>
      <c r="F366" s="5">
        <f>ROUND(IFERROR(IF(OR($B366 &lt;=0, $B366 = ExtraPayment),0,
MAX(-$B366, -(-PMT(InterestRate/PaymentsPerYear,LoanTerm*PaymentsPerYear,LoanAmount) + $E366))), 0), 2)</f>
        <v>0</v>
      </c>
      <c r="G366" s="5">
        <f t="shared" si="22"/>
        <v>0</v>
      </c>
      <c r="H366" s="5">
        <f t="shared" si="23"/>
        <v>0</v>
      </c>
    </row>
    <row r="367" spans="1:8" x14ac:dyDescent="0.2">
      <c r="A367" s="2">
        <v>366</v>
      </c>
      <c r="B367" s="5">
        <f t="shared" si="20"/>
        <v>0</v>
      </c>
      <c r="C367" s="5">
        <f t="shared" si="21"/>
        <v>0</v>
      </c>
      <c r="D367" s="5">
        <f>IF(ExtraPayment=0, 0, IF(AND($B367&lt;&gt;0,ExtraPayment&lt;=$B367),-ExtraPayment,-($F367)-$B367))</f>
        <v>0</v>
      </c>
      <c r="E367" s="5">
        <f>IF($B367 &lt;= 0, 0, -ROUND($B367 * (InterestRate / PaymentsPerYear), 2))</f>
        <v>0</v>
      </c>
      <c r="F367" s="5">
        <f>ROUND(IFERROR(IF(OR($B367 &lt;=0, $B367 = ExtraPayment),0,
MAX(-$B367, -(-PMT(InterestRate/PaymentsPerYear,LoanTerm*PaymentsPerYear,LoanAmount) + $E367))), 0), 2)</f>
        <v>0</v>
      </c>
      <c r="G367" s="5">
        <f t="shared" si="22"/>
        <v>0</v>
      </c>
      <c r="H367" s="5">
        <f t="shared" si="23"/>
        <v>0</v>
      </c>
    </row>
    <row r="368" spans="1:8" x14ac:dyDescent="0.2">
      <c r="A368" s="2">
        <v>367</v>
      </c>
      <c r="B368" s="5">
        <f t="shared" si="20"/>
        <v>0</v>
      </c>
      <c r="C368" s="5">
        <f t="shared" si="21"/>
        <v>0</v>
      </c>
      <c r="D368" s="5">
        <f>IF(ExtraPayment=0, 0, IF(AND($B368&lt;&gt;0,ExtraPayment&lt;=$B368),-ExtraPayment,-($F368)-$B368))</f>
        <v>0</v>
      </c>
      <c r="E368" s="5">
        <f>IF($B368 &lt;= 0, 0, -ROUND($B368 * (InterestRate / PaymentsPerYear), 2))</f>
        <v>0</v>
      </c>
      <c r="F368" s="5">
        <f>ROUND(IFERROR(IF(OR($B368 &lt;=0, $B368 = ExtraPayment),0,
MAX(-$B368, -(-PMT(InterestRate/PaymentsPerYear,LoanTerm*PaymentsPerYear,LoanAmount) + $E368))), 0), 2)</f>
        <v>0</v>
      </c>
      <c r="G368" s="5">
        <f t="shared" si="22"/>
        <v>0</v>
      </c>
      <c r="H368" s="5">
        <f t="shared" si="23"/>
        <v>0</v>
      </c>
    </row>
    <row r="369" spans="1:8" x14ac:dyDescent="0.2">
      <c r="A369" s="2">
        <v>368</v>
      </c>
      <c r="B369" s="5">
        <f t="shared" si="20"/>
        <v>0</v>
      </c>
      <c r="C369" s="5">
        <f t="shared" si="21"/>
        <v>0</v>
      </c>
      <c r="D369" s="5">
        <f>IF(ExtraPayment=0, 0, IF(AND($B369&lt;&gt;0,ExtraPayment&lt;=$B369),-ExtraPayment,-($F369)-$B369))</f>
        <v>0</v>
      </c>
      <c r="E369" s="5">
        <f>IF($B369 &lt;= 0, 0, -ROUND($B369 * (InterestRate / PaymentsPerYear), 2))</f>
        <v>0</v>
      </c>
      <c r="F369" s="5">
        <f>ROUND(IFERROR(IF(OR($B369 &lt;=0, $B369 = ExtraPayment),0,
MAX(-$B369, -(-PMT(InterestRate/PaymentsPerYear,LoanTerm*PaymentsPerYear,LoanAmount) + $E369))), 0), 2)</f>
        <v>0</v>
      </c>
      <c r="G369" s="5">
        <f t="shared" si="22"/>
        <v>0</v>
      </c>
      <c r="H369" s="5">
        <f t="shared" si="23"/>
        <v>0</v>
      </c>
    </row>
    <row r="370" spans="1:8" x14ac:dyDescent="0.2">
      <c r="A370" s="2">
        <v>369</v>
      </c>
      <c r="B370" s="5">
        <f t="shared" si="20"/>
        <v>0</v>
      </c>
      <c r="C370" s="5">
        <f t="shared" si="21"/>
        <v>0</v>
      </c>
      <c r="D370" s="5">
        <f>IF(ExtraPayment=0, 0, IF(AND($B370&lt;&gt;0,ExtraPayment&lt;=$B370),-ExtraPayment,-($F370)-$B370))</f>
        <v>0</v>
      </c>
      <c r="E370" s="5">
        <f>IF($B370 &lt;= 0, 0, -ROUND($B370 * (InterestRate / PaymentsPerYear), 2))</f>
        <v>0</v>
      </c>
      <c r="F370" s="5">
        <f>ROUND(IFERROR(IF(OR($B370 &lt;=0, $B370 = ExtraPayment),0,
MAX(-$B370, -(-PMT(InterestRate/PaymentsPerYear,LoanTerm*PaymentsPerYear,LoanAmount) + $E370))), 0), 2)</f>
        <v>0</v>
      </c>
      <c r="G370" s="5">
        <f t="shared" si="22"/>
        <v>0</v>
      </c>
      <c r="H370" s="5">
        <f t="shared" si="23"/>
        <v>0</v>
      </c>
    </row>
    <row r="371" spans="1:8" x14ac:dyDescent="0.2">
      <c r="A371" s="2">
        <v>370</v>
      </c>
      <c r="B371" s="5">
        <f t="shared" si="20"/>
        <v>0</v>
      </c>
      <c r="C371" s="5">
        <f t="shared" si="21"/>
        <v>0</v>
      </c>
      <c r="D371" s="5">
        <f>IF(ExtraPayment=0, 0, IF(AND($B371&lt;&gt;0,ExtraPayment&lt;=$B371),-ExtraPayment,-($F371)-$B371))</f>
        <v>0</v>
      </c>
      <c r="E371" s="5">
        <f>IF($B371 &lt;= 0, 0, -ROUND($B371 * (InterestRate / PaymentsPerYear), 2))</f>
        <v>0</v>
      </c>
      <c r="F371" s="5">
        <f>ROUND(IFERROR(IF(OR($B371 &lt;=0, $B371 = ExtraPayment),0,
MAX(-$B371, -(-PMT(InterestRate/PaymentsPerYear,LoanTerm*PaymentsPerYear,LoanAmount) + $E371))), 0), 2)</f>
        <v>0</v>
      </c>
      <c r="G371" s="5">
        <f t="shared" si="22"/>
        <v>0</v>
      </c>
      <c r="H371" s="5">
        <f t="shared" si="23"/>
        <v>0</v>
      </c>
    </row>
    <row r="372" spans="1:8" x14ac:dyDescent="0.2">
      <c r="A372" s="2">
        <v>371</v>
      </c>
      <c r="B372" s="5">
        <f t="shared" si="20"/>
        <v>0</v>
      </c>
      <c r="C372" s="5">
        <f t="shared" si="21"/>
        <v>0</v>
      </c>
      <c r="D372" s="5">
        <f>IF(ExtraPayment=0, 0, IF(AND($B372&lt;&gt;0,ExtraPayment&lt;=$B372),-ExtraPayment,-($F372)-$B372))</f>
        <v>0</v>
      </c>
      <c r="E372" s="5">
        <f>IF($B372 &lt;= 0, 0, -ROUND($B372 * (InterestRate / PaymentsPerYear), 2))</f>
        <v>0</v>
      </c>
      <c r="F372" s="5">
        <f>ROUND(IFERROR(IF(OR($B372 &lt;=0, $B372 = ExtraPayment),0,
MAX(-$B372, -(-PMT(InterestRate/PaymentsPerYear,LoanTerm*PaymentsPerYear,LoanAmount) + $E372))), 0), 2)</f>
        <v>0</v>
      </c>
      <c r="G372" s="5">
        <f t="shared" si="22"/>
        <v>0</v>
      </c>
      <c r="H372" s="5">
        <f t="shared" si="23"/>
        <v>0</v>
      </c>
    </row>
    <row r="373" spans="1:8" x14ac:dyDescent="0.2">
      <c r="A373" s="2">
        <v>372</v>
      </c>
      <c r="B373" s="5">
        <f t="shared" si="20"/>
        <v>0</v>
      </c>
      <c r="C373" s="5">
        <f t="shared" si="21"/>
        <v>0</v>
      </c>
      <c r="D373" s="5">
        <f>IF(ExtraPayment=0, 0, IF(AND($B373&lt;&gt;0,ExtraPayment&lt;=$B373),-ExtraPayment,-($F373)-$B373))</f>
        <v>0</v>
      </c>
      <c r="E373" s="5">
        <f>IF($B373 &lt;= 0, 0, -ROUND($B373 * (InterestRate / PaymentsPerYear), 2))</f>
        <v>0</v>
      </c>
      <c r="F373" s="5">
        <f>ROUND(IFERROR(IF(OR($B373 &lt;=0, $B373 = ExtraPayment),0,
MAX(-$B373, -(-PMT(InterestRate/PaymentsPerYear,LoanTerm*PaymentsPerYear,LoanAmount) + $E373))), 0), 2)</f>
        <v>0</v>
      </c>
      <c r="G373" s="5">
        <f t="shared" si="22"/>
        <v>0</v>
      </c>
      <c r="H373" s="5">
        <f t="shared" si="23"/>
        <v>0</v>
      </c>
    </row>
    <row r="374" spans="1:8" x14ac:dyDescent="0.2">
      <c r="A374" s="2">
        <v>373</v>
      </c>
      <c r="B374" s="5">
        <f t="shared" si="20"/>
        <v>0</v>
      </c>
      <c r="C374" s="5">
        <f t="shared" si="21"/>
        <v>0</v>
      </c>
      <c r="D374" s="5">
        <f>IF(ExtraPayment=0, 0, IF(AND($B374&lt;&gt;0,ExtraPayment&lt;=$B374),-ExtraPayment,-($F374)-$B374))</f>
        <v>0</v>
      </c>
      <c r="E374" s="5">
        <f>IF($B374 &lt;= 0, 0, -ROUND($B374 * (InterestRate / PaymentsPerYear), 2))</f>
        <v>0</v>
      </c>
      <c r="F374" s="5">
        <f>ROUND(IFERROR(IF(OR($B374 &lt;=0, $B374 = ExtraPayment),0,
MAX(-$B374, -(-PMT(InterestRate/PaymentsPerYear,LoanTerm*PaymentsPerYear,LoanAmount) + $E374))), 0), 2)</f>
        <v>0</v>
      </c>
      <c r="G374" s="5">
        <f t="shared" si="22"/>
        <v>0</v>
      </c>
      <c r="H374" s="5">
        <f t="shared" si="23"/>
        <v>0</v>
      </c>
    </row>
    <row r="375" spans="1:8" x14ac:dyDescent="0.2">
      <c r="A375" s="2">
        <v>374</v>
      </c>
      <c r="B375" s="5">
        <f t="shared" si="20"/>
        <v>0</v>
      </c>
      <c r="C375" s="5">
        <f t="shared" si="21"/>
        <v>0</v>
      </c>
      <c r="D375" s="5">
        <f>IF(ExtraPayment=0, 0, IF(AND($B375&lt;&gt;0,ExtraPayment&lt;=$B375),-ExtraPayment,-($F375)-$B375))</f>
        <v>0</v>
      </c>
      <c r="E375" s="5">
        <f>IF($B375 &lt;= 0, 0, -ROUND($B375 * (InterestRate / PaymentsPerYear), 2))</f>
        <v>0</v>
      </c>
      <c r="F375" s="5">
        <f>ROUND(IFERROR(IF(OR($B375 &lt;=0, $B375 = ExtraPayment),0,
MAX(-$B375, -(-PMT(InterestRate/PaymentsPerYear,LoanTerm*PaymentsPerYear,LoanAmount) + $E375))), 0), 2)</f>
        <v>0</v>
      </c>
      <c r="G375" s="5">
        <f t="shared" si="22"/>
        <v>0</v>
      </c>
      <c r="H375" s="5">
        <f t="shared" si="23"/>
        <v>0</v>
      </c>
    </row>
    <row r="376" spans="1:8" x14ac:dyDescent="0.2">
      <c r="A376" s="2">
        <v>375</v>
      </c>
      <c r="B376" s="5">
        <f t="shared" si="20"/>
        <v>0</v>
      </c>
      <c r="C376" s="5">
        <f t="shared" si="21"/>
        <v>0</v>
      </c>
      <c r="D376" s="5">
        <f>IF(ExtraPayment=0, 0, IF(AND($B376&lt;&gt;0,ExtraPayment&lt;=$B376),-ExtraPayment,-($F376)-$B376))</f>
        <v>0</v>
      </c>
      <c r="E376" s="5">
        <f>IF($B376 &lt;= 0, 0, -ROUND($B376 * (InterestRate / PaymentsPerYear), 2))</f>
        <v>0</v>
      </c>
      <c r="F376" s="5">
        <f>ROUND(IFERROR(IF(OR($B376 &lt;=0, $B376 = ExtraPayment),0,
MAX(-$B376, -(-PMT(InterestRate/PaymentsPerYear,LoanTerm*PaymentsPerYear,LoanAmount) + $E376))), 0), 2)</f>
        <v>0</v>
      </c>
      <c r="G376" s="5">
        <f t="shared" si="22"/>
        <v>0</v>
      </c>
      <c r="H376" s="5">
        <f t="shared" si="23"/>
        <v>0</v>
      </c>
    </row>
    <row r="377" spans="1:8" x14ac:dyDescent="0.2">
      <c r="A377" s="2">
        <v>376</v>
      </c>
      <c r="B377" s="5">
        <f t="shared" si="20"/>
        <v>0</v>
      </c>
      <c r="C377" s="5">
        <f t="shared" si="21"/>
        <v>0</v>
      </c>
      <c r="D377" s="5">
        <f>IF(ExtraPayment=0, 0, IF(AND($B377&lt;&gt;0,ExtraPayment&lt;=$B377),-ExtraPayment,-($F377)-$B377))</f>
        <v>0</v>
      </c>
      <c r="E377" s="5">
        <f>IF($B377 &lt;= 0, 0, -ROUND($B377 * (InterestRate / PaymentsPerYear), 2))</f>
        <v>0</v>
      </c>
      <c r="F377" s="5">
        <f>ROUND(IFERROR(IF(OR($B377 &lt;=0, $B377 = ExtraPayment),0,
MAX(-$B377, -(-PMT(InterestRate/PaymentsPerYear,LoanTerm*PaymentsPerYear,LoanAmount) + $E377))), 0), 2)</f>
        <v>0</v>
      </c>
      <c r="G377" s="5">
        <f t="shared" si="22"/>
        <v>0</v>
      </c>
      <c r="H377" s="5">
        <f t="shared" si="23"/>
        <v>0</v>
      </c>
    </row>
    <row r="378" spans="1:8" x14ac:dyDescent="0.2">
      <c r="A378" s="2">
        <v>377</v>
      </c>
      <c r="B378" s="5">
        <f t="shared" si="20"/>
        <v>0</v>
      </c>
      <c r="C378" s="5">
        <f t="shared" si="21"/>
        <v>0</v>
      </c>
      <c r="D378" s="5">
        <f>IF(ExtraPayment=0, 0, IF(AND($B378&lt;&gt;0,ExtraPayment&lt;=$B378),-ExtraPayment,-($F378)-$B378))</f>
        <v>0</v>
      </c>
      <c r="E378" s="5">
        <f>IF($B378 &lt;= 0, 0, -ROUND($B378 * (InterestRate / PaymentsPerYear), 2))</f>
        <v>0</v>
      </c>
      <c r="F378" s="5">
        <f>ROUND(IFERROR(IF(OR($B378 &lt;=0, $B378 = ExtraPayment),0,
MAX(-$B378, -(-PMT(InterestRate/PaymentsPerYear,LoanTerm*PaymentsPerYear,LoanAmount) + $E378))), 0), 2)</f>
        <v>0</v>
      </c>
      <c r="G378" s="5">
        <f t="shared" si="22"/>
        <v>0</v>
      </c>
      <c r="H378" s="5">
        <f t="shared" si="23"/>
        <v>0</v>
      </c>
    </row>
    <row r="379" spans="1:8" x14ac:dyDescent="0.2">
      <c r="A379" s="2">
        <v>378</v>
      </c>
      <c r="B379" s="5">
        <f t="shared" si="20"/>
        <v>0</v>
      </c>
      <c r="C379" s="5">
        <f t="shared" si="21"/>
        <v>0</v>
      </c>
      <c r="D379" s="5">
        <f>IF(ExtraPayment=0, 0, IF(AND($B379&lt;&gt;0,ExtraPayment&lt;=$B379),-ExtraPayment,-($F379)-$B379))</f>
        <v>0</v>
      </c>
      <c r="E379" s="5">
        <f>IF($B379 &lt;= 0, 0, -ROUND($B379 * (InterestRate / PaymentsPerYear), 2))</f>
        <v>0</v>
      </c>
      <c r="F379" s="5">
        <f>ROUND(IFERROR(IF(OR($B379 &lt;=0, $B379 = ExtraPayment),0,
MAX(-$B379, -(-PMT(InterestRate/PaymentsPerYear,LoanTerm*PaymentsPerYear,LoanAmount) + $E379))), 0), 2)</f>
        <v>0</v>
      </c>
      <c r="G379" s="5">
        <f t="shared" si="22"/>
        <v>0</v>
      </c>
      <c r="H379" s="5">
        <f t="shared" si="23"/>
        <v>0</v>
      </c>
    </row>
    <row r="380" spans="1:8" x14ac:dyDescent="0.2">
      <c r="A380" s="2">
        <v>379</v>
      </c>
      <c r="B380" s="5">
        <f t="shared" si="20"/>
        <v>0</v>
      </c>
      <c r="C380" s="5">
        <f t="shared" si="21"/>
        <v>0</v>
      </c>
      <c r="D380" s="5">
        <f>IF(ExtraPayment=0, 0, IF(AND($B380&lt;&gt;0,ExtraPayment&lt;=$B380),-ExtraPayment,-($F380)-$B380))</f>
        <v>0</v>
      </c>
      <c r="E380" s="5">
        <f>IF($B380 &lt;= 0, 0, -ROUND($B380 * (InterestRate / PaymentsPerYear), 2))</f>
        <v>0</v>
      </c>
      <c r="F380" s="5">
        <f>ROUND(IFERROR(IF(OR($B380 &lt;=0, $B380 = ExtraPayment),0,
MAX(-$B380, -(-PMT(InterestRate/PaymentsPerYear,LoanTerm*PaymentsPerYear,LoanAmount) + $E380))), 0), 2)</f>
        <v>0</v>
      </c>
      <c r="G380" s="5">
        <f t="shared" si="22"/>
        <v>0</v>
      </c>
      <c r="H380" s="5">
        <f t="shared" si="23"/>
        <v>0</v>
      </c>
    </row>
    <row r="381" spans="1:8" x14ac:dyDescent="0.2">
      <c r="A381" s="2">
        <v>380</v>
      </c>
      <c r="B381" s="5">
        <f t="shared" si="20"/>
        <v>0</v>
      </c>
      <c r="C381" s="5">
        <f t="shared" si="21"/>
        <v>0</v>
      </c>
      <c r="D381" s="5">
        <f>IF(ExtraPayment=0, 0, IF(AND($B381&lt;&gt;0,ExtraPayment&lt;=$B381),-ExtraPayment,-($F381)-$B381))</f>
        <v>0</v>
      </c>
      <c r="E381" s="5">
        <f>IF($B381 &lt;= 0, 0, -ROUND($B381 * (InterestRate / PaymentsPerYear), 2))</f>
        <v>0</v>
      </c>
      <c r="F381" s="5">
        <f>ROUND(IFERROR(IF(OR($B381 &lt;=0, $B381 = ExtraPayment),0,
MAX(-$B381, -(-PMT(InterestRate/PaymentsPerYear,LoanTerm*PaymentsPerYear,LoanAmount) + $E381))), 0), 2)</f>
        <v>0</v>
      </c>
      <c r="G381" s="5">
        <f t="shared" si="22"/>
        <v>0</v>
      </c>
      <c r="H381" s="5">
        <f t="shared" si="23"/>
        <v>0</v>
      </c>
    </row>
    <row r="382" spans="1:8" x14ac:dyDescent="0.2">
      <c r="A382" s="2">
        <v>381</v>
      </c>
      <c r="B382" s="5">
        <f t="shared" si="20"/>
        <v>0</v>
      </c>
      <c r="C382" s="5">
        <f t="shared" si="21"/>
        <v>0</v>
      </c>
      <c r="D382" s="5">
        <f>IF(ExtraPayment=0, 0, IF(AND($B382&lt;&gt;0,ExtraPayment&lt;=$B382),-ExtraPayment,-($F382)-$B382))</f>
        <v>0</v>
      </c>
      <c r="E382" s="5">
        <f>IF($B382 &lt;= 0, 0, -ROUND($B382 * (InterestRate / PaymentsPerYear), 2))</f>
        <v>0</v>
      </c>
      <c r="F382" s="5">
        <f>ROUND(IFERROR(IF(OR($B382 &lt;=0, $B382 = ExtraPayment),0,
MAX(-$B382, -(-PMT(InterestRate/PaymentsPerYear,LoanTerm*PaymentsPerYear,LoanAmount) + $E382))), 0), 2)</f>
        <v>0</v>
      </c>
      <c r="G382" s="5">
        <f t="shared" si="22"/>
        <v>0</v>
      </c>
      <c r="H382" s="5">
        <f t="shared" si="23"/>
        <v>0</v>
      </c>
    </row>
    <row r="383" spans="1:8" x14ac:dyDescent="0.2">
      <c r="A383" s="2">
        <v>382</v>
      </c>
      <c r="B383" s="5">
        <f t="shared" si="20"/>
        <v>0</v>
      </c>
      <c r="C383" s="5">
        <f t="shared" si="21"/>
        <v>0</v>
      </c>
      <c r="D383" s="5">
        <f>IF(ExtraPayment=0, 0, IF(AND($B383&lt;&gt;0,ExtraPayment&lt;=$B383),-ExtraPayment,-($F383)-$B383))</f>
        <v>0</v>
      </c>
      <c r="E383" s="5">
        <f>IF($B383 &lt;= 0, 0, -ROUND($B383 * (InterestRate / PaymentsPerYear), 2))</f>
        <v>0</v>
      </c>
      <c r="F383" s="5">
        <f>ROUND(IFERROR(IF(OR($B383 &lt;=0, $B383 = ExtraPayment),0,
MAX(-$B383, -(-PMT(InterestRate/PaymentsPerYear,LoanTerm*PaymentsPerYear,LoanAmount) + $E383))), 0), 2)</f>
        <v>0</v>
      </c>
      <c r="G383" s="5">
        <f t="shared" si="22"/>
        <v>0</v>
      </c>
      <c r="H383" s="5">
        <f t="shared" si="23"/>
        <v>0</v>
      </c>
    </row>
    <row r="384" spans="1:8" x14ac:dyDescent="0.2">
      <c r="A384" s="2">
        <v>383</v>
      </c>
      <c r="B384" s="5">
        <f t="shared" si="20"/>
        <v>0</v>
      </c>
      <c r="C384" s="5">
        <f t="shared" si="21"/>
        <v>0</v>
      </c>
      <c r="D384" s="5">
        <f>IF(ExtraPayment=0, 0, IF(AND($B384&lt;&gt;0,ExtraPayment&lt;=$B384),-ExtraPayment,-($F384)-$B384))</f>
        <v>0</v>
      </c>
      <c r="E384" s="5">
        <f>IF($B384 &lt;= 0, 0, -ROUND($B384 * (InterestRate / PaymentsPerYear), 2))</f>
        <v>0</v>
      </c>
      <c r="F384" s="5">
        <f>ROUND(IFERROR(IF(OR($B384 &lt;=0, $B384 = ExtraPayment),0,
MAX(-$B384, -(-PMT(InterestRate/PaymentsPerYear,LoanTerm*PaymentsPerYear,LoanAmount) + $E384))), 0), 2)</f>
        <v>0</v>
      </c>
      <c r="G384" s="5">
        <f t="shared" si="22"/>
        <v>0</v>
      </c>
      <c r="H384" s="5">
        <f t="shared" si="23"/>
        <v>0</v>
      </c>
    </row>
    <row r="385" spans="1:8" x14ac:dyDescent="0.2">
      <c r="A385" s="2">
        <v>384</v>
      </c>
      <c r="B385" s="5">
        <f t="shared" si="20"/>
        <v>0</v>
      </c>
      <c r="C385" s="5">
        <f t="shared" si="21"/>
        <v>0</v>
      </c>
      <c r="D385" s="5">
        <f>IF(ExtraPayment=0, 0, IF(AND($B385&lt;&gt;0,ExtraPayment&lt;=$B385),-ExtraPayment,-($F385)-$B385))</f>
        <v>0</v>
      </c>
      <c r="E385" s="5">
        <f>IF($B385 &lt;= 0, 0, -ROUND($B385 * (InterestRate / PaymentsPerYear), 2))</f>
        <v>0</v>
      </c>
      <c r="F385" s="5">
        <f>ROUND(IFERROR(IF(OR($B385 &lt;=0, $B385 = ExtraPayment),0,
MAX(-$B385, -(-PMT(InterestRate/PaymentsPerYear,LoanTerm*PaymentsPerYear,LoanAmount) + $E385))), 0), 2)</f>
        <v>0</v>
      </c>
      <c r="G385" s="5">
        <f t="shared" si="22"/>
        <v>0</v>
      </c>
      <c r="H385" s="5">
        <f t="shared" si="23"/>
        <v>0</v>
      </c>
    </row>
    <row r="386" spans="1:8" x14ac:dyDescent="0.2">
      <c r="A386" s="2">
        <v>385</v>
      </c>
      <c r="B386" s="5">
        <f t="shared" si="20"/>
        <v>0</v>
      </c>
      <c r="C386" s="5">
        <f t="shared" si="21"/>
        <v>0</v>
      </c>
      <c r="D386" s="5">
        <f>IF(ExtraPayment=0, 0, IF(AND($B386&lt;&gt;0,ExtraPayment&lt;=$B386),-ExtraPayment,-($F386)-$B386))</f>
        <v>0</v>
      </c>
      <c r="E386" s="5">
        <f>IF($B386 &lt;= 0, 0, -ROUND($B386 * (InterestRate / PaymentsPerYear), 2))</f>
        <v>0</v>
      </c>
      <c r="F386" s="5">
        <f>ROUND(IFERROR(IF(OR($B386 &lt;=0, $B386 = ExtraPayment),0,
MAX(-$B386, -(-PMT(InterestRate/PaymentsPerYear,LoanTerm*PaymentsPerYear,LoanAmount) + $E386))), 0), 2)</f>
        <v>0</v>
      </c>
      <c r="G386" s="5">
        <f t="shared" si="22"/>
        <v>0</v>
      </c>
      <c r="H386" s="5">
        <f t="shared" si="23"/>
        <v>0</v>
      </c>
    </row>
    <row r="387" spans="1:8" x14ac:dyDescent="0.2">
      <c r="A387" s="2">
        <v>386</v>
      </c>
      <c r="B387" s="5">
        <f t="shared" si="20"/>
        <v>0</v>
      </c>
      <c r="C387" s="5">
        <f t="shared" si="21"/>
        <v>0</v>
      </c>
      <c r="D387" s="5">
        <f>IF(ExtraPayment=0, 0, IF(AND($B387&lt;&gt;0,ExtraPayment&lt;=$B387),-ExtraPayment,-($F387)-$B387))</f>
        <v>0</v>
      </c>
      <c r="E387" s="5">
        <f>IF($B387 &lt;= 0, 0, -ROUND($B387 * (InterestRate / PaymentsPerYear), 2))</f>
        <v>0</v>
      </c>
      <c r="F387" s="5">
        <f>ROUND(IFERROR(IF(OR($B387 &lt;=0, $B387 = ExtraPayment),0,
MAX(-$B387, -(-PMT(InterestRate/PaymentsPerYear,LoanTerm*PaymentsPerYear,LoanAmount) + $E387))), 0), 2)</f>
        <v>0</v>
      </c>
      <c r="G387" s="5">
        <f t="shared" si="22"/>
        <v>0</v>
      </c>
      <c r="H387" s="5">
        <f t="shared" si="23"/>
        <v>0</v>
      </c>
    </row>
    <row r="388" spans="1:8" x14ac:dyDescent="0.2">
      <c r="A388" s="2">
        <v>387</v>
      </c>
      <c r="B388" s="5">
        <f t="shared" ref="B388:B451" si="24">ROUND(IF($H387 &gt;= 0, MAX($H387, $F387), 0), 2)</f>
        <v>0</v>
      </c>
      <c r="C388" s="5">
        <f t="shared" ref="C388:C451" si="25">IF($B388 &lt;= 0, 0, $D388+$E388+$F388)</f>
        <v>0</v>
      </c>
      <c r="D388" s="5">
        <f>IF(ExtraPayment=0, 0, IF(AND($B388&lt;&gt;0,ExtraPayment&lt;=$B388),-ExtraPayment,-($F388)-$B388))</f>
        <v>0</v>
      </c>
      <c r="E388" s="5">
        <f>IF($B388 &lt;= 0, 0, -ROUND($B388 * (InterestRate / PaymentsPerYear), 2))</f>
        <v>0</v>
      </c>
      <c r="F388" s="5">
        <f>ROUND(IFERROR(IF(OR($B388 &lt;=0, $B388 = ExtraPayment),0,
MAX(-$B388, -(-PMT(InterestRate/PaymentsPerYear,LoanTerm*PaymentsPerYear,LoanAmount) + $E388))), 0), 2)</f>
        <v>0</v>
      </c>
      <c r="G388" s="5">
        <f t="shared" ref="G388:G451" si="26">$D388+$F388</f>
        <v>0</v>
      </c>
      <c r="H388" s="5">
        <f t="shared" ref="H388:H451" si="27">ROUND(IF($B388 &lt;= 0, 0,MAX(0, $B388 + $G388)), 2)</f>
        <v>0</v>
      </c>
    </row>
    <row r="389" spans="1:8" x14ac:dyDescent="0.2">
      <c r="A389" s="2">
        <v>388</v>
      </c>
      <c r="B389" s="5">
        <f t="shared" si="24"/>
        <v>0</v>
      </c>
      <c r="C389" s="5">
        <f t="shared" si="25"/>
        <v>0</v>
      </c>
      <c r="D389" s="5">
        <f>IF(ExtraPayment=0, 0, IF(AND($B389&lt;&gt;0,ExtraPayment&lt;=$B389),-ExtraPayment,-($F389)-$B389))</f>
        <v>0</v>
      </c>
      <c r="E389" s="5">
        <f>IF($B389 &lt;= 0, 0, -ROUND($B389 * (InterestRate / PaymentsPerYear), 2))</f>
        <v>0</v>
      </c>
      <c r="F389" s="5">
        <f>ROUND(IFERROR(IF(OR($B389 &lt;=0, $B389 = ExtraPayment),0,
MAX(-$B389, -(-PMT(InterestRate/PaymentsPerYear,LoanTerm*PaymentsPerYear,LoanAmount) + $E389))), 0), 2)</f>
        <v>0</v>
      </c>
      <c r="G389" s="5">
        <f t="shared" si="26"/>
        <v>0</v>
      </c>
      <c r="H389" s="5">
        <f t="shared" si="27"/>
        <v>0</v>
      </c>
    </row>
    <row r="390" spans="1:8" x14ac:dyDescent="0.2">
      <c r="A390" s="2">
        <v>389</v>
      </c>
      <c r="B390" s="5">
        <f t="shared" si="24"/>
        <v>0</v>
      </c>
      <c r="C390" s="5">
        <f t="shared" si="25"/>
        <v>0</v>
      </c>
      <c r="D390" s="5">
        <f>IF(ExtraPayment=0, 0, IF(AND($B390&lt;&gt;0,ExtraPayment&lt;=$B390),-ExtraPayment,-($F390)-$B390))</f>
        <v>0</v>
      </c>
      <c r="E390" s="5">
        <f>IF($B390 &lt;= 0, 0, -ROUND($B390 * (InterestRate / PaymentsPerYear), 2))</f>
        <v>0</v>
      </c>
      <c r="F390" s="5">
        <f>ROUND(IFERROR(IF(OR($B390 &lt;=0, $B390 = ExtraPayment),0,
MAX(-$B390, -(-PMT(InterestRate/PaymentsPerYear,LoanTerm*PaymentsPerYear,LoanAmount) + $E390))), 0), 2)</f>
        <v>0</v>
      </c>
      <c r="G390" s="5">
        <f t="shared" si="26"/>
        <v>0</v>
      </c>
      <c r="H390" s="5">
        <f t="shared" si="27"/>
        <v>0</v>
      </c>
    </row>
    <row r="391" spans="1:8" x14ac:dyDescent="0.2">
      <c r="A391" s="2">
        <v>390</v>
      </c>
      <c r="B391" s="5">
        <f t="shared" si="24"/>
        <v>0</v>
      </c>
      <c r="C391" s="5">
        <f t="shared" si="25"/>
        <v>0</v>
      </c>
      <c r="D391" s="5">
        <f>IF(ExtraPayment=0, 0, IF(AND($B391&lt;&gt;0,ExtraPayment&lt;=$B391),-ExtraPayment,-($F391)-$B391))</f>
        <v>0</v>
      </c>
      <c r="E391" s="5">
        <f>IF($B391 &lt;= 0, 0, -ROUND($B391 * (InterestRate / PaymentsPerYear), 2))</f>
        <v>0</v>
      </c>
      <c r="F391" s="5">
        <f>ROUND(IFERROR(IF(OR($B391 &lt;=0, $B391 = ExtraPayment),0,
MAX(-$B391, -(-PMT(InterestRate/PaymentsPerYear,LoanTerm*PaymentsPerYear,LoanAmount) + $E391))), 0), 2)</f>
        <v>0</v>
      </c>
      <c r="G391" s="5">
        <f t="shared" si="26"/>
        <v>0</v>
      </c>
      <c r="H391" s="5">
        <f t="shared" si="27"/>
        <v>0</v>
      </c>
    </row>
    <row r="392" spans="1:8" x14ac:dyDescent="0.2">
      <c r="A392" s="2">
        <v>391</v>
      </c>
      <c r="B392" s="5">
        <f t="shared" si="24"/>
        <v>0</v>
      </c>
      <c r="C392" s="5">
        <f t="shared" si="25"/>
        <v>0</v>
      </c>
      <c r="D392" s="5">
        <f>IF(ExtraPayment=0, 0, IF(AND($B392&lt;&gt;0,ExtraPayment&lt;=$B392),-ExtraPayment,-($F392)-$B392))</f>
        <v>0</v>
      </c>
      <c r="E392" s="5">
        <f>IF($B392 &lt;= 0, 0, -ROUND($B392 * (InterestRate / PaymentsPerYear), 2))</f>
        <v>0</v>
      </c>
      <c r="F392" s="5">
        <f>ROUND(IFERROR(IF(OR($B392 &lt;=0, $B392 = ExtraPayment),0,
MAX(-$B392, -(-PMT(InterestRate/PaymentsPerYear,LoanTerm*PaymentsPerYear,LoanAmount) + $E392))), 0), 2)</f>
        <v>0</v>
      </c>
      <c r="G392" s="5">
        <f t="shared" si="26"/>
        <v>0</v>
      </c>
      <c r="H392" s="5">
        <f t="shared" si="27"/>
        <v>0</v>
      </c>
    </row>
    <row r="393" spans="1:8" x14ac:dyDescent="0.2">
      <c r="A393" s="2">
        <v>392</v>
      </c>
      <c r="B393" s="5">
        <f t="shared" si="24"/>
        <v>0</v>
      </c>
      <c r="C393" s="5">
        <f t="shared" si="25"/>
        <v>0</v>
      </c>
      <c r="D393" s="5">
        <f>IF(ExtraPayment=0, 0, IF(AND($B393&lt;&gt;0,ExtraPayment&lt;=$B393),-ExtraPayment,-($F393)-$B393))</f>
        <v>0</v>
      </c>
      <c r="E393" s="5">
        <f>IF($B393 &lt;= 0, 0, -ROUND($B393 * (InterestRate / PaymentsPerYear), 2))</f>
        <v>0</v>
      </c>
      <c r="F393" s="5">
        <f>ROUND(IFERROR(IF(OR($B393 &lt;=0, $B393 = ExtraPayment),0,
MAX(-$B393, -(-PMT(InterestRate/PaymentsPerYear,LoanTerm*PaymentsPerYear,LoanAmount) + $E393))), 0), 2)</f>
        <v>0</v>
      </c>
      <c r="G393" s="5">
        <f t="shared" si="26"/>
        <v>0</v>
      </c>
      <c r="H393" s="5">
        <f t="shared" si="27"/>
        <v>0</v>
      </c>
    </row>
    <row r="394" spans="1:8" x14ac:dyDescent="0.2">
      <c r="A394" s="2">
        <v>393</v>
      </c>
      <c r="B394" s="5">
        <f t="shared" si="24"/>
        <v>0</v>
      </c>
      <c r="C394" s="5">
        <f t="shared" si="25"/>
        <v>0</v>
      </c>
      <c r="D394" s="5">
        <f>IF(ExtraPayment=0, 0, IF(AND($B394&lt;&gt;0,ExtraPayment&lt;=$B394),-ExtraPayment,-($F394)-$B394))</f>
        <v>0</v>
      </c>
      <c r="E394" s="5">
        <f>IF($B394 &lt;= 0, 0, -ROUND($B394 * (InterestRate / PaymentsPerYear), 2))</f>
        <v>0</v>
      </c>
      <c r="F394" s="5">
        <f>ROUND(IFERROR(IF(OR($B394 &lt;=0, $B394 = ExtraPayment),0,
MAX(-$B394, -(-PMT(InterestRate/PaymentsPerYear,LoanTerm*PaymentsPerYear,LoanAmount) + $E394))), 0), 2)</f>
        <v>0</v>
      </c>
      <c r="G394" s="5">
        <f t="shared" si="26"/>
        <v>0</v>
      </c>
      <c r="H394" s="5">
        <f t="shared" si="27"/>
        <v>0</v>
      </c>
    </row>
    <row r="395" spans="1:8" x14ac:dyDescent="0.2">
      <c r="A395" s="2">
        <v>394</v>
      </c>
      <c r="B395" s="5">
        <f t="shared" si="24"/>
        <v>0</v>
      </c>
      <c r="C395" s="5">
        <f t="shared" si="25"/>
        <v>0</v>
      </c>
      <c r="D395" s="5">
        <f>IF(ExtraPayment=0, 0, IF(AND($B395&lt;&gt;0,ExtraPayment&lt;=$B395),-ExtraPayment,-($F395)-$B395))</f>
        <v>0</v>
      </c>
      <c r="E395" s="5">
        <f>IF($B395 &lt;= 0, 0, -ROUND($B395 * (InterestRate / PaymentsPerYear), 2))</f>
        <v>0</v>
      </c>
      <c r="F395" s="5">
        <f>ROUND(IFERROR(IF(OR($B395 &lt;=0, $B395 = ExtraPayment),0,
MAX(-$B395, -(-PMT(InterestRate/PaymentsPerYear,LoanTerm*PaymentsPerYear,LoanAmount) + $E395))), 0), 2)</f>
        <v>0</v>
      </c>
      <c r="G395" s="5">
        <f t="shared" si="26"/>
        <v>0</v>
      </c>
      <c r="H395" s="5">
        <f t="shared" si="27"/>
        <v>0</v>
      </c>
    </row>
    <row r="396" spans="1:8" x14ac:dyDescent="0.2">
      <c r="A396" s="2">
        <v>395</v>
      </c>
      <c r="B396" s="5">
        <f t="shared" si="24"/>
        <v>0</v>
      </c>
      <c r="C396" s="5">
        <f t="shared" si="25"/>
        <v>0</v>
      </c>
      <c r="D396" s="5">
        <f>IF(ExtraPayment=0, 0, IF(AND($B396&lt;&gt;0,ExtraPayment&lt;=$B396),-ExtraPayment,-($F396)-$B396))</f>
        <v>0</v>
      </c>
      <c r="E396" s="5">
        <f>IF($B396 &lt;= 0, 0, -ROUND($B396 * (InterestRate / PaymentsPerYear), 2))</f>
        <v>0</v>
      </c>
      <c r="F396" s="5">
        <f>ROUND(IFERROR(IF(OR($B396 &lt;=0, $B396 = ExtraPayment),0,
MAX(-$B396, -(-PMT(InterestRate/PaymentsPerYear,LoanTerm*PaymentsPerYear,LoanAmount) + $E396))), 0), 2)</f>
        <v>0</v>
      </c>
      <c r="G396" s="5">
        <f t="shared" si="26"/>
        <v>0</v>
      </c>
      <c r="H396" s="5">
        <f t="shared" si="27"/>
        <v>0</v>
      </c>
    </row>
    <row r="397" spans="1:8" x14ac:dyDescent="0.2">
      <c r="A397" s="2">
        <v>396</v>
      </c>
      <c r="B397" s="5">
        <f t="shared" si="24"/>
        <v>0</v>
      </c>
      <c r="C397" s="5">
        <f t="shared" si="25"/>
        <v>0</v>
      </c>
      <c r="D397" s="5">
        <f>IF(ExtraPayment=0, 0, IF(AND($B397&lt;&gt;0,ExtraPayment&lt;=$B397),-ExtraPayment,-($F397)-$B397))</f>
        <v>0</v>
      </c>
      <c r="E397" s="5">
        <f>IF($B397 &lt;= 0, 0, -ROUND($B397 * (InterestRate / PaymentsPerYear), 2))</f>
        <v>0</v>
      </c>
      <c r="F397" s="5">
        <f>ROUND(IFERROR(IF(OR($B397 &lt;=0, $B397 = ExtraPayment),0,
MAX(-$B397, -(-PMT(InterestRate/PaymentsPerYear,LoanTerm*PaymentsPerYear,LoanAmount) + $E397))), 0), 2)</f>
        <v>0</v>
      </c>
      <c r="G397" s="5">
        <f t="shared" si="26"/>
        <v>0</v>
      </c>
      <c r="H397" s="5">
        <f t="shared" si="27"/>
        <v>0</v>
      </c>
    </row>
    <row r="398" spans="1:8" x14ac:dyDescent="0.2">
      <c r="A398" s="2">
        <v>397</v>
      </c>
      <c r="B398" s="5">
        <f t="shared" si="24"/>
        <v>0</v>
      </c>
      <c r="C398" s="5">
        <f t="shared" si="25"/>
        <v>0</v>
      </c>
      <c r="D398" s="5">
        <f>IF(ExtraPayment=0, 0, IF(AND($B398&lt;&gt;0,ExtraPayment&lt;=$B398),-ExtraPayment,-($F398)-$B398))</f>
        <v>0</v>
      </c>
      <c r="E398" s="5">
        <f>IF($B398 &lt;= 0, 0, -ROUND($B398 * (InterestRate / PaymentsPerYear), 2))</f>
        <v>0</v>
      </c>
      <c r="F398" s="5">
        <f>ROUND(IFERROR(IF(OR($B398 &lt;=0, $B398 = ExtraPayment),0,
MAX(-$B398, -(-PMT(InterestRate/PaymentsPerYear,LoanTerm*PaymentsPerYear,LoanAmount) + $E398))), 0), 2)</f>
        <v>0</v>
      </c>
      <c r="G398" s="5">
        <f t="shared" si="26"/>
        <v>0</v>
      </c>
      <c r="H398" s="5">
        <f t="shared" si="27"/>
        <v>0</v>
      </c>
    </row>
    <row r="399" spans="1:8" x14ac:dyDescent="0.2">
      <c r="A399" s="2">
        <v>398</v>
      </c>
      <c r="B399" s="5">
        <f t="shared" si="24"/>
        <v>0</v>
      </c>
      <c r="C399" s="5">
        <f t="shared" si="25"/>
        <v>0</v>
      </c>
      <c r="D399" s="5">
        <f>IF(ExtraPayment=0, 0, IF(AND($B399&lt;&gt;0,ExtraPayment&lt;=$B399),-ExtraPayment,-($F399)-$B399))</f>
        <v>0</v>
      </c>
      <c r="E399" s="5">
        <f>IF($B399 &lt;= 0, 0, -ROUND($B399 * (InterestRate / PaymentsPerYear), 2))</f>
        <v>0</v>
      </c>
      <c r="F399" s="5">
        <f>ROUND(IFERROR(IF(OR($B399 &lt;=0, $B399 = ExtraPayment),0,
MAX(-$B399, -(-PMT(InterestRate/PaymentsPerYear,LoanTerm*PaymentsPerYear,LoanAmount) + $E399))), 0), 2)</f>
        <v>0</v>
      </c>
      <c r="G399" s="5">
        <f t="shared" si="26"/>
        <v>0</v>
      </c>
      <c r="H399" s="5">
        <f t="shared" si="27"/>
        <v>0</v>
      </c>
    </row>
    <row r="400" spans="1:8" x14ac:dyDescent="0.2">
      <c r="A400" s="2">
        <v>399</v>
      </c>
      <c r="B400" s="5">
        <f t="shared" si="24"/>
        <v>0</v>
      </c>
      <c r="C400" s="5">
        <f t="shared" si="25"/>
        <v>0</v>
      </c>
      <c r="D400" s="5">
        <f>IF(ExtraPayment=0, 0, IF(AND($B400&lt;&gt;0,ExtraPayment&lt;=$B400),-ExtraPayment,-($F400)-$B400))</f>
        <v>0</v>
      </c>
      <c r="E400" s="5">
        <f>IF($B400 &lt;= 0, 0, -ROUND($B400 * (InterestRate / PaymentsPerYear), 2))</f>
        <v>0</v>
      </c>
      <c r="F400" s="5">
        <f>ROUND(IFERROR(IF(OR($B400 &lt;=0, $B400 = ExtraPayment),0,
MAX(-$B400, -(-PMT(InterestRate/PaymentsPerYear,LoanTerm*PaymentsPerYear,LoanAmount) + $E400))), 0), 2)</f>
        <v>0</v>
      </c>
      <c r="G400" s="5">
        <f t="shared" si="26"/>
        <v>0</v>
      </c>
      <c r="H400" s="5">
        <f t="shared" si="27"/>
        <v>0</v>
      </c>
    </row>
    <row r="401" spans="1:8" x14ac:dyDescent="0.2">
      <c r="A401" s="2">
        <v>400</v>
      </c>
      <c r="B401" s="5">
        <f t="shared" si="24"/>
        <v>0</v>
      </c>
      <c r="C401" s="5">
        <f t="shared" si="25"/>
        <v>0</v>
      </c>
      <c r="D401" s="5">
        <f>IF(ExtraPayment=0, 0, IF(AND($B401&lt;&gt;0,ExtraPayment&lt;=$B401),-ExtraPayment,-($F401)-$B401))</f>
        <v>0</v>
      </c>
      <c r="E401" s="5">
        <f>IF($B401 &lt;= 0, 0, -ROUND($B401 * (InterestRate / PaymentsPerYear), 2))</f>
        <v>0</v>
      </c>
      <c r="F401" s="5">
        <f>ROUND(IFERROR(IF(OR($B401 &lt;=0, $B401 = ExtraPayment),0,
MAX(-$B401, -(-PMT(InterestRate/PaymentsPerYear,LoanTerm*PaymentsPerYear,LoanAmount) + $E401))), 0), 2)</f>
        <v>0</v>
      </c>
      <c r="G401" s="5">
        <f t="shared" si="26"/>
        <v>0</v>
      </c>
      <c r="H401" s="5">
        <f t="shared" si="27"/>
        <v>0</v>
      </c>
    </row>
    <row r="402" spans="1:8" x14ac:dyDescent="0.2">
      <c r="A402" s="2">
        <v>401</v>
      </c>
      <c r="B402" s="5">
        <f t="shared" si="24"/>
        <v>0</v>
      </c>
      <c r="C402" s="5">
        <f t="shared" si="25"/>
        <v>0</v>
      </c>
      <c r="D402" s="5">
        <f>IF(ExtraPayment=0, 0, IF(AND($B402&lt;&gt;0,ExtraPayment&lt;=$B402),-ExtraPayment,-($F402)-$B402))</f>
        <v>0</v>
      </c>
      <c r="E402" s="5">
        <f>IF($B402 &lt;= 0, 0, -ROUND($B402 * (InterestRate / PaymentsPerYear), 2))</f>
        <v>0</v>
      </c>
      <c r="F402" s="5">
        <f>ROUND(IFERROR(IF(OR($B402 &lt;=0, $B402 = ExtraPayment),0,
MAX(-$B402, -(-PMT(InterestRate/PaymentsPerYear,LoanTerm*PaymentsPerYear,LoanAmount) + $E402))), 0), 2)</f>
        <v>0</v>
      </c>
      <c r="G402" s="5">
        <f t="shared" si="26"/>
        <v>0</v>
      </c>
      <c r="H402" s="5">
        <f t="shared" si="27"/>
        <v>0</v>
      </c>
    </row>
    <row r="403" spans="1:8" x14ac:dyDescent="0.2">
      <c r="A403" s="2">
        <v>402</v>
      </c>
      <c r="B403" s="5">
        <f t="shared" si="24"/>
        <v>0</v>
      </c>
      <c r="C403" s="5">
        <f t="shared" si="25"/>
        <v>0</v>
      </c>
      <c r="D403" s="5">
        <f>IF(ExtraPayment=0, 0, IF(AND($B403&lt;&gt;0,ExtraPayment&lt;=$B403),-ExtraPayment,-($F403)-$B403))</f>
        <v>0</v>
      </c>
      <c r="E403" s="5">
        <f>IF($B403 &lt;= 0, 0, -ROUND($B403 * (InterestRate / PaymentsPerYear), 2))</f>
        <v>0</v>
      </c>
      <c r="F403" s="5">
        <f>ROUND(IFERROR(IF(OR($B403 &lt;=0, $B403 = ExtraPayment),0,
MAX(-$B403, -(-PMT(InterestRate/PaymentsPerYear,LoanTerm*PaymentsPerYear,LoanAmount) + $E403))), 0), 2)</f>
        <v>0</v>
      </c>
      <c r="G403" s="5">
        <f t="shared" si="26"/>
        <v>0</v>
      </c>
      <c r="H403" s="5">
        <f t="shared" si="27"/>
        <v>0</v>
      </c>
    </row>
    <row r="404" spans="1:8" x14ac:dyDescent="0.2">
      <c r="A404" s="2">
        <v>403</v>
      </c>
      <c r="B404" s="5">
        <f t="shared" si="24"/>
        <v>0</v>
      </c>
      <c r="C404" s="5">
        <f t="shared" si="25"/>
        <v>0</v>
      </c>
      <c r="D404" s="5">
        <f>IF(ExtraPayment=0, 0, IF(AND($B404&lt;&gt;0,ExtraPayment&lt;=$B404),-ExtraPayment,-($F404)-$B404))</f>
        <v>0</v>
      </c>
      <c r="E404" s="5">
        <f>IF($B404 &lt;= 0, 0, -ROUND($B404 * (InterestRate / PaymentsPerYear), 2))</f>
        <v>0</v>
      </c>
      <c r="F404" s="5">
        <f>ROUND(IFERROR(IF(OR($B404 &lt;=0, $B404 = ExtraPayment),0,
MAX(-$B404, -(-PMT(InterestRate/PaymentsPerYear,LoanTerm*PaymentsPerYear,LoanAmount) + $E404))), 0), 2)</f>
        <v>0</v>
      </c>
      <c r="G404" s="5">
        <f t="shared" si="26"/>
        <v>0</v>
      </c>
      <c r="H404" s="5">
        <f t="shared" si="27"/>
        <v>0</v>
      </c>
    </row>
    <row r="405" spans="1:8" x14ac:dyDescent="0.2">
      <c r="A405" s="2">
        <v>404</v>
      </c>
      <c r="B405" s="5">
        <f t="shared" si="24"/>
        <v>0</v>
      </c>
      <c r="C405" s="5">
        <f t="shared" si="25"/>
        <v>0</v>
      </c>
      <c r="D405" s="5">
        <f>IF(ExtraPayment=0, 0, IF(AND($B405&lt;&gt;0,ExtraPayment&lt;=$B405),-ExtraPayment,-($F405)-$B405))</f>
        <v>0</v>
      </c>
      <c r="E405" s="5">
        <f>IF($B405 &lt;= 0, 0, -ROUND($B405 * (InterestRate / PaymentsPerYear), 2))</f>
        <v>0</v>
      </c>
      <c r="F405" s="5">
        <f>ROUND(IFERROR(IF(OR($B405 &lt;=0, $B405 = ExtraPayment),0,
MAX(-$B405, -(-PMT(InterestRate/PaymentsPerYear,LoanTerm*PaymentsPerYear,LoanAmount) + $E405))), 0), 2)</f>
        <v>0</v>
      </c>
      <c r="G405" s="5">
        <f t="shared" si="26"/>
        <v>0</v>
      </c>
      <c r="H405" s="5">
        <f t="shared" si="27"/>
        <v>0</v>
      </c>
    </row>
    <row r="406" spans="1:8" x14ac:dyDescent="0.2">
      <c r="A406" s="2">
        <v>405</v>
      </c>
      <c r="B406" s="5">
        <f t="shared" si="24"/>
        <v>0</v>
      </c>
      <c r="C406" s="5">
        <f t="shared" si="25"/>
        <v>0</v>
      </c>
      <c r="D406" s="5">
        <f>IF(ExtraPayment=0, 0, IF(AND($B406&lt;&gt;0,ExtraPayment&lt;=$B406),-ExtraPayment,-($F406)-$B406))</f>
        <v>0</v>
      </c>
      <c r="E406" s="5">
        <f>IF($B406 &lt;= 0, 0, -ROUND($B406 * (InterestRate / PaymentsPerYear), 2))</f>
        <v>0</v>
      </c>
      <c r="F406" s="5">
        <f>ROUND(IFERROR(IF(OR($B406 &lt;=0, $B406 = ExtraPayment),0,
MAX(-$B406, -(-PMT(InterestRate/PaymentsPerYear,LoanTerm*PaymentsPerYear,LoanAmount) + $E406))), 0), 2)</f>
        <v>0</v>
      </c>
      <c r="G406" s="5">
        <f t="shared" si="26"/>
        <v>0</v>
      </c>
      <c r="H406" s="5">
        <f t="shared" si="27"/>
        <v>0</v>
      </c>
    </row>
    <row r="407" spans="1:8" x14ac:dyDescent="0.2">
      <c r="A407" s="2">
        <v>406</v>
      </c>
      <c r="B407" s="5">
        <f t="shared" si="24"/>
        <v>0</v>
      </c>
      <c r="C407" s="5">
        <f t="shared" si="25"/>
        <v>0</v>
      </c>
      <c r="D407" s="5">
        <f>IF(ExtraPayment=0, 0, IF(AND($B407&lt;&gt;0,ExtraPayment&lt;=$B407),-ExtraPayment,-($F407)-$B407))</f>
        <v>0</v>
      </c>
      <c r="E407" s="5">
        <f>IF($B407 &lt;= 0, 0, -ROUND($B407 * (InterestRate / PaymentsPerYear), 2))</f>
        <v>0</v>
      </c>
      <c r="F407" s="5">
        <f>ROUND(IFERROR(IF(OR($B407 &lt;=0, $B407 = ExtraPayment),0,
MAX(-$B407, -(-PMT(InterestRate/PaymentsPerYear,LoanTerm*PaymentsPerYear,LoanAmount) + $E407))), 0), 2)</f>
        <v>0</v>
      </c>
      <c r="G407" s="5">
        <f t="shared" si="26"/>
        <v>0</v>
      </c>
      <c r="H407" s="5">
        <f t="shared" si="27"/>
        <v>0</v>
      </c>
    </row>
    <row r="408" spans="1:8" x14ac:dyDescent="0.2">
      <c r="A408" s="2">
        <v>407</v>
      </c>
      <c r="B408" s="5">
        <f t="shared" si="24"/>
        <v>0</v>
      </c>
      <c r="C408" s="5">
        <f t="shared" si="25"/>
        <v>0</v>
      </c>
      <c r="D408" s="5">
        <f>IF(ExtraPayment=0, 0, IF(AND($B408&lt;&gt;0,ExtraPayment&lt;=$B408),-ExtraPayment,-($F408)-$B408))</f>
        <v>0</v>
      </c>
      <c r="E408" s="5">
        <f>IF($B408 &lt;= 0, 0, -ROUND($B408 * (InterestRate / PaymentsPerYear), 2))</f>
        <v>0</v>
      </c>
      <c r="F408" s="5">
        <f>ROUND(IFERROR(IF(OR($B408 &lt;=0, $B408 = ExtraPayment),0,
MAX(-$B408, -(-PMT(InterestRate/PaymentsPerYear,LoanTerm*PaymentsPerYear,LoanAmount) + $E408))), 0), 2)</f>
        <v>0</v>
      </c>
      <c r="G408" s="5">
        <f t="shared" si="26"/>
        <v>0</v>
      </c>
      <c r="H408" s="5">
        <f t="shared" si="27"/>
        <v>0</v>
      </c>
    </row>
    <row r="409" spans="1:8" x14ac:dyDescent="0.2">
      <c r="A409" s="2">
        <v>408</v>
      </c>
      <c r="B409" s="5">
        <f t="shared" si="24"/>
        <v>0</v>
      </c>
      <c r="C409" s="5">
        <f t="shared" si="25"/>
        <v>0</v>
      </c>
      <c r="D409" s="5">
        <f>IF(ExtraPayment=0, 0, IF(AND($B409&lt;&gt;0,ExtraPayment&lt;=$B409),-ExtraPayment,-($F409)-$B409))</f>
        <v>0</v>
      </c>
      <c r="E409" s="5">
        <f>IF($B409 &lt;= 0, 0, -ROUND($B409 * (InterestRate / PaymentsPerYear), 2))</f>
        <v>0</v>
      </c>
      <c r="F409" s="5">
        <f>ROUND(IFERROR(IF(OR($B409 &lt;=0, $B409 = ExtraPayment),0,
MAX(-$B409, -(-PMT(InterestRate/PaymentsPerYear,LoanTerm*PaymentsPerYear,LoanAmount) + $E409))), 0), 2)</f>
        <v>0</v>
      </c>
      <c r="G409" s="5">
        <f t="shared" si="26"/>
        <v>0</v>
      </c>
      <c r="H409" s="5">
        <f t="shared" si="27"/>
        <v>0</v>
      </c>
    </row>
    <row r="410" spans="1:8" x14ac:dyDescent="0.2">
      <c r="A410" s="2">
        <v>409</v>
      </c>
      <c r="B410" s="5">
        <f t="shared" si="24"/>
        <v>0</v>
      </c>
      <c r="C410" s="5">
        <f t="shared" si="25"/>
        <v>0</v>
      </c>
      <c r="D410" s="5">
        <f>IF(ExtraPayment=0, 0, IF(AND($B410&lt;&gt;0,ExtraPayment&lt;=$B410),-ExtraPayment,-($F410)-$B410))</f>
        <v>0</v>
      </c>
      <c r="E410" s="5">
        <f>IF($B410 &lt;= 0, 0, -ROUND($B410 * (InterestRate / PaymentsPerYear), 2))</f>
        <v>0</v>
      </c>
      <c r="F410" s="5">
        <f>ROUND(IFERROR(IF(OR($B410 &lt;=0, $B410 = ExtraPayment),0,
MAX(-$B410, -(-PMT(InterestRate/PaymentsPerYear,LoanTerm*PaymentsPerYear,LoanAmount) + $E410))), 0), 2)</f>
        <v>0</v>
      </c>
      <c r="G410" s="5">
        <f t="shared" si="26"/>
        <v>0</v>
      </c>
      <c r="H410" s="5">
        <f t="shared" si="27"/>
        <v>0</v>
      </c>
    </row>
    <row r="411" spans="1:8" x14ac:dyDescent="0.2">
      <c r="A411" s="2">
        <v>410</v>
      </c>
      <c r="B411" s="5">
        <f t="shared" si="24"/>
        <v>0</v>
      </c>
      <c r="C411" s="5">
        <f t="shared" si="25"/>
        <v>0</v>
      </c>
      <c r="D411" s="5">
        <f>IF(ExtraPayment=0, 0, IF(AND($B411&lt;&gt;0,ExtraPayment&lt;=$B411),-ExtraPayment,-($F411)-$B411))</f>
        <v>0</v>
      </c>
      <c r="E411" s="5">
        <f>IF($B411 &lt;= 0, 0, -ROUND($B411 * (InterestRate / PaymentsPerYear), 2))</f>
        <v>0</v>
      </c>
      <c r="F411" s="5">
        <f>ROUND(IFERROR(IF(OR($B411 &lt;=0, $B411 = ExtraPayment),0,
MAX(-$B411, -(-PMT(InterestRate/PaymentsPerYear,LoanTerm*PaymentsPerYear,LoanAmount) + $E411))), 0), 2)</f>
        <v>0</v>
      </c>
      <c r="G411" s="5">
        <f t="shared" si="26"/>
        <v>0</v>
      </c>
      <c r="H411" s="5">
        <f t="shared" si="27"/>
        <v>0</v>
      </c>
    </row>
    <row r="412" spans="1:8" x14ac:dyDescent="0.2">
      <c r="A412" s="2">
        <v>411</v>
      </c>
      <c r="B412" s="5">
        <f t="shared" si="24"/>
        <v>0</v>
      </c>
      <c r="C412" s="5">
        <f t="shared" si="25"/>
        <v>0</v>
      </c>
      <c r="D412" s="5">
        <f>IF(ExtraPayment=0, 0, IF(AND($B412&lt;&gt;0,ExtraPayment&lt;=$B412),-ExtraPayment,-($F412)-$B412))</f>
        <v>0</v>
      </c>
      <c r="E412" s="5">
        <f>IF($B412 &lt;= 0, 0, -ROUND($B412 * (InterestRate / PaymentsPerYear), 2))</f>
        <v>0</v>
      </c>
      <c r="F412" s="5">
        <f>ROUND(IFERROR(IF(OR($B412 &lt;=0, $B412 = ExtraPayment),0,
MAX(-$B412, -(-PMT(InterestRate/PaymentsPerYear,LoanTerm*PaymentsPerYear,LoanAmount) + $E412))), 0), 2)</f>
        <v>0</v>
      </c>
      <c r="G412" s="5">
        <f t="shared" si="26"/>
        <v>0</v>
      </c>
      <c r="H412" s="5">
        <f t="shared" si="27"/>
        <v>0</v>
      </c>
    </row>
    <row r="413" spans="1:8" x14ac:dyDescent="0.2">
      <c r="A413" s="2">
        <v>412</v>
      </c>
      <c r="B413" s="5">
        <f t="shared" si="24"/>
        <v>0</v>
      </c>
      <c r="C413" s="5">
        <f t="shared" si="25"/>
        <v>0</v>
      </c>
      <c r="D413" s="5">
        <f>IF(ExtraPayment=0, 0, IF(AND($B413&lt;&gt;0,ExtraPayment&lt;=$B413),-ExtraPayment,-($F413)-$B413))</f>
        <v>0</v>
      </c>
      <c r="E413" s="5">
        <f>IF($B413 &lt;= 0, 0, -ROUND($B413 * (InterestRate / PaymentsPerYear), 2))</f>
        <v>0</v>
      </c>
      <c r="F413" s="5">
        <f>ROUND(IFERROR(IF(OR($B413 &lt;=0, $B413 = ExtraPayment),0,
MAX(-$B413, -(-PMT(InterestRate/PaymentsPerYear,LoanTerm*PaymentsPerYear,LoanAmount) + $E413))), 0), 2)</f>
        <v>0</v>
      </c>
      <c r="G413" s="5">
        <f t="shared" si="26"/>
        <v>0</v>
      </c>
      <c r="H413" s="5">
        <f t="shared" si="27"/>
        <v>0</v>
      </c>
    </row>
    <row r="414" spans="1:8" x14ac:dyDescent="0.2">
      <c r="A414" s="2">
        <v>413</v>
      </c>
      <c r="B414" s="5">
        <f t="shared" si="24"/>
        <v>0</v>
      </c>
      <c r="C414" s="5">
        <f t="shared" si="25"/>
        <v>0</v>
      </c>
      <c r="D414" s="5">
        <f>IF(ExtraPayment=0, 0, IF(AND($B414&lt;&gt;0,ExtraPayment&lt;=$B414),-ExtraPayment,-($F414)-$B414))</f>
        <v>0</v>
      </c>
      <c r="E414" s="5">
        <f>IF($B414 &lt;= 0, 0, -ROUND($B414 * (InterestRate / PaymentsPerYear), 2))</f>
        <v>0</v>
      </c>
      <c r="F414" s="5">
        <f>ROUND(IFERROR(IF(OR($B414 &lt;=0, $B414 = ExtraPayment),0,
MAX(-$B414, -(-PMT(InterestRate/PaymentsPerYear,LoanTerm*PaymentsPerYear,LoanAmount) + $E414))), 0), 2)</f>
        <v>0</v>
      </c>
      <c r="G414" s="5">
        <f t="shared" si="26"/>
        <v>0</v>
      </c>
      <c r="H414" s="5">
        <f t="shared" si="27"/>
        <v>0</v>
      </c>
    </row>
    <row r="415" spans="1:8" x14ac:dyDescent="0.2">
      <c r="A415" s="2">
        <v>414</v>
      </c>
      <c r="B415" s="5">
        <f t="shared" si="24"/>
        <v>0</v>
      </c>
      <c r="C415" s="5">
        <f t="shared" si="25"/>
        <v>0</v>
      </c>
      <c r="D415" s="5">
        <f>IF(ExtraPayment=0, 0, IF(AND($B415&lt;&gt;0,ExtraPayment&lt;=$B415),-ExtraPayment,-($F415)-$B415))</f>
        <v>0</v>
      </c>
      <c r="E415" s="5">
        <f>IF($B415 &lt;= 0, 0, -ROUND($B415 * (InterestRate / PaymentsPerYear), 2))</f>
        <v>0</v>
      </c>
      <c r="F415" s="5">
        <f>ROUND(IFERROR(IF(OR($B415 &lt;=0, $B415 = ExtraPayment),0,
MAX(-$B415, -(-PMT(InterestRate/PaymentsPerYear,LoanTerm*PaymentsPerYear,LoanAmount) + $E415))), 0), 2)</f>
        <v>0</v>
      </c>
      <c r="G415" s="5">
        <f t="shared" si="26"/>
        <v>0</v>
      </c>
      <c r="H415" s="5">
        <f t="shared" si="27"/>
        <v>0</v>
      </c>
    </row>
    <row r="416" spans="1:8" x14ac:dyDescent="0.2">
      <c r="A416" s="2">
        <v>415</v>
      </c>
      <c r="B416" s="5">
        <f t="shared" si="24"/>
        <v>0</v>
      </c>
      <c r="C416" s="5">
        <f t="shared" si="25"/>
        <v>0</v>
      </c>
      <c r="D416" s="5">
        <f>IF(ExtraPayment=0, 0, IF(AND($B416&lt;&gt;0,ExtraPayment&lt;=$B416),-ExtraPayment,-($F416)-$B416))</f>
        <v>0</v>
      </c>
      <c r="E416" s="5">
        <f>IF($B416 &lt;= 0, 0, -ROUND($B416 * (InterestRate / PaymentsPerYear), 2))</f>
        <v>0</v>
      </c>
      <c r="F416" s="5">
        <f>ROUND(IFERROR(IF(OR($B416 &lt;=0, $B416 = ExtraPayment),0,
MAX(-$B416, -(-PMT(InterestRate/PaymentsPerYear,LoanTerm*PaymentsPerYear,LoanAmount) + $E416))), 0), 2)</f>
        <v>0</v>
      </c>
      <c r="G416" s="5">
        <f t="shared" si="26"/>
        <v>0</v>
      </c>
      <c r="H416" s="5">
        <f t="shared" si="27"/>
        <v>0</v>
      </c>
    </row>
    <row r="417" spans="1:8" x14ac:dyDescent="0.2">
      <c r="A417" s="2">
        <v>416</v>
      </c>
      <c r="B417" s="5">
        <f t="shared" si="24"/>
        <v>0</v>
      </c>
      <c r="C417" s="5">
        <f t="shared" si="25"/>
        <v>0</v>
      </c>
      <c r="D417" s="5">
        <f>IF(ExtraPayment=0, 0, IF(AND($B417&lt;&gt;0,ExtraPayment&lt;=$B417),-ExtraPayment,-($F417)-$B417))</f>
        <v>0</v>
      </c>
      <c r="E417" s="5">
        <f>IF($B417 &lt;= 0, 0, -ROUND($B417 * (InterestRate / PaymentsPerYear), 2))</f>
        <v>0</v>
      </c>
      <c r="F417" s="5">
        <f>ROUND(IFERROR(IF(OR($B417 &lt;=0, $B417 = ExtraPayment),0,
MAX(-$B417, -(-PMT(InterestRate/PaymentsPerYear,LoanTerm*PaymentsPerYear,LoanAmount) + $E417))), 0), 2)</f>
        <v>0</v>
      </c>
      <c r="G417" s="5">
        <f t="shared" si="26"/>
        <v>0</v>
      </c>
      <c r="H417" s="5">
        <f t="shared" si="27"/>
        <v>0</v>
      </c>
    </row>
    <row r="418" spans="1:8" x14ac:dyDescent="0.2">
      <c r="A418" s="2">
        <v>417</v>
      </c>
      <c r="B418" s="5">
        <f t="shared" si="24"/>
        <v>0</v>
      </c>
      <c r="C418" s="5">
        <f t="shared" si="25"/>
        <v>0</v>
      </c>
      <c r="D418" s="5">
        <f>IF(ExtraPayment=0, 0, IF(AND($B418&lt;&gt;0,ExtraPayment&lt;=$B418),-ExtraPayment,-($F418)-$B418))</f>
        <v>0</v>
      </c>
      <c r="E418" s="5">
        <f>IF($B418 &lt;= 0, 0, -ROUND($B418 * (InterestRate / PaymentsPerYear), 2))</f>
        <v>0</v>
      </c>
      <c r="F418" s="5">
        <f>ROUND(IFERROR(IF(OR($B418 &lt;=0, $B418 = ExtraPayment),0,
MAX(-$B418, -(-PMT(InterestRate/PaymentsPerYear,LoanTerm*PaymentsPerYear,LoanAmount) + $E418))), 0), 2)</f>
        <v>0</v>
      </c>
      <c r="G418" s="5">
        <f t="shared" si="26"/>
        <v>0</v>
      </c>
      <c r="H418" s="5">
        <f t="shared" si="27"/>
        <v>0</v>
      </c>
    </row>
    <row r="419" spans="1:8" x14ac:dyDescent="0.2">
      <c r="A419" s="2">
        <v>418</v>
      </c>
      <c r="B419" s="5">
        <f t="shared" si="24"/>
        <v>0</v>
      </c>
      <c r="C419" s="5">
        <f t="shared" si="25"/>
        <v>0</v>
      </c>
      <c r="D419" s="5">
        <f>IF(ExtraPayment=0, 0, IF(AND($B419&lt;&gt;0,ExtraPayment&lt;=$B419),-ExtraPayment,-($F419)-$B419))</f>
        <v>0</v>
      </c>
      <c r="E419" s="5">
        <f>IF($B419 &lt;= 0, 0, -ROUND($B419 * (InterestRate / PaymentsPerYear), 2))</f>
        <v>0</v>
      </c>
      <c r="F419" s="5">
        <f>ROUND(IFERROR(IF(OR($B419 &lt;=0, $B419 = ExtraPayment),0,
MAX(-$B419, -(-PMT(InterestRate/PaymentsPerYear,LoanTerm*PaymentsPerYear,LoanAmount) + $E419))), 0), 2)</f>
        <v>0</v>
      </c>
      <c r="G419" s="5">
        <f t="shared" si="26"/>
        <v>0</v>
      </c>
      <c r="H419" s="5">
        <f t="shared" si="27"/>
        <v>0</v>
      </c>
    </row>
    <row r="420" spans="1:8" x14ac:dyDescent="0.2">
      <c r="A420" s="2">
        <v>419</v>
      </c>
      <c r="B420" s="5">
        <f t="shared" si="24"/>
        <v>0</v>
      </c>
      <c r="C420" s="5">
        <f t="shared" si="25"/>
        <v>0</v>
      </c>
      <c r="D420" s="5">
        <f>IF(ExtraPayment=0, 0, IF(AND($B420&lt;&gt;0,ExtraPayment&lt;=$B420),-ExtraPayment,-($F420)-$B420))</f>
        <v>0</v>
      </c>
      <c r="E420" s="5">
        <f>IF($B420 &lt;= 0, 0, -ROUND($B420 * (InterestRate / PaymentsPerYear), 2))</f>
        <v>0</v>
      </c>
      <c r="F420" s="5">
        <f>ROUND(IFERROR(IF(OR($B420 &lt;=0, $B420 = ExtraPayment),0,
MAX(-$B420, -(-PMT(InterestRate/PaymentsPerYear,LoanTerm*PaymentsPerYear,LoanAmount) + $E420))), 0), 2)</f>
        <v>0</v>
      </c>
      <c r="G420" s="5">
        <f t="shared" si="26"/>
        <v>0</v>
      </c>
      <c r="H420" s="5">
        <f t="shared" si="27"/>
        <v>0</v>
      </c>
    </row>
    <row r="421" spans="1:8" x14ac:dyDescent="0.2">
      <c r="A421" s="2">
        <v>420</v>
      </c>
      <c r="B421" s="5">
        <f t="shared" si="24"/>
        <v>0</v>
      </c>
      <c r="C421" s="5">
        <f t="shared" si="25"/>
        <v>0</v>
      </c>
      <c r="D421" s="5">
        <f>IF(ExtraPayment=0, 0, IF(AND($B421&lt;&gt;0,ExtraPayment&lt;=$B421),-ExtraPayment,-($F421)-$B421))</f>
        <v>0</v>
      </c>
      <c r="E421" s="5">
        <f>IF($B421 &lt;= 0, 0, -ROUND($B421 * (InterestRate / PaymentsPerYear), 2))</f>
        <v>0</v>
      </c>
      <c r="F421" s="5">
        <f>ROUND(IFERROR(IF(OR($B421 &lt;=0, $B421 = ExtraPayment),0,
MAX(-$B421, -(-PMT(InterestRate/PaymentsPerYear,LoanTerm*PaymentsPerYear,LoanAmount) + $E421))), 0), 2)</f>
        <v>0</v>
      </c>
      <c r="G421" s="5">
        <f t="shared" si="26"/>
        <v>0</v>
      </c>
      <c r="H421" s="5">
        <f t="shared" si="27"/>
        <v>0</v>
      </c>
    </row>
    <row r="422" spans="1:8" x14ac:dyDescent="0.2">
      <c r="A422" s="2">
        <v>421</v>
      </c>
      <c r="B422" s="5">
        <f t="shared" si="24"/>
        <v>0</v>
      </c>
      <c r="C422" s="5">
        <f t="shared" si="25"/>
        <v>0</v>
      </c>
      <c r="D422" s="5">
        <f>IF(ExtraPayment=0, 0, IF(AND($B422&lt;&gt;0,ExtraPayment&lt;=$B422),-ExtraPayment,-($F422)-$B422))</f>
        <v>0</v>
      </c>
      <c r="E422" s="5">
        <f>IF($B422 &lt;= 0, 0, -ROUND($B422 * (InterestRate / PaymentsPerYear), 2))</f>
        <v>0</v>
      </c>
      <c r="F422" s="5">
        <f>ROUND(IFERROR(IF(OR($B422 &lt;=0, $B422 = ExtraPayment),0,
MAX(-$B422, -(-PMT(InterestRate/PaymentsPerYear,LoanTerm*PaymentsPerYear,LoanAmount) + $E422))), 0), 2)</f>
        <v>0</v>
      </c>
      <c r="G422" s="5">
        <f t="shared" si="26"/>
        <v>0</v>
      </c>
      <c r="H422" s="5">
        <f t="shared" si="27"/>
        <v>0</v>
      </c>
    </row>
    <row r="423" spans="1:8" x14ac:dyDescent="0.2">
      <c r="A423" s="2">
        <v>422</v>
      </c>
      <c r="B423" s="5">
        <f t="shared" si="24"/>
        <v>0</v>
      </c>
      <c r="C423" s="5">
        <f t="shared" si="25"/>
        <v>0</v>
      </c>
      <c r="D423" s="5">
        <f>IF(ExtraPayment=0, 0, IF(AND($B423&lt;&gt;0,ExtraPayment&lt;=$B423),-ExtraPayment,-($F423)-$B423))</f>
        <v>0</v>
      </c>
      <c r="E423" s="5">
        <f>IF($B423 &lt;= 0, 0, -ROUND($B423 * (InterestRate / PaymentsPerYear), 2))</f>
        <v>0</v>
      </c>
      <c r="F423" s="5">
        <f>ROUND(IFERROR(IF(OR($B423 &lt;=0, $B423 = ExtraPayment),0,
MAX(-$B423, -(-PMT(InterestRate/PaymentsPerYear,LoanTerm*PaymentsPerYear,LoanAmount) + $E423))), 0), 2)</f>
        <v>0</v>
      </c>
      <c r="G423" s="5">
        <f t="shared" si="26"/>
        <v>0</v>
      </c>
      <c r="H423" s="5">
        <f t="shared" si="27"/>
        <v>0</v>
      </c>
    </row>
    <row r="424" spans="1:8" x14ac:dyDescent="0.2">
      <c r="A424" s="2">
        <v>423</v>
      </c>
      <c r="B424" s="5">
        <f t="shared" si="24"/>
        <v>0</v>
      </c>
      <c r="C424" s="5">
        <f t="shared" si="25"/>
        <v>0</v>
      </c>
      <c r="D424" s="5">
        <f>IF(ExtraPayment=0, 0, IF(AND($B424&lt;&gt;0,ExtraPayment&lt;=$B424),-ExtraPayment,-($F424)-$B424))</f>
        <v>0</v>
      </c>
      <c r="E424" s="5">
        <f>IF($B424 &lt;= 0, 0, -ROUND($B424 * (InterestRate / PaymentsPerYear), 2))</f>
        <v>0</v>
      </c>
      <c r="F424" s="5">
        <f>ROUND(IFERROR(IF(OR($B424 &lt;=0, $B424 = ExtraPayment),0,
MAX(-$B424, -(-PMT(InterestRate/PaymentsPerYear,LoanTerm*PaymentsPerYear,LoanAmount) + $E424))), 0), 2)</f>
        <v>0</v>
      </c>
      <c r="G424" s="5">
        <f t="shared" si="26"/>
        <v>0</v>
      </c>
      <c r="H424" s="5">
        <f t="shared" si="27"/>
        <v>0</v>
      </c>
    </row>
    <row r="425" spans="1:8" x14ac:dyDescent="0.2">
      <c r="A425" s="2">
        <v>424</v>
      </c>
      <c r="B425" s="5">
        <f t="shared" si="24"/>
        <v>0</v>
      </c>
      <c r="C425" s="5">
        <f t="shared" si="25"/>
        <v>0</v>
      </c>
      <c r="D425" s="5">
        <f>IF(ExtraPayment=0, 0, IF(AND($B425&lt;&gt;0,ExtraPayment&lt;=$B425),-ExtraPayment,-($F425)-$B425))</f>
        <v>0</v>
      </c>
      <c r="E425" s="5">
        <f>IF($B425 &lt;= 0, 0, -ROUND($B425 * (InterestRate / PaymentsPerYear), 2))</f>
        <v>0</v>
      </c>
      <c r="F425" s="5">
        <f>ROUND(IFERROR(IF(OR($B425 &lt;=0, $B425 = ExtraPayment),0,
MAX(-$B425, -(-PMT(InterestRate/PaymentsPerYear,LoanTerm*PaymentsPerYear,LoanAmount) + $E425))), 0), 2)</f>
        <v>0</v>
      </c>
      <c r="G425" s="5">
        <f t="shared" si="26"/>
        <v>0</v>
      </c>
      <c r="H425" s="5">
        <f t="shared" si="27"/>
        <v>0</v>
      </c>
    </row>
    <row r="426" spans="1:8" x14ac:dyDescent="0.2">
      <c r="A426" s="2">
        <v>425</v>
      </c>
      <c r="B426" s="5">
        <f t="shared" si="24"/>
        <v>0</v>
      </c>
      <c r="C426" s="5">
        <f t="shared" si="25"/>
        <v>0</v>
      </c>
      <c r="D426" s="5">
        <f>IF(ExtraPayment=0, 0, IF(AND($B426&lt;&gt;0,ExtraPayment&lt;=$B426),-ExtraPayment,-($F426)-$B426))</f>
        <v>0</v>
      </c>
      <c r="E426" s="5">
        <f>IF($B426 &lt;= 0, 0, -ROUND($B426 * (InterestRate / PaymentsPerYear), 2))</f>
        <v>0</v>
      </c>
      <c r="F426" s="5">
        <f>ROUND(IFERROR(IF(OR($B426 &lt;=0, $B426 = ExtraPayment),0,
MAX(-$B426, -(-PMT(InterestRate/PaymentsPerYear,LoanTerm*PaymentsPerYear,LoanAmount) + $E426))), 0), 2)</f>
        <v>0</v>
      </c>
      <c r="G426" s="5">
        <f t="shared" si="26"/>
        <v>0</v>
      </c>
      <c r="H426" s="5">
        <f t="shared" si="27"/>
        <v>0</v>
      </c>
    </row>
    <row r="427" spans="1:8" x14ac:dyDescent="0.2">
      <c r="A427" s="2">
        <v>426</v>
      </c>
      <c r="B427" s="5">
        <f t="shared" si="24"/>
        <v>0</v>
      </c>
      <c r="C427" s="5">
        <f t="shared" si="25"/>
        <v>0</v>
      </c>
      <c r="D427" s="5">
        <f>IF(ExtraPayment=0, 0, IF(AND($B427&lt;&gt;0,ExtraPayment&lt;=$B427),-ExtraPayment,-($F427)-$B427))</f>
        <v>0</v>
      </c>
      <c r="E427" s="5">
        <f>IF($B427 &lt;= 0, 0, -ROUND($B427 * (InterestRate / PaymentsPerYear), 2))</f>
        <v>0</v>
      </c>
      <c r="F427" s="5">
        <f>ROUND(IFERROR(IF(OR($B427 &lt;=0, $B427 = ExtraPayment),0,
MAX(-$B427, -(-PMT(InterestRate/PaymentsPerYear,LoanTerm*PaymentsPerYear,LoanAmount) + $E427))), 0), 2)</f>
        <v>0</v>
      </c>
      <c r="G427" s="5">
        <f t="shared" si="26"/>
        <v>0</v>
      </c>
      <c r="H427" s="5">
        <f t="shared" si="27"/>
        <v>0</v>
      </c>
    </row>
    <row r="428" spans="1:8" x14ac:dyDescent="0.2">
      <c r="A428" s="2">
        <v>427</v>
      </c>
      <c r="B428" s="5">
        <f t="shared" si="24"/>
        <v>0</v>
      </c>
      <c r="C428" s="5">
        <f t="shared" si="25"/>
        <v>0</v>
      </c>
      <c r="D428" s="5">
        <f>IF(ExtraPayment=0, 0, IF(AND($B428&lt;&gt;0,ExtraPayment&lt;=$B428),-ExtraPayment,-($F428)-$B428))</f>
        <v>0</v>
      </c>
      <c r="E428" s="5">
        <f>IF($B428 &lt;= 0, 0, -ROUND($B428 * (InterestRate / PaymentsPerYear), 2))</f>
        <v>0</v>
      </c>
      <c r="F428" s="5">
        <f>ROUND(IFERROR(IF(OR($B428 &lt;=0, $B428 = ExtraPayment),0,
MAX(-$B428, -(-PMT(InterestRate/PaymentsPerYear,LoanTerm*PaymentsPerYear,LoanAmount) + $E428))), 0), 2)</f>
        <v>0</v>
      </c>
      <c r="G428" s="5">
        <f t="shared" si="26"/>
        <v>0</v>
      </c>
      <c r="H428" s="5">
        <f t="shared" si="27"/>
        <v>0</v>
      </c>
    </row>
    <row r="429" spans="1:8" x14ac:dyDescent="0.2">
      <c r="A429" s="2">
        <v>428</v>
      </c>
      <c r="B429" s="5">
        <f t="shared" si="24"/>
        <v>0</v>
      </c>
      <c r="C429" s="5">
        <f t="shared" si="25"/>
        <v>0</v>
      </c>
      <c r="D429" s="5">
        <f>IF(ExtraPayment=0, 0, IF(AND($B429&lt;&gt;0,ExtraPayment&lt;=$B429),-ExtraPayment,-($F429)-$B429))</f>
        <v>0</v>
      </c>
      <c r="E429" s="5">
        <f>IF($B429 &lt;= 0, 0, -ROUND($B429 * (InterestRate / PaymentsPerYear), 2))</f>
        <v>0</v>
      </c>
      <c r="F429" s="5">
        <f>ROUND(IFERROR(IF(OR($B429 &lt;=0, $B429 = ExtraPayment),0,
MAX(-$B429, -(-PMT(InterestRate/PaymentsPerYear,LoanTerm*PaymentsPerYear,LoanAmount) + $E429))), 0), 2)</f>
        <v>0</v>
      </c>
      <c r="G429" s="5">
        <f t="shared" si="26"/>
        <v>0</v>
      </c>
      <c r="H429" s="5">
        <f t="shared" si="27"/>
        <v>0</v>
      </c>
    </row>
    <row r="430" spans="1:8" x14ac:dyDescent="0.2">
      <c r="A430" s="2">
        <v>429</v>
      </c>
      <c r="B430" s="5">
        <f t="shared" si="24"/>
        <v>0</v>
      </c>
      <c r="C430" s="5">
        <f t="shared" si="25"/>
        <v>0</v>
      </c>
      <c r="D430" s="5">
        <f>IF(ExtraPayment=0, 0, IF(AND($B430&lt;&gt;0,ExtraPayment&lt;=$B430),-ExtraPayment,-($F430)-$B430))</f>
        <v>0</v>
      </c>
      <c r="E430" s="5">
        <f>IF($B430 &lt;= 0, 0, -ROUND($B430 * (InterestRate / PaymentsPerYear), 2))</f>
        <v>0</v>
      </c>
      <c r="F430" s="5">
        <f>ROUND(IFERROR(IF(OR($B430 &lt;=0, $B430 = ExtraPayment),0,
MAX(-$B430, -(-PMT(InterestRate/PaymentsPerYear,LoanTerm*PaymentsPerYear,LoanAmount) + $E430))), 0), 2)</f>
        <v>0</v>
      </c>
      <c r="G430" s="5">
        <f t="shared" si="26"/>
        <v>0</v>
      </c>
      <c r="H430" s="5">
        <f t="shared" si="27"/>
        <v>0</v>
      </c>
    </row>
    <row r="431" spans="1:8" x14ac:dyDescent="0.2">
      <c r="A431" s="2">
        <v>430</v>
      </c>
      <c r="B431" s="5">
        <f t="shared" si="24"/>
        <v>0</v>
      </c>
      <c r="C431" s="5">
        <f t="shared" si="25"/>
        <v>0</v>
      </c>
      <c r="D431" s="5">
        <f>IF(ExtraPayment=0, 0, IF(AND($B431&lt;&gt;0,ExtraPayment&lt;=$B431),-ExtraPayment,-($F431)-$B431))</f>
        <v>0</v>
      </c>
      <c r="E431" s="5">
        <f>IF($B431 &lt;= 0, 0, -ROUND($B431 * (InterestRate / PaymentsPerYear), 2))</f>
        <v>0</v>
      </c>
      <c r="F431" s="5">
        <f>ROUND(IFERROR(IF(OR($B431 &lt;=0, $B431 = ExtraPayment),0,
MAX(-$B431, -(-PMT(InterestRate/PaymentsPerYear,LoanTerm*PaymentsPerYear,LoanAmount) + $E431))), 0), 2)</f>
        <v>0</v>
      </c>
      <c r="G431" s="5">
        <f t="shared" si="26"/>
        <v>0</v>
      </c>
      <c r="H431" s="5">
        <f t="shared" si="27"/>
        <v>0</v>
      </c>
    </row>
    <row r="432" spans="1:8" x14ac:dyDescent="0.2">
      <c r="A432" s="2">
        <v>431</v>
      </c>
      <c r="B432" s="5">
        <f t="shared" si="24"/>
        <v>0</v>
      </c>
      <c r="C432" s="5">
        <f t="shared" si="25"/>
        <v>0</v>
      </c>
      <c r="D432" s="5">
        <f>IF(ExtraPayment=0, 0, IF(AND($B432&lt;&gt;0,ExtraPayment&lt;=$B432),-ExtraPayment,-($F432)-$B432))</f>
        <v>0</v>
      </c>
      <c r="E432" s="5">
        <f>IF($B432 &lt;= 0, 0, -ROUND($B432 * (InterestRate / PaymentsPerYear), 2))</f>
        <v>0</v>
      </c>
      <c r="F432" s="5">
        <f>ROUND(IFERROR(IF(OR($B432 &lt;=0, $B432 = ExtraPayment),0,
MAX(-$B432, -(-PMT(InterestRate/PaymentsPerYear,LoanTerm*PaymentsPerYear,LoanAmount) + $E432))), 0), 2)</f>
        <v>0</v>
      </c>
      <c r="G432" s="5">
        <f t="shared" si="26"/>
        <v>0</v>
      </c>
      <c r="H432" s="5">
        <f t="shared" si="27"/>
        <v>0</v>
      </c>
    </row>
    <row r="433" spans="1:8" x14ac:dyDescent="0.2">
      <c r="A433" s="2">
        <v>432</v>
      </c>
      <c r="B433" s="5">
        <f t="shared" si="24"/>
        <v>0</v>
      </c>
      <c r="C433" s="5">
        <f t="shared" si="25"/>
        <v>0</v>
      </c>
      <c r="D433" s="5">
        <f>IF(ExtraPayment=0, 0, IF(AND($B433&lt;&gt;0,ExtraPayment&lt;=$B433),-ExtraPayment,-($F433)-$B433))</f>
        <v>0</v>
      </c>
      <c r="E433" s="5">
        <f>IF($B433 &lt;= 0, 0, -ROUND($B433 * (InterestRate / PaymentsPerYear), 2))</f>
        <v>0</v>
      </c>
      <c r="F433" s="5">
        <f>ROUND(IFERROR(IF(OR($B433 &lt;=0, $B433 = ExtraPayment),0,
MAX(-$B433, -(-PMT(InterestRate/PaymentsPerYear,LoanTerm*PaymentsPerYear,LoanAmount) + $E433))), 0), 2)</f>
        <v>0</v>
      </c>
      <c r="G433" s="5">
        <f t="shared" si="26"/>
        <v>0</v>
      </c>
      <c r="H433" s="5">
        <f t="shared" si="27"/>
        <v>0</v>
      </c>
    </row>
    <row r="434" spans="1:8" x14ac:dyDescent="0.2">
      <c r="A434" s="2">
        <v>433</v>
      </c>
      <c r="B434" s="5">
        <f t="shared" si="24"/>
        <v>0</v>
      </c>
      <c r="C434" s="5">
        <f t="shared" si="25"/>
        <v>0</v>
      </c>
      <c r="D434" s="5">
        <f>IF(ExtraPayment=0, 0, IF(AND($B434&lt;&gt;0,ExtraPayment&lt;=$B434),-ExtraPayment,-($F434)-$B434))</f>
        <v>0</v>
      </c>
      <c r="E434" s="5">
        <f>IF($B434 &lt;= 0, 0, -ROUND($B434 * (InterestRate / PaymentsPerYear), 2))</f>
        <v>0</v>
      </c>
      <c r="F434" s="5">
        <f>ROUND(IFERROR(IF(OR($B434 &lt;=0, $B434 = ExtraPayment),0,
MAX(-$B434, -(-PMT(InterestRate/PaymentsPerYear,LoanTerm*PaymentsPerYear,LoanAmount) + $E434))), 0), 2)</f>
        <v>0</v>
      </c>
      <c r="G434" s="5">
        <f t="shared" si="26"/>
        <v>0</v>
      </c>
      <c r="H434" s="5">
        <f t="shared" si="27"/>
        <v>0</v>
      </c>
    </row>
    <row r="435" spans="1:8" x14ac:dyDescent="0.2">
      <c r="A435" s="2">
        <v>434</v>
      </c>
      <c r="B435" s="5">
        <f t="shared" si="24"/>
        <v>0</v>
      </c>
      <c r="C435" s="5">
        <f t="shared" si="25"/>
        <v>0</v>
      </c>
      <c r="D435" s="5">
        <f>IF(ExtraPayment=0, 0, IF(AND($B435&lt;&gt;0,ExtraPayment&lt;=$B435),-ExtraPayment,-($F435)-$B435))</f>
        <v>0</v>
      </c>
      <c r="E435" s="5">
        <f>IF($B435 &lt;= 0, 0, -ROUND($B435 * (InterestRate / PaymentsPerYear), 2))</f>
        <v>0</v>
      </c>
      <c r="F435" s="5">
        <f>ROUND(IFERROR(IF(OR($B435 &lt;=0, $B435 = ExtraPayment),0,
MAX(-$B435, -(-PMT(InterestRate/PaymentsPerYear,LoanTerm*PaymentsPerYear,LoanAmount) + $E435))), 0), 2)</f>
        <v>0</v>
      </c>
      <c r="G435" s="5">
        <f t="shared" si="26"/>
        <v>0</v>
      </c>
      <c r="H435" s="5">
        <f t="shared" si="27"/>
        <v>0</v>
      </c>
    </row>
    <row r="436" spans="1:8" x14ac:dyDescent="0.2">
      <c r="A436" s="2">
        <v>435</v>
      </c>
      <c r="B436" s="5">
        <f t="shared" si="24"/>
        <v>0</v>
      </c>
      <c r="C436" s="5">
        <f t="shared" si="25"/>
        <v>0</v>
      </c>
      <c r="D436" s="5">
        <f>IF(ExtraPayment=0, 0, IF(AND($B436&lt;&gt;0,ExtraPayment&lt;=$B436),-ExtraPayment,-($F436)-$B436))</f>
        <v>0</v>
      </c>
      <c r="E436" s="5">
        <f>IF($B436 &lt;= 0, 0, -ROUND($B436 * (InterestRate / PaymentsPerYear), 2))</f>
        <v>0</v>
      </c>
      <c r="F436" s="5">
        <f>ROUND(IFERROR(IF(OR($B436 &lt;=0, $B436 = ExtraPayment),0,
MAX(-$B436, -(-PMT(InterestRate/PaymentsPerYear,LoanTerm*PaymentsPerYear,LoanAmount) + $E436))), 0), 2)</f>
        <v>0</v>
      </c>
      <c r="G436" s="5">
        <f t="shared" si="26"/>
        <v>0</v>
      </c>
      <c r="H436" s="5">
        <f t="shared" si="27"/>
        <v>0</v>
      </c>
    </row>
    <row r="437" spans="1:8" x14ac:dyDescent="0.2">
      <c r="A437" s="2">
        <v>436</v>
      </c>
      <c r="B437" s="5">
        <f t="shared" si="24"/>
        <v>0</v>
      </c>
      <c r="C437" s="5">
        <f t="shared" si="25"/>
        <v>0</v>
      </c>
      <c r="D437" s="5">
        <f>IF(ExtraPayment=0, 0, IF(AND($B437&lt;&gt;0,ExtraPayment&lt;=$B437),-ExtraPayment,-($F437)-$B437))</f>
        <v>0</v>
      </c>
      <c r="E437" s="5">
        <f>IF($B437 &lt;= 0, 0, -ROUND($B437 * (InterestRate / PaymentsPerYear), 2))</f>
        <v>0</v>
      </c>
      <c r="F437" s="5">
        <f>ROUND(IFERROR(IF(OR($B437 &lt;=0, $B437 = ExtraPayment),0,
MAX(-$B437, -(-PMT(InterestRate/PaymentsPerYear,LoanTerm*PaymentsPerYear,LoanAmount) + $E437))), 0), 2)</f>
        <v>0</v>
      </c>
      <c r="G437" s="5">
        <f t="shared" si="26"/>
        <v>0</v>
      </c>
      <c r="H437" s="5">
        <f t="shared" si="27"/>
        <v>0</v>
      </c>
    </row>
    <row r="438" spans="1:8" x14ac:dyDescent="0.2">
      <c r="A438" s="2">
        <v>437</v>
      </c>
      <c r="B438" s="5">
        <f t="shared" si="24"/>
        <v>0</v>
      </c>
      <c r="C438" s="5">
        <f t="shared" si="25"/>
        <v>0</v>
      </c>
      <c r="D438" s="5">
        <f>IF(ExtraPayment=0, 0, IF(AND($B438&lt;&gt;0,ExtraPayment&lt;=$B438),-ExtraPayment,-($F438)-$B438))</f>
        <v>0</v>
      </c>
      <c r="E438" s="5">
        <f>IF($B438 &lt;= 0, 0, -ROUND($B438 * (InterestRate / PaymentsPerYear), 2))</f>
        <v>0</v>
      </c>
      <c r="F438" s="5">
        <f>ROUND(IFERROR(IF(OR($B438 &lt;=0, $B438 = ExtraPayment),0,
MAX(-$B438, -(-PMT(InterestRate/PaymentsPerYear,LoanTerm*PaymentsPerYear,LoanAmount) + $E438))), 0), 2)</f>
        <v>0</v>
      </c>
      <c r="G438" s="5">
        <f t="shared" si="26"/>
        <v>0</v>
      </c>
      <c r="H438" s="5">
        <f t="shared" si="27"/>
        <v>0</v>
      </c>
    </row>
    <row r="439" spans="1:8" x14ac:dyDescent="0.2">
      <c r="A439" s="2">
        <v>438</v>
      </c>
      <c r="B439" s="5">
        <f t="shared" si="24"/>
        <v>0</v>
      </c>
      <c r="C439" s="5">
        <f t="shared" si="25"/>
        <v>0</v>
      </c>
      <c r="D439" s="5">
        <f>IF(ExtraPayment=0, 0, IF(AND($B439&lt;&gt;0,ExtraPayment&lt;=$B439),-ExtraPayment,-($F439)-$B439))</f>
        <v>0</v>
      </c>
      <c r="E439" s="5">
        <f>IF($B439 &lt;= 0, 0, -ROUND($B439 * (InterestRate / PaymentsPerYear), 2))</f>
        <v>0</v>
      </c>
      <c r="F439" s="5">
        <f>ROUND(IFERROR(IF(OR($B439 &lt;=0, $B439 = ExtraPayment),0,
MAX(-$B439, -(-PMT(InterestRate/PaymentsPerYear,LoanTerm*PaymentsPerYear,LoanAmount) + $E439))), 0), 2)</f>
        <v>0</v>
      </c>
      <c r="G439" s="5">
        <f t="shared" si="26"/>
        <v>0</v>
      </c>
      <c r="H439" s="5">
        <f t="shared" si="27"/>
        <v>0</v>
      </c>
    </row>
    <row r="440" spans="1:8" x14ac:dyDescent="0.2">
      <c r="A440" s="2">
        <v>439</v>
      </c>
      <c r="B440" s="5">
        <f t="shared" si="24"/>
        <v>0</v>
      </c>
      <c r="C440" s="5">
        <f t="shared" si="25"/>
        <v>0</v>
      </c>
      <c r="D440" s="5">
        <f>IF(ExtraPayment=0, 0, IF(AND($B440&lt;&gt;0,ExtraPayment&lt;=$B440),-ExtraPayment,-($F440)-$B440))</f>
        <v>0</v>
      </c>
      <c r="E440" s="5">
        <f>IF($B440 &lt;= 0, 0, -ROUND($B440 * (InterestRate / PaymentsPerYear), 2))</f>
        <v>0</v>
      </c>
      <c r="F440" s="5">
        <f>ROUND(IFERROR(IF(OR($B440 &lt;=0, $B440 = ExtraPayment),0,
MAX(-$B440, -(-PMT(InterestRate/PaymentsPerYear,LoanTerm*PaymentsPerYear,LoanAmount) + $E440))), 0), 2)</f>
        <v>0</v>
      </c>
      <c r="G440" s="5">
        <f t="shared" si="26"/>
        <v>0</v>
      </c>
      <c r="H440" s="5">
        <f t="shared" si="27"/>
        <v>0</v>
      </c>
    </row>
    <row r="441" spans="1:8" x14ac:dyDescent="0.2">
      <c r="A441" s="2">
        <v>440</v>
      </c>
      <c r="B441" s="5">
        <f t="shared" si="24"/>
        <v>0</v>
      </c>
      <c r="C441" s="5">
        <f t="shared" si="25"/>
        <v>0</v>
      </c>
      <c r="D441" s="5">
        <f>IF(ExtraPayment=0, 0, IF(AND($B441&lt;&gt;0,ExtraPayment&lt;=$B441),-ExtraPayment,-($F441)-$B441))</f>
        <v>0</v>
      </c>
      <c r="E441" s="5">
        <f>IF($B441 &lt;= 0, 0, -ROUND($B441 * (InterestRate / PaymentsPerYear), 2))</f>
        <v>0</v>
      </c>
      <c r="F441" s="5">
        <f>ROUND(IFERROR(IF(OR($B441 &lt;=0, $B441 = ExtraPayment),0,
MAX(-$B441, -(-PMT(InterestRate/PaymentsPerYear,LoanTerm*PaymentsPerYear,LoanAmount) + $E441))), 0), 2)</f>
        <v>0</v>
      </c>
      <c r="G441" s="5">
        <f t="shared" si="26"/>
        <v>0</v>
      </c>
      <c r="H441" s="5">
        <f t="shared" si="27"/>
        <v>0</v>
      </c>
    </row>
    <row r="442" spans="1:8" x14ac:dyDescent="0.2">
      <c r="A442" s="2">
        <v>441</v>
      </c>
      <c r="B442" s="5">
        <f t="shared" si="24"/>
        <v>0</v>
      </c>
      <c r="C442" s="5">
        <f t="shared" si="25"/>
        <v>0</v>
      </c>
      <c r="D442" s="5">
        <f>IF(ExtraPayment=0, 0, IF(AND($B442&lt;&gt;0,ExtraPayment&lt;=$B442),-ExtraPayment,-($F442)-$B442))</f>
        <v>0</v>
      </c>
      <c r="E442" s="5">
        <f>IF($B442 &lt;= 0, 0, -ROUND($B442 * (InterestRate / PaymentsPerYear), 2))</f>
        <v>0</v>
      </c>
      <c r="F442" s="5">
        <f>ROUND(IFERROR(IF(OR($B442 &lt;=0, $B442 = ExtraPayment),0,
MAX(-$B442, -(-PMT(InterestRate/PaymentsPerYear,LoanTerm*PaymentsPerYear,LoanAmount) + $E442))), 0), 2)</f>
        <v>0</v>
      </c>
      <c r="G442" s="5">
        <f t="shared" si="26"/>
        <v>0</v>
      </c>
      <c r="H442" s="5">
        <f t="shared" si="27"/>
        <v>0</v>
      </c>
    </row>
    <row r="443" spans="1:8" x14ac:dyDescent="0.2">
      <c r="A443" s="2">
        <v>442</v>
      </c>
      <c r="B443" s="5">
        <f t="shared" si="24"/>
        <v>0</v>
      </c>
      <c r="C443" s="5">
        <f t="shared" si="25"/>
        <v>0</v>
      </c>
      <c r="D443" s="5">
        <f>IF(ExtraPayment=0, 0, IF(AND($B443&lt;&gt;0,ExtraPayment&lt;=$B443),-ExtraPayment,-($F443)-$B443))</f>
        <v>0</v>
      </c>
      <c r="E443" s="5">
        <f>IF($B443 &lt;= 0, 0, -ROUND($B443 * (InterestRate / PaymentsPerYear), 2))</f>
        <v>0</v>
      </c>
      <c r="F443" s="5">
        <f>ROUND(IFERROR(IF(OR($B443 &lt;=0, $B443 = ExtraPayment),0,
MAX(-$B443, -(-PMT(InterestRate/PaymentsPerYear,LoanTerm*PaymentsPerYear,LoanAmount) + $E443))), 0), 2)</f>
        <v>0</v>
      </c>
      <c r="G443" s="5">
        <f t="shared" si="26"/>
        <v>0</v>
      </c>
      <c r="H443" s="5">
        <f t="shared" si="27"/>
        <v>0</v>
      </c>
    </row>
    <row r="444" spans="1:8" x14ac:dyDescent="0.2">
      <c r="A444" s="2">
        <v>443</v>
      </c>
      <c r="B444" s="5">
        <f t="shared" si="24"/>
        <v>0</v>
      </c>
      <c r="C444" s="5">
        <f t="shared" si="25"/>
        <v>0</v>
      </c>
      <c r="D444" s="5">
        <f>IF(ExtraPayment=0, 0, IF(AND($B444&lt;&gt;0,ExtraPayment&lt;=$B444),-ExtraPayment,-($F444)-$B444))</f>
        <v>0</v>
      </c>
      <c r="E444" s="5">
        <f>IF($B444 &lt;= 0, 0, -ROUND($B444 * (InterestRate / PaymentsPerYear), 2))</f>
        <v>0</v>
      </c>
      <c r="F444" s="5">
        <f>ROUND(IFERROR(IF(OR($B444 &lt;=0, $B444 = ExtraPayment),0,
MAX(-$B444, -(-PMT(InterestRate/PaymentsPerYear,LoanTerm*PaymentsPerYear,LoanAmount) + $E444))), 0), 2)</f>
        <v>0</v>
      </c>
      <c r="G444" s="5">
        <f t="shared" si="26"/>
        <v>0</v>
      </c>
      <c r="H444" s="5">
        <f t="shared" si="27"/>
        <v>0</v>
      </c>
    </row>
    <row r="445" spans="1:8" x14ac:dyDescent="0.2">
      <c r="A445" s="2">
        <v>444</v>
      </c>
      <c r="B445" s="5">
        <f t="shared" si="24"/>
        <v>0</v>
      </c>
      <c r="C445" s="5">
        <f t="shared" si="25"/>
        <v>0</v>
      </c>
      <c r="D445" s="5">
        <f>IF(ExtraPayment=0, 0, IF(AND($B445&lt;&gt;0,ExtraPayment&lt;=$B445),-ExtraPayment,-($F445)-$B445))</f>
        <v>0</v>
      </c>
      <c r="E445" s="5">
        <f>IF($B445 &lt;= 0, 0, -ROUND($B445 * (InterestRate / PaymentsPerYear), 2))</f>
        <v>0</v>
      </c>
      <c r="F445" s="5">
        <f>ROUND(IFERROR(IF(OR($B445 &lt;=0, $B445 = ExtraPayment),0,
MAX(-$B445, -(-PMT(InterestRate/PaymentsPerYear,LoanTerm*PaymentsPerYear,LoanAmount) + $E445))), 0), 2)</f>
        <v>0</v>
      </c>
      <c r="G445" s="5">
        <f t="shared" si="26"/>
        <v>0</v>
      </c>
      <c r="H445" s="5">
        <f t="shared" si="27"/>
        <v>0</v>
      </c>
    </row>
    <row r="446" spans="1:8" x14ac:dyDescent="0.2">
      <c r="A446" s="2">
        <v>445</v>
      </c>
      <c r="B446" s="5">
        <f t="shared" si="24"/>
        <v>0</v>
      </c>
      <c r="C446" s="5">
        <f t="shared" si="25"/>
        <v>0</v>
      </c>
      <c r="D446" s="5">
        <f>IF(ExtraPayment=0, 0, IF(AND($B446&lt;&gt;0,ExtraPayment&lt;=$B446),-ExtraPayment,-($F446)-$B446))</f>
        <v>0</v>
      </c>
      <c r="E446" s="5">
        <f>IF($B446 &lt;= 0, 0, -ROUND($B446 * (InterestRate / PaymentsPerYear), 2))</f>
        <v>0</v>
      </c>
      <c r="F446" s="5">
        <f>ROUND(IFERROR(IF(OR($B446 &lt;=0, $B446 = ExtraPayment),0,
MAX(-$B446, -(-PMT(InterestRate/PaymentsPerYear,LoanTerm*PaymentsPerYear,LoanAmount) + $E446))), 0), 2)</f>
        <v>0</v>
      </c>
      <c r="G446" s="5">
        <f t="shared" si="26"/>
        <v>0</v>
      </c>
      <c r="H446" s="5">
        <f t="shared" si="27"/>
        <v>0</v>
      </c>
    </row>
    <row r="447" spans="1:8" x14ac:dyDescent="0.2">
      <c r="A447" s="2">
        <v>446</v>
      </c>
      <c r="B447" s="5">
        <f t="shared" si="24"/>
        <v>0</v>
      </c>
      <c r="C447" s="5">
        <f t="shared" si="25"/>
        <v>0</v>
      </c>
      <c r="D447" s="5">
        <f>IF(ExtraPayment=0, 0, IF(AND($B447&lt;&gt;0,ExtraPayment&lt;=$B447),-ExtraPayment,-($F447)-$B447))</f>
        <v>0</v>
      </c>
      <c r="E447" s="5">
        <f>IF($B447 &lt;= 0, 0, -ROUND($B447 * (InterestRate / PaymentsPerYear), 2))</f>
        <v>0</v>
      </c>
      <c r="F447" s="5">
        <f>ROUND(IFERROR(IF(OR($B447 &lt;=0, $B447 = ExtraPayment),0,
MAX(-$B447, -(-PMT(InterestRate/PaymentsPerYear,LoanTerm*PaymentsPerYear,LoanAmount) + $E447))), 0), 2)</f>
        <v>0</v>
      </c>
      <c r="G447" s="5">
        <f t="shared" si="26"/>
        <v>0</v>
      </c>
      <c r="H447" s="5">
        <f t="shared" si="27"/>
        <v>0</v>
      </c>
    </row>
    <row r="448" spans="1:8" x14ac:dyDescent="0.2">
      <c r="A448" s="2">
        <v>447</v>
      </c>
      <c r="B448" s="5">
        <f t="shared" si="24"/>
        <v>0</v>
      </c>
      <c r="C448" s="5">
        <f t="shared" si="25"/>
        <v>0</v>
      </c>
      <c r="D448" s="5">
        <f>IF(ExtraPayment=0, 0, IF(AND($B448&lt;&gt;0,ExtraPayment&lt;=$B448),-ExtraPayment,-($F448)-$B448))</f>
        <v>0</v>
      </c>
      <c r="E448" s="5">
        <f>IF($B448 &lt;= 0, 0, -ROUND($B448 * (InterestRate / PaymentsPerYear), 2))</f>
        <v>0</v>
      </c>
      <c r="F448" s="5">
        <f>ROUND(IFERROR(IF(OR($B448 &lt;=0, $B448 = ExtraPayment),0,
MAX(-$B448, -(-PMT(InterestRate/PaymentsPerYear,LoanTerm*PaymentsPerYear,LoanAmount) + $E448))), 0), 2)</f>
        <v>0</v>
      </c>
      <c r="G448" s="5">
        <f t="shared" si="26"/>
        <v>0</v>
      </c>
      <c r="H448" s="5">
        <f t="shared" si="27"/>
        <v>0</v>
      </c>
    </row>
    <row r="449" spans="1:8" x14ac:dyDescent="0.2">
      <c r="A449" s="2">
        <v>448</v>
      </c>
      <c r="B449" s="5">
        <f t="shared" si="24"/>
        <v>0</v>
      </c>
      <c r="C449" s="5">
        <f t="shared" si="25"/>
        <v>0</v>
      </c>
      <c r="D449" s="5">
        <f>IF(ExtraPayment=0, 0, IF(AND($B449&lt;&gt;0,ExtraPayment&lt;=$B449),-ExtraPayment,-($F449)-$B449))</f>
        <v>0</v>
      </c>
      <c r="E449" s="5">
        <f>IF($B449 &lt;= 0, 0, -ROUND($B449 * (InterestRate / PaymentsPerYear), 2))</f>
        <v>0</v>
      </c>
      <c r="F449" s="5">
        <f>ROUND(IFERROR(IF(OR($B449 &lt;=0, $B449 = ExtraPayment),0,
MAX(-$B449, -(-PMT(InterestRate/PaymentsPerYear,LoanTerm*PaymentsPerYear,LoanAmount) + $E449))), 0), 2)</f>
        <v>0</v>
      </c>
      <c r="G449" s="5">
        <f t="shared" si="26"/>
        <v>0</v>
      </c>
      <c r="H449" s="5">
        <f t="shared" si="27"/>
        <v>0</v>
      </c>
    </row>
    <row r="450" spans="1:8" x14ac:dyDescent="0.2">
      <c r="A450" s="2">
        <v>449</v>
      </c>
      <c r="B450" s="5">
        <f t="shared" si="24"/>
        <v>0</v>
      </c>
      <c r="C450" s="5">
        <f t="shared" si="25"/>
        <v>0</v>
      </c>
      <c r="D450" s="5">
        <f>IF(ExtraPayment=0, 0, IF(AND($B450&lt;&gt;0,ExtraPayment&lt;=$B450),-ExtraPayment,-($F450)-$B450))</f>
        <v>0</v>
      </c>
      <c r="E450" s="5">
        <f>IF($B450 &lt;= 0, 0, -ROUND($B450 * (InterestRate / PaymentsPerYear), 2))</f>
        <v>0</v>
      </c>
      <c r="F450" s="5">
        <f>ROUND(IFERROR(IF(OR($B450 &lt;=0, $B450 = ExtraPayment),0,
MAX(-$B450, -(-PMT(InterestRate/PaymentsPerYear,LoanTerm*PaymentsPerYear,LoanAmount) + $E450))), 0), 2)</f>
        <v>0</v>
      </c>
      <c r="G450" s="5">
        <f t="shared" si="26"/>
        <v>0</v>
      </c>
      <c r="H450" s="5">
        <f t="shared" si="27"/>
        <v>0</v>
      </c>
    </row>
    <row r="451" spans="1:8" x14ac:dyDescent="0.2">
      <c r="A451" s="2">
        <v>450</v>
      </c>
      <c r="B451" s="5">
        <f t="shared" si="24"/>
        <v>0</v>
      </c>
      <c r="C451" s="5">
        <f t="shared" si="25"/>
        <v>0</v>
      </c>
      <c r="D451" s="5">
        <f>IF(ExtraPayment=0, 0, IF(AND($B451&lt;&gt;0,ExtraPayment&lt;=$B451),-ExtraPayment,-($F451)-$B451))</f>
        <v>0</v>
      </c>
      <c r="E451" s="5">
        <f>IF($B451 &lt;= 0, 0, -ROUND($B451 * (InterestRate / PaymentsPerYear), 2))</f>
        <v>0</v>
      </c>
      <c r="F451" s="5">
        <f>ROUND(IFERROR(IF(OR($B451 &lt;=0, $B451 = ExtraPayment),0,
MAX(-$B451, -(-PMT(InterestRate/PaymentsPerYear,LoanTerm*PaymentsPerYear,LoanAmount) + $E451))), 0), 2)</f>
        <v>0</v>
      </c>
      <c r="G451" s="5">
        <f t="shared" si="26"/>
        <v>0</v>
      </c>
      <c r="H451" s="5">
        <f t="shared" si="27"/>
        <v>0</v>
      </c>
    </row>
    <row r="452" spans="1:8" x14ac:dyDescent="0.2">
      <c r="A452" s="2">
        <v>451</v>
      </c>
      <c r="B452" s="5">
        <f t="shared" ref="B452:B515" si="28">ROUND(IF($H451 &gt;= 0, MAX($H451, $F451), 0), 2)</f>
        <v>0</v>
      </c>
      <c r="C452" s="5">
        <f t="shared" ref="C452:C515" si="29">IF($B452 &lt;= 0, 0, $D452+$E452+$F452)</f>
        <v>0</v>
      </c>
      <c r="D452" s="5">
        <f>IF(ExtraPayment=0, 0, IF(AND($B452&lt;&gt;0,ExtraPayment&lt;=$B452),-ExtraPayment,-($F452)-$B452))</f>
        <v>0</v>
      </c>
      <c r="E452" s="5">
        <f>IF($B452 &lt;= 0, 0, -ROUND($B452 * (InterestRate / PaymentsPerYear), 2))</f>
        <v>0</v>
      </c>
      <c r="F452" s="5">
        <f>ROUND(IFERROR(IF(OR($B452 &lt;=0, $B452 = ExtraPayment),0,
MAX(-$B452, -(-PMT(InterestRate/PaymentsPerYear,LoanTerm*PaymentsPerYear,LoanAmount) + $E452))), 0), 2)</f>
        <v>0</v>
      </c>
      <c r="G452" s="5">
        <f t="shared" ref="G452:G515" si="30">$D452+$F452</f>
        <v>0</v>
      </c>
      <c r="H452" s="5">
        <f t="shared" ref="H452:H515" si="31">ROUND(IF($B452 &lt;= 0, 0,MAX(0, $B452 + $G452)), 2)</f>
        <v>0</v>
      </c>
    </row>
    <row r="453" spans="1:8" x14ac:dyDescent="0.2">
      <c r="A453" s="2">
        <v>452</v>
      </c>
      <c r="B453" s="5">
        <f t="shared" si="28"/>
        <v>0</v>
      </c>
      <c r="C453" s="5">
        <f t="shared" si="29"/>
        <v>0</v>
      </c>
      <c r="D453" s="5">
        <f>IF(ExtraPayment=0, 0, IF(AND($B453&lt;&gt;0,ExtraPayment&lt;=$B453),-ExtraPayment,-($F453)-$B453))</f>
        <v>0</v>
      </c>
      <c r="E453" s="5">
        <f>IF($B453 &lt;= 0, 0, -ROUND($B453 * (InterestRate / PaymentsPerYear), 2))</f>
        <v>0</v>
      </c>
      <c r="F453" s="5">
        <f>ROUND(IFERROR(IF(OR($B453 &lt;=0, $B453 = ExtraPayment),0,
MAX(-$B453, -(-PMT(InterestRate/PaymentsPerYear,LoanTerm*PaymentsPerYear,LoanAmount) + $E453))), 0), 2)</f>
        <v>0</v>
      </c>
      <c r="G453" s="5">
        <f t="shared" si="30"/>
        <v>0</v>
      </c>
      <c r="H453" s="5">
        <f t="shared" si="31"/>
        <v>0</v>
      </c>
    </row>
    <row r="454" spans="1:8" x14ac:dyDescent="0.2">
      <c r="A454" s="2">
        <v>453</v>
      </c>
      <c r="B454" s="5">
        <f t="shared" si="28"/>
        <v>0</v>
      </c>
      <c r="C454" s="5">
        <f t="shared" si="29"/>
        <v>0</v>
      </c>
      <c r="D454" s="5">
        <f>IF(ExtraPayment=0, 0, IF(AND($B454&lt;&gt;0,ExtraPayment&lt;=$B454),-ExtraPayment,-($F454)-$B454))</f>
        <v>0</v>
      </c>
      <c r="E454" s="5">
        <f>IF($B454 &lt;= 0, 0, -ROUND($B454 * (InterestRate / PaymentsPerYear), 2))</f>
        <v>0</v>
      </c>
      <c r="F454" s="5">
        <f>ROUND(IFERROR(IF(OR($B454 &lt;=0, $B454 = ExtraPayment),0,
MAX(-$B454, -(-PMT(InterestRate/PaymentsPerYear,LoanTerm*PaymentsPerYear,LoanAmount) + $E454))), 0), 2)</f>
        <v>0</v>
      </c>
      <c r="G454" s="5">
        <f t="shared" si="30"/>
        <v>0</v>
      </c>
      <c r="H454" s="5">
        <f t="shared" si="31"/>
        <v>0</v>
      </c>
    </row>
    <row r="455" spans="1:8" x14ac:dyDescent="0.2">
      <c r="A455" s="2">
        <v>454</v>
      </c>
      <c r="B455" s="5">
        <f t="shared" si="28"/>
        <v>0</v>
      </c>
      <c r="C455" s="5">
        <f t="shared" si="29"/>
        <v>0</v>
      </c>
      <c r="D455" s="5">
        <f>IF(ExtraPayment=0, 0, IF(AND($B455&lt;&gt;0,ExtraPayment&lt;=$B455),-ExtraPayment,-($F455)-$B455))</f>
        <v>0</v>
      </c>
      <c r="E455" s="5">
        <f>IF($B455 &lt;= 0, 0, -ROUND($B455 * (InterestRate / PaymentsPerYear), 2))</f>
        <v>0</v>
      </c>
      <c r="F455" s="5">
        <f>ROUND(IFERROR(IF(OR($B455 &lt;=0, $B455 = ExtraPayment),0,
MAX(-$B455, -(-PMT(InterestRate/PaymentsPerYear,LoanTerm*PaymentsPerYear,LoanAmount) + $E455))), 0), 2)</f>
        <v>0</v>
      </c>
      <c r="G455" s="5">
        <f t="shared" si="30"/>
        <v>0</v>
      </c>
      <c r="H455" s="5">
        <f t="shared" si="31"/>
        <v>0</v>
      </c>
    </row>
    <row r="456" spans="1:8" x14ac:dyDescent="0.2">
      <c r="A456" s="2">
        <v>455</v>
      </c>
      <c r="B456" s="5">
        <f t="shared" si="28"/>
        <v>0</v>
      </c>
      <c r="C456" s="5">
        <f t="shared" si="29"/>
        <v>0</v>
      </c>
      <c r="D456" s="5">
        <f>IF(ExtraPayment=0, 0, IF(AND($B456&lt;&gt;0,ExtraPayment&lt;=$B456),-ExtraPayment,-($F456)-$B456))</f>
        <v>0</v>
      </c>
      <c r="E456" s="5">
        <f>IF($B456 &lt;= 0, 0, -ROUND($B456 * (InterestRate / PaymentsPerYear), 2))</f>
        <v>0</v>
      </c>
      <c r="F456" s="5">
        <f>ROUND(IFERROR(IF(OR($B456 &lt;=0, $B456 = ExtraPayment),0,
MAX(-$B456, -(-PMT(InterestRate/PaymentsPerYear,LoanTerm*PaymentsPerYear,LoanAmount) + $E456))), 0), 2)</f>
        <v>0</v>
      </c>
      <c r="G456" s="5">
        <f t="shared" si="30"/>
        <v>0</v>
      </c>
      <c r="H456" s="5">
        <f t="shared" si="31"/>
        <v>0</v>
      </c>
    </row>
    <row r="457" spans="1:8" x14ac:dyDescent="0.2">
      <c r="A457" s="2">
        <v>456</v>
      </c>
      <c r="B457" s="5">
        <f t="shared" si="28"/>
        <v>0</v>
      </c>
      <c r="C457" s="5">
        <f t="shared" si="29"/>
        <v>0</v>
      </c>
      <c r="D457" s="5">
        <f>IF(ExtraPayment=0, 0, IF(AND($B457&lt;&gt;0,ExtraPayment&lt;=$B457),-ExtraPayment,-($F457)-$B457))</f>
        <v>0</v>
      </c>
      <c r="E457" s="5">
        <f>IF($B457 &lt;= 0, 0, -ROUND($B457 * (InterestRate / PaymentsPerYear), 2))</f>
        <v>0</v>
      </c>
      <c r="F457" s="5">
        <f>ROUND(IFERROR(IF(OR($B457 &lt;=0, $B457 = ExtraPayment),0,
MAX(-$B457, -(-PMT(InterestRate/PaymentsPerYear,LoanTerm*PaymentsPerYear,LoanAmount) + $E457))), 0), 2)</f>
        <v>0</v>
      </c>
      <c r="G457" s="5">
        <f t="shared" si="30"/>
        <v>0</v>
      </c>
      <c r="H457" s="5">
        <f t="shared" si="31"/>
        <v>0</v>
      </c>
    </row>
    <row r="458" spans="1:8" x14ac:dyDescent="0.2">
      <c r="A458" s="2">
        <v>457</v>
      </c>
      <c r="B458" s="5">
        <f t="shared" si="28"/>
        <v>0</v>
      </c>
      <c r="C458" s="5">
        <f t="shared" si="29"/>
        <v>0</v>
      </c>
      <c r="D458" s="5">
        <f>IF(ExtraPayment=0, 0, IF(AND($B458&lt;&gt;0,ExtraPayment&lt;=$B458),-ExtraPayment,-($F458)-$B458))</f>
        <v>0</v>
      </c>
      <c r="E458" s="5">
        <f>IF($B458 &lt;= 0, 0, -ROUND($B458 * (InterestRate / PaymentsPerYear), 2))</f>
        <v>0</v>
      </c>
      <c r="F458" s="5">
        <f>ROUND(IFERROR(IF(OR($B458 &lt;=0, $B458 = ExtraPayment),0,
MAX(-$B458, -(-PMT(InterestRate/PaymentsPerYear,LoanTerm*PaymentsPerYear,LoanAmount) + $E458))), 0), 2)</f>
        <v>0</v>
      </c>
      <c r="G458" s="5">
        <f t="shared" si="30"/>
        <v>0</v>
      </c>
      <c r="H458" s="5">
        <f t="shared" si="31"/>
        <v>0</v>
      </c>
    </row>
    <row r="459" spans="1:8" x14ac:dyDescent="0.2">
      <c r="A459" s="2">
        <v>458</v>
      </c>
      <c r="B459" s="5">
        <f t="shared" si="28"/>
        <v>0</v>
      </c>
      <c r="C459" s="5">
        <f t="shared" si="29"/>
        <v>0</v>
      </c>
      <c r="D459" s="5">
        <f>IF(ExtraPayment=0, 0, IF(AND($B459&lt;&gt;0,ExtraPayment&lt;=$B459),-ExtraPayment,-($F459)-$B459))</f>
        <v>0</v>
      </c>
      <c r="E459" s="5">
        <f>IF($B459 &lt;= 0, 0, -ROUND($B459 * (InterestRate / PaymentsPerYear), 2))</f>
        <v>0</v>
      </c>
      <c r="F459" s="5">
        <f>ROUND(IFERROR(IF(OR($B459 &lt;=0, $B459 = ExtraPayment),0,
MAX(-$B459, -(-PMT(InterestRate/PaymentsPerYear,LoanTerm*PaymentsPerYear,LoanAmount) + $E459))), 0), 2)</f>
        <v>0</v>
      </c>
      <c r="G459" s="5">
        <f t="shared" si="30"/>
        <v>0</v>
      </c>
      <c r="H459" s="5">
        <f t="shared" si="31"/>
        <v>0</v>
      </c>
    </row>
    <row r="460" spans="1:8" x14ac:dyDescent="0.2">
      <c r="A460" s="2">
        <v>459</v>
      </c>
      <c r="B460" s="5">
        <f t="shared" si="28"/>
        <v>0</v>
      </c>
      <c r="C460" s="5">
        <f t="shared" si="29"/>
        <v>0</v>
      </c>
      <c r="D460" s="5">
        <f>IF(ExtraPayment=0, 0, IF(AND($B460&lt;&gt;0,ExtraPayment&lt;=$B460),-ExtraPayment,-($F460)-$B460))</f>
        <v>0</v>
      </c>
      <c r="E460" s="5">
        <f>IF($B460 &lt;= 0, 0, -ROUND($B460 * (InterestRate / PaymentsPerYear), 2))</f>
        <v>0</v>
      </c>
      <c r="F460" s="5">
        <f>ROUND(IFERROR(IF(OR($B460 &lt;=0, $B460 = ExtraPayment),0,
MAX(-$B460, -(-PMT(InterestRate/PaymentsPerYear,LoanTerm*PaymentsPerYear,LoanAmount) + $E460))), 0), 2)</f>
        <v>0</v>
      </c>
      <c r="G460" s="5">
        <f t="shared" si="30"/>
        <v>0</v>
      </c>
      <c r="H460" s="5">
        <f t="shared" si="31"/>
        <v>0</v>
      </c>
    </row>
    <row r="461" spans="1:8" x14ac:dyDescent="0.2">
      <c r="A461" s="2">
        <v>460</v>
      </c>
      <c r="B461" s="5">
        <f t="shared" si="28"/>
        <v>0</v>
      </c>
      <c r="C461" s="5">
        <f t="shared" si="29"/>
        <v>0</v>
      </c>
      <c r="D461" s="5">
        <f>IF(ExtraPayment=0, 0, IF(AND($B461&lt;&gt;0,ExtraPayment&lt;=$B461),-ExtraPayment,-($F461)-$B461))</f>
        <v>0</v>
      </c>
      <c r="E461" s="5">
        <f>IF($B461 &lt;= 0, 0, -ROUND($B461 * (InterestRate / PaymentsPerYear), 2))</f>
        <v>0</v>
      </c>
      <c r="F461" s="5">
        <f>ROUND(IFERROR(IF(OR($B461 &lt;=0, $B461 = ExtraPayment),0,
MAX(-$B461, -(-PMT(InterestRate/PaymentsPerYear,LoanTerm*PaymentsPerYear,LoanAmount) + $E461))), 0), 2)</f>
        <v>0</v>
      </c>
      <c r="G461" s="5">
        <f t="shared" si="30"/>
        <v>0</v>
      </c>
      <c r="H461" s="5">
        <f t="shared" si="31"/>
        <v>0</v>
      </c>
    </row>
    <row r="462" spans="1:8" x14ac:dyDescent="0.2">
      <c r="A462" s="2">
        <v>461</v>
      </c>
      <c r="B462" s="5">
        <f t="shared" si="28"/>
        <v>0</v>
      </c>
      <c r="C462" s="5">
        <f t="shared" si="29"/>
        <v>0</v>
      </c>
      <c r="D462" s="5">
        <f>IF(ExtraPayment=0, 0, IF(AND($B462&lt;&gt;0,ExtraPayment&lt;=$B462),-ExtraPayment,-($F462)-$B462))</f>
        <v>0</v>
      </c>
      <c r="E462" s="5">
        <f>IF($B462 &lt;= 0, 0, -ROUND($B462 * (InterestRate / PaymentsPerYear), 2))</f>
        <v>0</v>
      </c>
      <c r="F462" s="5">
        <f>ROUND(IFERROR(IF(OR($B462 &lt;=0, $B462 = ExtraPayment),0,
MAX(-$B462, -(-PMT(InterestRate/PaymentsPerYear,LoanTerm*PaymentsPerYear,LoanAmount) + $E462))), 0), 2)</f>
        <v>0</v>
      </c>
      <c r="G462" s="5">
        <f t="shared" si="30"/>
        <v>0</v>
      </c>
      <c r="H462" s="5">
        <f t="shared" si="31"/>
        <v>0</v>
      </c>
    </row>
    <row r="463" spans="1:8" x14ac:dyDescent="0.2">
      <c r="A463" s="2">
        <v>462</v>
      </c>
      <c r="B463" s="5">
        <f t="shared" si="28"/>
        <v>0</v>
      </c>
      <c r="C463" s="5">
        <f t="shared" si="29"/>
        <v>0</v>
      </c>
      <c r="D463" s="5">
        <f>IF(ExtraPayment=0, 0, IF(AND($B463&lt;&gt;0,ExtraPayment&lt;=$B463),-ExtraPayment,-($F463)-$B463))</f>
        <v>0</v>
      </c>
      <c r="E463" s="5">
        <f>IF($B463 &lt;= 0, 0, -ROUND($B463 * (InterestRate / PaymentsPerYear), 2))</f>
        <v>0</v>
      </c>
      <c r="F463" s="5">
        <f>ROUND(IFERROR(IF(OR($B463 &lt;=0, $B463 = ExtraPayment),0,
MAX(-$B463, -(-PMT(InterestRate/PaymentsPerYear,LoanTerm*PaymentsPerYear,LoanAmount) + $E463))), 0), 2)</f>
        <v>0</v>
      </c>
      <c r="G463" s="5">
        <f t="shared" si="30"/>
        <v>0</v>
      </c>
      <c r="H463" s="5">
        <f t="shared" si="31"/>
        <v>0</v>
      </c>
    </row>
    <row r="464" spans="1:8" x14ac:dyDescent="0.2">
      <c r="A464" s="2">
        <v>463</v>
      </c>
      <c r="B464" s="5">
        <f t="shared" si="28"/>
        <v>0</v>
      </c>
      <c r="C464" s="5">
        <f t="shared" si="29"/>
        <v>0</v>
      </c>
      <c r="D464" s="5">
        <f>IF(ExtraPayment=0, 0, IF(AND($B464&lt;&gt;0,ExtraPayment&lt;=$B464),-ExtraPayment,-($F464)-$B464))</f>
        <v>0</v>
      </c>
      <c r="E464" s="5">
        <f>IF($B464 &lt;= 0, 0, -ROUND($B464 * (InterestRate / PaymentsPerYear), 2))</f>
        <v>0</v>
      </c>
      <c r="F464" s="5">
        <f>ROUND(IFERROR(IF(OR($B464 &lt;=0, $B464 = ExtraPayment),0,
MAX(-$B464, -(-PMT(InterestRate/PaymentsPerYear,LoanTerm*PaymentsPerYear,LoanAmount) + $E464))), 0), 2)</f>
        <v>0</v>
      </c>
      <c r="G464" s="5">
        <f t="shared" si="30"/>
        <v>0</v>
      </c>
      <c r="H464" s="5">
        <f t="shared" si="31"/>
        <v>0</v>
      </c>
    </row>
    <row r="465" spans="1:8" x14ac:dyDescent="0.2">
      <c r="A465" s="2">
        <v>464</v>
      </c>
      <c r="B465" s="5">
        <f t="shared" si="28"/>
        <v>0</v>
      </c>
      <c r="C465" s="5">
        <f t="shared" si="29"/>
        <v>0</v>
      </c>
      <c r="D465" s="5">
        <f>IF(ExtraPayment=0, 0, IF(AND($B465&lt;&gt;0,ExtraPayment&lt;=$B465),-ExtraPayment,-($F465)-$B465))</f>
        <v>0</v>
      </c>
      <c r="E465" s="5">
        <f>IF($B465 &lt;= 0, 0, -ROUND($B465 * (InterestRate / PaymentsPerYear), 2))</f>
        <v>0</v>
      </c>
      <c r="F465" s="5">
        <f>ROUND(IFERROR(IF(OR($B465 &lt;=0, $B465 = ExtraPayment),0,
MAX(-$B465, -(-PMT(InterestRate/PaymentsPerYear,LoanTerm*PaymentsPerYear,LoanAmount) + $E465))), 0), 2)</f>
        <v>0</v>
      </c>
      <c r="G465" s="5">
        <f t="shared" si="30"/>
        <v>0</v>
      </c>
      <c r="H465" s="5">
        <f t="shared" si="31"/>
        <v>0</v>
      </c>
    </row>
    <row r="466" spans="1:8" x14ac:dyDescent="0.2">
      <c r="A466" s="2">
        <v>465</v>
      </c>
      <c r="B466" s="5">
        <f t="shared" si="28"/>
        <v>0</v>
      </c>
      <c r="C466" s="5">
        <f t="shared" si="29"/>
        <v>0</v>
      </c>
      <c r="D466" s="5">
        <f>IF(ExtraPayment=0, 0, IF(AND($B466&lt;&gt;0,ExtraPayment&lt;=$B466),-ExtraPayment,-($F466)-$B466))</f>
        <v>0</v>
      </c>
      <c r="E466" s="5">
        <f>IF($B466 &lt;= 0, 0, -ROUND($B466 * (InterestRate / PaymentsPerYear), 2))</f>
        <v>0</v>
      </c>
      <c r="F466" s="5">
        <f>ROUND(IFERROR(IF(OR($B466 &lt;=0, $B466 = ExtraPayment),0,
MAX(-$B466, -(-PMT(InterestRate/PaymentsPerYear,LoanTerm*PaymentsPerYear,LoanAmount) + $E466))), 0), 2)</f>
        <v>0</v>
      </c>
      <c r="G466" s="5">
        <f t="shared" si="30"/>
        <v>0</v>
      </c>
      <c r="H466" s="5">
        <f t="shared" si="31"/>
        <v>0</v>
      </c>
    </row>
    <row r="467" spans="1:8" x14ac:dyDescent="0.2">
      <c r="A467" s="2">
        <v>466</v>
      </c>
      <c r="B467" s="5">
        <f t="shared" si="28"/>
        <v>0</v>
      </c>
      <c r="C467" s="5">
        <f t="shared" si="29"/>
        <v>0</v>
      </c>
      <c r="D467" s="5">
        <f>IF(ExtraPayment=0, 0, IF(AND($B467&lt;&gt;0,ExtraPayment&lt;=$B467),-ExtraPayment,-($F467)-$B467))</f>
        <v>0</v>
      </c>
      <c r="E467" s="5">
        <f>IF($B467 &lt;= 0, 0, -ROUND($B467 * (InterestRate / PaymentsPerYear), 2))</f>
        <v>0</v>
      </c>
      <c r="F467" s="5">
        <f>ROUND(IFERROR(IF(OR($B467 &lt;=0, $B467 = ExtraPayment),0,
MAX(-$B467, -(-PMT(InterestRate/PaymentsPerYear,LoanTerm*PaymentsPerYear,LoanAmount) + $E467))), 0), 2)</f>
        <v>0</v>
      </c>
      <c r="G467" s="5">
        <f t="shared" si="30"/>
        <v>0</v>
      </c>
      <c r="H467" s="5">
        <f t="shared" si="31"/>
        <v>0</v>
      </c>
    </row>
    <row r="468" spans="1:8" x14ac:dyDescent="0.2">
      <c r="A468" s="2">
        <v>467</v>
      </c>
      <c r="B468" s="5">
        <f t="shared" si="28"/>
        <v>0</v>
      </c>
      <c r="C468" s="5">
        <f t="shared" si="29"/>
        <v>0</v>
      </c>
      <c r="D468" s="5">
        <f>IF(ExtraPayment=0, 0, IF(AND($B468&lt;&gt;0,ExtraPayment&lt;=$B468),-ExtraPayment,-($F468)-$B468))</f>
        <v>0</v>
      </c>
      <c r="E468" s="5">
        <f>IF($B468 &lt;= 0, 0, -ROUND($B468 * (InterestRate / PaymentsPerYear), 2))</f>
        <v>0</v>
      </c>
      <c r="F468" s="5">
        <f>ROUND(IFERROR(IF(OR($B468 &lt;=0, $B468 = ExtraPayment),0,
MAX(-$B468, -(-PMT(InterestRate/PaymentsPerYear,LoanTerm*PaymentsPerYear,LoanAmount) + $E468))), 0), 2)</f>
        <v>0</v>
      </c>
      <c r="G468" s="5">
        <f t="shared" si="30"/>
        <v>0</v>
      </c>
      <c r="H468" s="5">
        <f t="shared" si="31"/>
        <v>0</v>
      </c>
    </row>
    <row r="469" spans="1:8" x14ac:dyDescent="0.2">
      <c r="A469" s="2">
        <v>468</v>
      </c>
      <c r="B469" s="5">
        <f t="shared" si="28"/>
        <v>0</v>
      </c>
      <c r="C469" s="5">
        <f t="shared" si="29"/>
        <v>0</v>
      </c>
      <c r="D469" s="5">
        <f>IF(ExtraPayment=0, 0, IF(AND($B469&lt;&gt;0,ExtraPayment&lt;=$B469),-ExtraPayment,-($F469)-$B469))</f>
        <v>0</v>
      </c>
      <c r="E469" s="5">
        <f>IF($B469 &lt;= 0, 0, -ROUND($B469 * (InterestRate / PaymentsPerYear), 2))</f>
        <v>0</v>
      </c>
      <c r="F469" s="5">
        <f>ROUND(IFERROR(IF(OR($B469 &lt;=0, $B469 = ExtraPayment),0,
MAX(-$B469, -(-PMT(InterestRate/PaymentsPerYear,LoanTerm*PaymentsPerYear,LoanAmount) + $E469))), 0), 2)</f>
        <v>0</v>
      </c>
      <c r="G469" s="5">
        <f t="shared" si="30"/>
        <v>0</v>
      </c>
      <c r="H469" s="5">
        <f t="shared" si="31"/>
        <v>0</v>
      </c>
    </row>
    <row r="470" spans="1:8" x14ac:dyDescent="0.2">
      <c r="A470" s="2">
        <v>469</v>
      </c>
      <c r="B470" s="5">
        <f t="shared" si="28"/>
        <v>0</v>
      </c>
      <c r="C470" s="5">
        <f t="shared" si="29"/>
        <v>0</v>
      </c>
      <c r="D470" s="5">
        <f>IF(ExtraPayment=0, 0, IF(AND($B470&lt;&gt;0,ExtraPayment&lt;=$B470),-ExtraPayment,-($F470)-$B470))</f>
        <v>0</v>
      </c>
      <c r="E470" s="5">
        <f>IF($B470 &lt;= 0, 0, -ROUND($B470 * (InterestRate / PaymentsPerYear), 2))</f>
        <v>0</v>
      </c>
      <c r="F470" s="5">
        <f>ROUND(IFERROR(IF(OR($B470 &lt;=0, $B470 = ExtraPayment),0,
MAX(-$B470, -(-PMT(InterestRate/PaymentsPerYear,LoanTerm*PaymentsPerYear,LoanAmount) + $E470))), 0), 2)</f>
        <v>0</v>
      </c>
      <c r="G470" s="5">
        <f t="shared" si="30"/>
        <v>0</v>
      </c>
      <c r="H470" s="5">
        <f t="shared" si="31"/>
        <v>0</v>
      </c>
    </row>
    <row r="471" spans="1:8" x14ac:dyDescent="0.2">
      <c r="A471" s="2">
        <v>470</v>
      </c>
      <c r="B471" s="5">
        <f t="shared" si="28"/>
        <v>0</v>
      </c>
      <c r="C471" s="5">
        <f t="shared" si="29"/>
        <v>0</v>
      </c>
      <c r="D471" s="5">
        <f>IF(ExtraPayment=0, 0, IF(AND($B471&lt;&gt;0,ExtraPayment&lt;=$B471),-ExtraPayment,-($F471)-$B471))</f>
        <v>0</v>
      </c>
      <c r="E471" s="5">
        <f>IF($B471 &lt;= 0, 0, -ROUND($B471 * (InterestRate / PaymentsPerYear), 2))</f>
        <v>0</v>
      </c>
      <c r="F471" s="5">
        <f>ROUND(IFERROR(IF(OR($B471 &lt;=0, $B471 = ExtraPayment),0,
MAX(-$B471, -(-PMT(InterestRate/PaymentsPerYear,LoanTerm*PaymentsPerYear,LoanAmount) + $E471))), 0), 2)</f>
        <v>0</v>
      </c>
      <c r="G471" s="5">
        <f t="shared" si="30"/>
        <v>0</v>
      </c>
      <c r="H471" s="5">
        <f t="shared" si="31"/>
        <v>0</v>
      </c>
    </row>
    <row r="472" spans="1:8" x14ac:dyDescent="0.2">
      <c r="A472" s="2">
        <v>471</v>
      </c>
      <c r="B472" s="5">
        <f t="shared" si="28"/>
        <v>0</v>
      </c>
      <c r="C472" s="5">
        <f t="shared" si="29"/>
        <v>0</v>
      </c>
      <c r="D472" s="5">
        <f>IF(ExtraPayment=0, 0, IF(AND($B472&lt;&gt;0,ExtraPayment&lt;=$B472),-ExtraPayment,-($F472)-$B472))</f>
        <v>0</v>
      </c>
      <c r="E472" s="5">
        <f>IF($B472 &lt;= 0, 0, -ROUND($B472 * (InterestRate / PaymentsPerYear), 2))</f>
        <v>0</v>
      </c>
      <c r="F472" s="5">
        <f>ROUND(IFERROR(IF(OR($B472 &lt;=0, $B472 = ExtraPayment),0,
MAX(-$B472, -(-PMT(InterestRate/PaymentsPerYear,LoanTerm*PaymentsPerYear,LoanAmount) + $E472))), 0), 2)</f>
        <v>0</v>
      </c>
      <c r="G472" s="5">
        <f t="shared" si="30"/>
        <v>0</v>
      </c>
      <c r="H472" s="5">
        <f t="shared" si="31"/>
        <v>0</v>
      </c>
    </row>
    <row r="473" spans="1:8" x14ac:dyDescent="0.2">
      <c r="A473" s="2">
        <v>472</v>
      </c>
      <c r="B473" s="5">
        <f t="shared" si="28"/>
        <v>0</v>
      </c>
      <c r="C473" s="5">
        <f t="shared" si="29"/>
        <v>0</v>
      </c>
      <c r="D473" s="5">
        <f>IF(ExtraPayment=0, 0, IF(AND($B473&lt;&gt;0,ExtraPayment&lt;=$B473),-ExtraPayment,-($F473)-$B473))</f>
        <v>0</v>
      </c>
      <c r="E473" s="5">
        <f>IF($B473 &lt;= 0, 0, -ROUND($B473 * (InterestRate / PaymentsPerYear), 2))</f>
        <v>0</v>
      </c>
      <c r="F473" s="5">
        <f>ROUND(IFERROR(IF(OR($B473 &lt;=0, $B473 = ExtraPayment),0,
MAX(-$B473, -(-PMT(InterestRate/PaymentsPerYear,LoanTerm*PaymentsPerYear,LoanAmount) + $E473))), 0), 2)</f>
        <v>0</v>
      </c>
      <c r="G473" s="5">
        <f t="shared" si="30"/>
        <v>0</v>
      </c>
      <c r="H473" s="5">
        <f t="shared" si="31"/>
        <v>0</v>
      </c>
    </row>
    <row r="474" spans="1:8" x14ac:dyDescent="0.2">
      <c r="A474" s="2">
        <v>473</v>
      </c>
      <c r="B474" s="5">
        <f t="shared" si="28"/>
        <v>0</v>
      </c>
      <c r="C474" s="5">
        <f t="shared" si="29"/>
        <v>0</v>
      </c>
      <c r="D474" s="5">
        <f>IF(ExtraPayment=0, 0, IF(AND($B474&lt;&gt;0,ExtraPayment&lt;=$B474),-ExtraPayment,-($F474)-$B474))</f>
        <v>0</v>
      </c>
      <c r="E474" s="5">
        <f>IF($B474 &lt;= 0, 0, -ROUND($B474 * (InterestRate / PaymentsPerYear), 2))</f>
        <v>0</v>
      </c>
      <c r="F474" s="5">
        <f>ROUND(IFERROR(IF(OR($B474 &lt;=0, $B474 = ExtraPayment),0,
MAX(-$B474, -(-PMT(InterestRate/PaymentsPerYear,LoanTerm*PaymentsPerYear,LoanAmount) + $E474))), 0), 2)</f>
        <v>0</v>
      </c>
      <c r="G474" s="5">
        <f t="shared" si="30"/>
        <v>0</v>
      </c>
      <c r="H474" s="5">
        <f t="shared" si="31"/>
        <v>0</v>
      </c>
    </row>
    <row r="475" spans="1:8" x14ac:dyDescent="0.2">
      <c r="A475" s="2">
        <v>474</v>
      </c>
      <c r="B475" s="5">
        <f t="shared" si="28"/>
        <v>0</v>
      </c>
      <c r="C475" s="5">
        <f t="shared" si="29"/>
        <v>0</v>
      </c>
      <c r="D475" s="5">
        <f>IF(ExtraPayment=0, 0, IF(AND($B475&lt;&gt;0,ExtraPayment&lt;=$B475),-ExtraPayment,-($F475)-$B475))</f>
        <v>0</v>
      </c>
      <c r="E475" s="5">
        <f>IF($B475 &lt;= 0, 0, -ROUND($B475 * (InterestRate / PaymentsPerYear), 2))</f>
        <v>0</v>
      </c>
      <c r="F475" s="5">
        <f>ROUND(IFERROR(IF(OR($B475 &lt;=0, $B475 = ExtraPayment),0,
MAX(-$B475, -(-PMT(InterestRate/PaymentsPerYear,LoanTerm*PaymentsPerYear,LoanAmount) + $E475))), 0), 2)</f>
        <v>0</v>
      </c>
      <c r="G475" s="5">
        <f t="shared" si="30"/>
        <v>0</v>
      </c>
      <c r="H475" s="5">
        <f t="shared" si="31"/>
        <v>0</v>
      </c>
    </row>
    <row r="476" spans="1:8" x14ac:dyDescent="0.2">
      <c r="A476" s="2">
        <v>475</v>
      </c>
      <c r="B476" s="5">
        <f t="shared" si="28"/>
        <v>0</v>
      </c>
      <c r="C476" s="5">
        <f t="shared" si="29"/>
        <v>0</v>
      </c>
      <c r="D476" s="5">
        <f>IF(ExtraPayment=0, 0, IF(AND($B476&lt;&gt;0,ExtraPayment&lt;=$B476),-ExtraPayment,-($F476)-$B476))</f>
        <v>0</v>
      </c>
      <c r="E476" s="5">
        <f>IF($B476 &lt;= 0, 0, -ROUND($B476 * (InterestRate / PaymentsPerYear), 2))</f>
        <v>0</v>
      </c>
      <c r="F476" s="5">
        <f>ROUND(IFERROR(IF(OR($B476 &lt;=0, $B476 = ExtraPayment),0,
MAX(-$B476, -(-PMT(InterestRate/PaymentsPerYear,LoanTerm*PaymentsPerYear,LoanAmount) + $E476))), 0), 2)</f>
        <v>0</v>
      </c>
      <c r="G476" s="5">
        <f t="shared" si="30"/>
        <v>0</v>
      </c>
      <c r="H476" s="5">
        <f t="shared" si="31"/>
        <v>0</v>
      </c>
    </row>
    <row r="477" spans="1:8" x14ac:dyDescent="0.2">
      <c r="A477" s="2">
        <v>476</v>
      </c>
      <c r="B477" s="5">
        <f t="shared" si="28"/>
        <v>0</v>
      </c>
      <c r="C477" s="5">
        <f t="shared" si="29"/>
        <v>0</v>
      </c>
      <c r="D477" s="5">
        <f>IF(ExtraPayment=0, 0, IF(AND($B477&lt;&gt;0,ExtraPayment&lt;=$B477),-ExtraPayment,-($F477)-$B477))</f>
        <v>0</v>
      </c>
      <c r="E477" s="5">
        <f>IF($B477 &lt;= 0, 0, -ROUND($B477 * (InterestRate / PaymentsPerYear), 2))</f>
        <v>0</v>
      </c>
      <c r="F477" s="5">
        <f>ROUND(IFERROR(IF(OR($B477 &lt;=0, $B477 = ExtraPayment),0,
MAX(-$B477, -(-PMT(InterestRate/PaymentsPerYear,LoanTerm*PaymentsPerYear,LoanAmount) + $E477))), 0), 2)</f>
        <v>0</v>
      </c>
      <c r="G477" s="5">
        <f t="shared" si="30"/>
        <v>0</v>
      </c>
      <c r="H477" s="5">
        <f t="shared" si="31"/>
        <v>0</v>
      </c>
    </row>
    <row r="478" spans="1:8" x14ac:dyDescent="0.2">
      <c r="A478" s="2">
        <v>477</v>
      </c>
      <c r="B478" s="5">
        <f t="shared" si="28"/>
        <v>0</v>
      </c>
      <c r="C478" s="5">
        <f t="shared" si="29"/>
        <v>0</v>
      </c>
      <c r="D478" s="5">
        <f>IF(ExtraPayment=0, 0, IF(AND($B478&lt;&gt;0,ExtraPayment&lt;=$B478),-ExtraPayment,-($F478)-$B478))</f>
        <v>0</v>
      </c>
      <c r="E478" s="5">
        <f>IF($B478 &lt;= 0, 0, -ROUND($B478 * (InterestRate / PaymentsPerYear), 2))</f>
        <v>0</v>
      </c>
      <c r="F478" s="5">
        <f>ROUND(IFERROR(IF(OR($B478 &lt;=0, $B478 = ExtraPayment),0,
MAX(-$B478, -(-PMT(InterestRate/PaymentsPerYear,LoanTerm*PaymentsPerYear,LoanAmount) + $E478))), 0), 2)</f>
        <v>0</v>
      </c>
      <c r="G478" s="5">
        <f t="shared" si="30"/>
        <v>0</v>
      </c>
      <c r="H478" s="5">
        <f t="shared" si="31"/>
        <v>0</v>
      </c>
    </row>
    <row r="479" spans="1:8" x14ac:dyDescent="0.2">
      <c r="A479" s="2">
        <v>478</v>
      </c>
      <c r="B479" s="5">
        <f t="shared" si="28"/>
        <v>0</v>
      </c>
      <c r="C479" s="5">
        <f t="shared" si="29"/>
        <v>0</v>
      </c>
      <c r="D479" s="5">
        <f>IF(ExtraPayment=0, 0, IF(AND($B479&lt;&gt;0,ExtraPayment&lt;=$B479),-ExtraPayment,-($F479)-$B479))</f>
        <v>0</v>
      </c>
      <c r="E479" s="5">
        <f>IF($B479 &lt;= 0, 0, -ROUND($B479 * (InterestRate / PaymentsPerYear), 2))</f>
        <v>0</v>
      </c>
      <c r="F479" s="5">
        <f>ROUND(IFERROR(IF(OR($B479 &lt;=0, $B479 = ExtraPayment),0,
MAX(-$B479, -(-PMT(InterestRate/PaymentsPerYear,LoanTerm*PaymentsPerYear,LoanAmount) + $E479))), 0), 2)</f>
        <v>0</v>
      </c>
      <c r="G479" s="5">
        <f t="shared" si="30"/>
        <v>0</v>
      </c>
      <c r="H479" s="5">
        <f t="shared" si="31"/>
        <v>0</v>
      </c>
    </row>
    <row r="480" spans="1:8" x14ac:dyDescent="0.2">
      <c r="A480" s="2">
        <v>479</v>
      </c>
      <c r="B480" s="5">
        <f t="shared" si="28"/>
        <v>0</v>
      </c>
      <c r="C480" s="5">
        <f t="shared" si="29"/>
        <v>0</v>
      </c>
      <c r="D480" s="5">
        <f>IF(ExtraPayment=0, 0, IF(AND($B480&lt;&gt;0,ExtraPayment&lt;=$B480),-ExtraPayment,-($F480)-$B480))</f>
        <v>0</v>
      </c>
      <c r="E480" s="5">
        <f>IF($B480 &lt;= 0, 0, -ROUND($B480 * (InterestRate / PaymentsPerYear), 2))</f>
        <v>0</v>
      </c>
      <c r="F480" s="5">
        <f>ROUND(IFERROR(IF(OR($B480 &lt;=0, $B480 = ExtraPayment),0,
MAX(-$B480, -(-PMT(InterestRate/PaymentsPerYear,LoanTerm*PaymentsPerYear,LoanAmount) + $E480))), 0), 2)</f>
        <v>0</v>
      </c>
      <c r="G480" s="5">
        <f t="shared" si="30"/>
        <v>0</v>
      </c>
      <c r="H480" s="5">
        <f t="shared" si="31"/>
        <v>0</v>
      </c>
    </row>
    <row r="481" spans="1:8" x14ac:dyDescent="0.2">
      <c r="A481" s="2">
        <v>480</v>
      </c>
      <c r="B481" s="5">
        <f t="shared" si="28"/>
        <v>0</v>
      </c>
      <c r="C481" s="5">
        <f t="shared" si="29"/>
        <v>0</v>
      </c>
      <c r="D481" s="5">
        <f>IF(ExtraPayment=0, 0, IF(AND($B481&lt;&gt;0,ExtraPayment&lt;=$B481),-ExtraPayment,-($F481)-$B481))</f>
        <v>0</v>
      </c>
      <c r="E481" s="5">
        <f>IF($B481 &lt;= 0, 0, -ROUND($B481 * (InterestRate / PaymentsPerYear), 2))</f>
        <v>0</v>
      </c>
      <c r="F481" s="5">
        <f>ROUND(IFERROR(IF(OR($B481 &lt;=0, $B481 = ExtraPayment),0,
MAX(-$B481, -(-PMT(InterestRate/PaymentsPerYear,LoanTerm*PaymentsPerYear,LoanAmount) + $E481))), 0), 2)</f>
        <v>0</v>
      </c>
      <c r="G481" s="5">
        <f t="shared" si="30"/>
        <v>0</v>
      </c>
      <c r="H481" s="5">
        <f t="shared" si="31"/>
        <v>0</v>
      </c>
    </row>
    <row r="482" spans="1:8" x14ac:dyDescent="0.2">
      <c r="A482" s="2">
        <v>481</v>
      </c>
      <c r="B482" s="5">
        <f t="shared" si="28"/>
        <v>0</v>
      </c>
      <c r="C482" s="5">
        <f t="shared" si="29"/>
        <v>0</v>
      </c>
      <c r="D482" s="5">
        <f>IF(ExtraPayment=0, 0, IF(AND($B482&lt;&gt;0,ExtraPayment&lt;=$B482),-ExtraPayment,-($F482)-$B482))</f>
        <v>0</v>
      </c>
      <c r="E482" s="5">
        <f>IF($B482 &lt;= 0, 0, -ROUND($B482 * (InterestRate / PaymentsPerYear), 2))</f>
        <v>0</v>
      </c>
      <c r="F482" s="5">
        <f>ROUND(IFERROR(IF(OR($B482 &lt;=0, $B482 = ExtraPayment),0,
MAX(-$B482, -(-PMT(InterestRate/PaymentsPerYear,LoanTerm*PaymentsPerYear,LoanAmount) + $E482))), 0), 2)</f>
        <v>0</v>
      </c>
      <c r="G482" s="5">
        <f t="shared" si="30"/>
        <v>0</v>
      </c>
      <c r="H482" s="5">
        <f t="shared" si="31"/>
        <v>0</v>
      </c>
    </row>
    <row r="483" spans="1:8" x14ac:dyDescent="0.2">
      <c r="A483" s="2">
        <v>482</v>
      </c>
      <c r="B483" s="5">
        <f t="shared" si="28"/>
        <v>0</v>
      </c>
      <c r="C483" s="5">
        <f t="shared" si="29"/>
        <v>0</v>
      </c>
      <c r="D483" s="5">
        <f>IF(ExtraPayment=0, 0, IF(AND($B483&lt;&gt;0,ExtraPayment&lt;=$B483),-ExtraPayment,-($F483)-$B483))</f>
        <v>0</v>
      </c>
      <c r="E483" s="5">
        <f>IF($B483 &lt;= 0, 0, -ROUND($B483 * (InterestRate / PaymentsPerYear), 2))</f>
        <v>0</v>
      </c>
      <c r="F483" s="5">
        <f>ROUND(IFERROR(IF(OR($B483 &lt;=0, $B483 = ExtraPayment),0,
MAX(-$B483, -(-PMT(InterestRate/PaymentsPerYear,LoanTerm*PaymentsPerYear,LoanAmount) + $E483))), 0), 2)</f>
        <v>0</v>
      </c>
      <c r="G483" s="5">
        <f t="shared" si="30"/>
        <v>0</v>
      </c>
      <c r="H483" s="5">
        <f t="shared" si="31"/>
        <v>0</v>
      </c>
    </row>
    <row r="484" spans="1:8" x14ac:dyDescent="0.2">
      <c r="A484" s="2">
        <v>483</v>
      </c>
      <c r="B484" s="5">
        <f t="shared" si="28"/>
        <v>0</v>
      </c>
      <c r="C484" s="5">
        <f t="shared" si="29"/>
        <v>0</v>
      </c>
      <c r="D484" s="5">
        <f>IF(ExtraPayment=0, 0, IF(AND($B484&lt;&gt;0,ExtraPayment&lt;=$B484),-ExtraPayment,-($F484)-$B484))</f>
        <v>0</v>
      </c>
      <c r="E484" s="5">
        <f>IF($B484 &lt;= 0, 0, -ROUND($B484 * (InterestRate / PaymentsPerYear), 2))</f>
        <v>0</v>
      </c>
      <c r="F484" s="5">
        <f>ROUND(IFERROR(IF(OR($B484 &lt;=0, $B484 = ExtraPayment),0,
MAX(-$B484, -(-PMT(InterestRate/PaymentsPerYear,LoanTerm*PaymentsPerYear,LoanAmount) + $E484))), 0), 2)</f>
        <v>0</v>
      </c>
      <c r="G484" s="5">
        <f t="shared" si="30"/>
        <v>0</v>
      </c>
      <c r="H484" s="5">
        <f t="shared" si="31"/>
        <v>0</v>
      </c>
    </row>
    <row r="485" spans="1:8" x14ac:dyDescent="0.2">
      <c r="A485" s="2">
        <v>484</v>
      </c>
      <c r="B485" s="5">
        <f t="shared" si="28"/>
        <v>0</v>
      </c>
      <c r="C485" s="5">
        <f t="shared" si="29"/>
        <v>0</v>
      </c>
      <c r="D485" s="5">
        <f>IF(ExtraPayment=0, 0, IF(AND($B485&lt;&gt;0,ExtraPayment&lt;=$B485),-ExtraPayment,-($F485)-$B485))</f>
        <v>0</v>
      </c>
      <c r="E485" s="5">
        <f>IF($B485 &lt;= 0, 0, -ROUND($B485 * (InterestRate / PaymentsPerYear), 2))</f>
        <v>0</v>
      </c>
      <c r="F485" s="5">
        <f>ROUND(IFERROR(IF(OR($B485 &lt;=0, $B485 = ExtraPayment),0,
MAX(-$B485, -(-PMT(InterestRate/PaymentsPerYear,LoanTerm*PaymentsPerYear,LoanAmount) + $E485))), 0), 2)</f>
        <v>0</v>
      </c>
      <c r="G485" s="5">
        <f t="shared" si="30"/>
        <v>0</v>
      </c>
      <c r="H485" s="5">
        <f t="shared" si="31"/>
        <v>0</v>
      </c>
    </row>
    <row r="486" spans="1:8" x14ac:dyDescent="0.2">
      <c r="A486" s="2">
        <v>485</v>
      </c>
      <c r="B486" s="5">
        <f t="shared" si="28"/>
        <v>0</v>
      </c>
      <c r="C486" s="5">
        <f t="shared" si="29"/>
        <v>0</v>
      </c>
      <c r="D486" s="5">
        <f>IF(ExtraPayment=0, 0, IF(AND($B486&lt;&gt;0,ExtraPayment&lt;=$B486),-ExtraPayment,-($F486)-$B486))</f>
        <v>0</v>
      </c>
      <c r="E486" s="5">
        <f>IF($B486 &lt;= 0, 0, -ROUND($B486 * (InterestRate / PaymentsPerYear), 2))</f>
        <v>0</v>
      </c>
      <c r="F486" s="5">
        <f>ROUND(IFERROR(IF(OR($B486 &lt;=0, $B486 = ExtraPayment),0,
MAX(-$B486, -(-PMT(InterestRate/PaymentsPerYear,LoanTerm*PaymentsPerYear,LoanAmount) + $E486))), 0), 2)</f>
        <v>0</v>
      </c>
      <c r="G486" s="5">
        <f t="shared" si="30"/>
        <v>0</v>
      </c>
      <c r="H486" s="5">
        <f t="shared" si="31"/>
        <v>0</v>
      </c>
    </row>
    <row r="487" spans="1:8" x14ac:dyDescent="0.2">
      <c r="A487" s="2">
        <v>486</v>
      </c>
      <c r="B487" s="5">
        <f t="shared" si="28"/>
        <v>0</v>
      </c>
      <c r="C487" s="5">
        <f t="shared" si="29"/>
        <v>0</v>
      </c>
      <c r="D487" s="5">
        <f>IF(ExtraPayment=0, 0, IF(AND($B487&lt;&gt;0,ExtraPayment&lt;=$B487),-ExtraPayment,-($F487)-$B487))</f>
        <v>0</v>
      </c>
      <c r="E487" s="5">
        <f>IF($B487 &lt;= 0, 0, -ROUND($B487 * (InterestRate / PaymentsPerYear), 2))</f>
        <v>0</v>
      </c>
      <c r="F487" s="5">
        <f>ROUND(IFERROR(IF(OR($B487 &lt;=0, $B487 = ExtraPayment),0,
MAX(-$B487, -(-PMT(InterestRate/PaymentsPerYear,LoanTerm*PaymentsPerYear,LoanAmount) + $E487))), 0), 2)</f>
        <v>0</v>
      </c>
      <c r="G487" s="5">
        <f t="shared" si="30"/>
        <v>0</v>
      </c>
      <c r="H487" s="5">
        <f t="shared" si="31"/>
        <v>0</v>
      </c>
    </row>
    <row r="488" spans="1:8" x14ac:dyDescent="0.2">
      <c r="A488" s="2">
        <v>487</v>
      </c>
      <c r="B488" s="5">
        <f t="shared" si="28"/>
        <v>0</v>
      </c>
      <c r="C488" s="5">
        <f t="shared" si="29"/>
        <v>0</v>
      </c>
      <c r="D488" s="5">
        <f>IF(ExtraPayment=0, 0, IF(AND($B488&lt;&gt;0,ExtraPayment&lt;=$B488),-ExtraPayment,-($F488)-$B488))</f>
        <v>0</v>
      </c>
      <c r="E488" s="5">
        <f>IF($B488 &lt;= 0, 0, -ROUND($B488 * (InterestRate / PaymentsPerYear), 2))</f>
        <v>0</v>
      </c>
      <c r="F488" s="5">
        <f>ROUND(IFERROR(IF(OR($B488 &lt;=0, $B488 = ExtraPayment),0,
MAX(-$B488, -(-PMT(InterestRate/PaymentsPerYear,LoanTerm*PaymentsPerYear,LoanAmount) + $E488))), 0), 2)</f>
        <v>0</v>
      </c>
      <c r="G488" s="5">
        <f t="shared" si="30"/>
        <v>0</v>
      </c>
      <c r="H488" s="5">
        <f t="shared" si="31"/>
        <v>0</v>
      </c>
    </row>
    <row r="489" spans="1:8" x14ac:dyDescent="0.2">
      <c r="A489" s="2">
        <v>488</v>
      </c>
      <c r="B489" s="5">
        <f t="shared" si="28"/>
        <v>0</v>
      </c>
      <c r="C489" s="5">
        <f t="shared" si="29"/>
        <v>0</v>
      </c>
      <c r="D489" s="5">
        <f>IF(ExtraPayment=0, 0, IF(AND($B489&lt;&gt;0,ExtraPayment&lt;=$B489),-ExtraPayment,-($F489)-$B489))</f>
        <v>0</v>
      </c>
      <c r="E489" s="5">
        <f>IF($B489 &lt;= 0, 0, -ROUND($B489 * (InterestRate / PaymentsPerYear), 2))</f>
        <v>0</v>
      </c>
      <c r="F489" s="5">
        <f>ROUND(IFERROR(IF(OR($B489 &lt;=0, $B489 = ExtraPayment),0,
MAX(-$B489, -(-PMT(InterestRate/PaymentsPerYear,LoanTerm*PaymentsPerYear,LoanAmount) + $E489))), 0), 2)</f>
        <v>0</v>
      </c>
      <c r="G489" s="5">
        <f t="shared" si="30"/>
        <v>0</v>
      </c>
      <c r="H489" s="5">
        <f t="shared" si="31"/>
        <v>0</v>
      </c>
    </row>
    <row r="490" spans="1:8" x14ac:dyDescent="0.2">
      <c r="A490" s="2">
        <v>489</v>
      </c>
      <c r="B490" s="5">
        <f t="shared" si="28"/>
        <v>0</v>
      </c>
      <c r="C490" s="5">
        <f t="shared" si="29"/>
        <v>0</v>
      </c>
      <c r="D490" s="5">
        <f>IF(ExtraPayment=0, 0, IF(AND($B490&lt;&gt;0,ExtraPayment&lt;=$B490),-ExtraPayment,-($F490)-$B490))</f>
        <v>0</v>
      </c>
      <c r="E490" s="5">
        <f>IF($B490 &lt;= 0, 0, -ROUND($B490 * (InterestRate / PaymentsPerYear), 2))</f>
        <v>0</v>
      </c>
      <c r="F490" s="5">
        <f>ROUND(IFERROR(IF(OR($B490 &lt;=0, $B490 = ExtraPayment),0,
MAX(-$B490, -(-PMT(InterestRate/PaymentsPerYear,LoanTerm*PaymentsPerYear,LoanAmount) + $E490))), 0), 2)</f>
        <v>0</v>
      </c>
      <c r="G490" s="5">
        <f t="shared" si="30"/>
        <v>0</v>
      </c>
      <c r="H490" s="5">
        <f t="shared" si="31"/>
        <v>0</v>
      </c>
    </row>
    <row r="491" spans="1:8" x14ac:dyDescent="0.2">
      <c r="A491" s="2">
        <v>490</v>
      </c>
      <c r="B491" s="5">
        <f t="shared" si="28"/>
        <v>0</v>
      </c>
      <c r="C491" s="5">
        <f t="shared" si="29"/>
        <v>0</v>
      </c>
      <c r="D491" s="5">
        <f>IF(ExtraPayment=0, 0, IF(AND($B491&lt;&gt;0,ExtraPayment&lt;=$B491),-ExtraPayment,-($F491)-$B491))</f>
        <v>0</v>
      </c>
      <c r="E491" s="5">
        <f>IF($B491 &lt;= 0, 0, -ROUND($B491 * (InterestRate / PaymentsPerYear), 2))</f>
        <v>0</v>
      </c>
      <c r="F491" s="5">
        <f>ROUND(IFERROR(IF(OR($B491 &lt;=0, $B491 = ExtraPayment),0,
MAX(-$B491, -(-PMT(InterestRate/PaymentsPerYear,LoanTerm*PaymentsPerYear,LoanAmount) + $E491))), 0), 2)</f>
        <v>0</v>
      </c>
      <c r="G491" s="5">
        <f t="shared" si="30"/>
        <v>0</v>
      </c>
      <c r="H491" s="5">
        <f t="shared" si="31"/>
        <v>0</v>
      </c>
    </row>
    <row r="492" spans="1:8" x14ac:dyDescent="0.2">
      <c r="A492" s="2">
        <v>491</v>
      </c>
      <c r="B492" s="5">
        <f t="shared" si="28"/>
        <v>0</v>
      </c>
      <c r="C492" s="5">
        <f t="shared" si="29"/>
        <v>0</v>
      </c>
      <c r="D492" s="5">
        <f>IF(ExtraPayment=0, 0, IF(AND($B492&lt;&gt;0,ExtraPayment&lt;=$B492),-ExtraPayment,-($F492)-$B492))</f>
        <v>0</v>
      </c>
      <c r="E492" s="5">
        <f>IF($B492 &lt;= 0, 0, -ROUND($B492 * (InterestRate / PaymentsPerYear), 2))</f>
        <v>0</v>
      </c>
      <c r="F492" s="5">
        <f>ROUND(IFERROR(IF(OR($B492 &lt;=0, $B492 = ExtraPayment),0,
MAX(-$B492, -(-PMT(InterestRate/PaymentsPerYear,LoanTerm*PaymentsPerYear,LoanAmount) + $E492))), 0), 2)</f>
        <v>0</v>
      </c>
      <c r="G492" s="5">
        <f t="shared" si="30"/>
        <v>0</v>
      </c>
      <c r="H492" s="5">
        <f t="shared" si="31"/>
        <v>0</v>
      </c>
    </row>
    <row r="493" spans="1:8" x14ac:dyDescent="0.2">
      <c r="A493" s="2">
        <v>492</v>
      </c>
      <c r="B493" s="5">
        <f t="shared" si="28"/>
        <v>0</v>
      </c>
      <c r="C493" s="5">
        <f t="shared" si="29"/>
        <v>0</v>
      </c>
      <c r="D493" s="5">
        <f>IF(ExtraPayment=0, 0, IF(AND($B493&lt;&gt;0,ExtraPayment&lt;=$B493),-ExtraPayment,-($F493)-$B493))</f>
        <v>0</v>
      </c>
      <c r="E493" s="5">
        <f>IF($B493 &lt;= 0, 0, -ROUND($B493 * (InterestRate / PaymentsPerYear), 2))</f>
        <v>0</v>
      </c>
      <c r="F493" s="5">
        <f>ROUND(IFERROR(IF(OR($B493 &lt;=0, $B493 = ExtraPayment),0,
MAX(-$B493, -(-PMT(InterestRate/PaymentsPerYear,LoanTerm*PaymentsPerYear,LoanAmount) + $E493))), 0), 2)</f>
        <v>0</v>
      </c>
      <c r="G493" s="5">
        <f t="shared" si="30"/>
        <v>0</v>
      </c>
      <c r="H493" s="5">
        <f t="shared" si="31"/>
        <v>0</v>
      </c>
    </row>
    <row r="494" spans="1:8" x14ac:dyDescent="0.2">
      <c r="A494" s="2">
        <v>493</v>
      </c>
      <c r="B494" s="5">
        <f t="shared" si="28"/>
        <v>0</v>
      </c>
      <c r="C494" s="5">
        <f t="shared" si="29"/>
        <v>0</v>
      </c>
      <c r="D494" s="5">
        <f>IF(ExtraPayment=0, 0, IF(AND($B494&lt;&gt;0,ExtraPayment&lt;=$B494),-ExtraPayment,-($F494)-$B494))</f>
        <v>0</v>
      </c>
      <c r="E494" s="5">
        <f>IF($B494 &lt;= 0, 0, -ROUND($B494 * (InterestRate / PaymentsPerYear), 2))</f>
        <v>0</v>
      </c>
      <c r="F494" s="5">
        <f>ROUND(IFERROR(IF(OR($B494 &lt;=0, $B494 = ExtraPayment),0,
MAX(-$B494, -(-PMT(InterestRate/PaymentsPerYear,LoanTerm*PaymentsPerYear,LoanAmount) + $E494))), 0), 2)</f>
        <v>0</v>
      </c>
      <c r="G494" s="5">
        <f t="shared" si="30"/>
        <v>0</v>
      </c>
      <c r="H494" s="5">
        <f t="shared" si="31"/>
        <v>0</v>
      </c>
    </row>
    <row r="495" spans="1:8" x14ac:dyDescent="0.2">
      <c r="A495" s="2">
        <v>494</v>
      </c>
      <c r="B495" s="5">
        <f t="shared" si="28"/>
        <v>0</v>
      </c>
      <c r="C495" s="5">
        <f t="shared" si="29"/>
        <v>0</v>
      </c>
      <c r="D495" s="5">
        <f>IF(ExtraPayment=0, 0, IF(AND($B495&lt;&gt;0,ExtraPayment&lt;=$B495),-ExtraPayment,-($F495)-$B495))</f>
        <v>0</v>
      </c>
      <c r="E495" s="5">
        <f>IF($B495 &lt;= 0, 0, -ROUND($B495 * (InterestRate / PaymentsPerYear), 2))</f>
        <v>0</v>
      </c>
      <c r="F495" s="5">
        <f>ROUND(IFERROR(IF(OR($B495 &lt;=0, $B495 = ExtraPayment),0,
MAX(-$B495, -(-PMT(InterestRate/PaymentsPerYear,LoanTerm*PaymentsPerYear,LoanAmount) + $E495))), 0), 2)</f>
        <v>0</v>
      </c>
      <c r="G495" s="5">
        <f t="shared" si="30"/>
        <v>0</v>
      </c>
      <c r="H495" s="5">
        <f t="shared" si="31"/>
        <v>0</v>
      </c>
    </row>
    <row r="496" spans="1:8" x14ac:dyDescent="0.2">
      <c r="A496" s="2">
        <v>495</v>
      </c>
      <c r="B496" s="5">
        <f t="shared" si="28"/>
        <v>0</v>
      </c>
      <c r="C496" s="5">
        <f t="shared" si="29"/>
        <v>0</v>
      </c>
      <c r="D496" s="5">
        <f>IF(ExtraPayment=0, 0, IF(AND($B496&lt;&gt;0,ExtraPayment&lt;=$B496),-ExtraPayment,-($F496)-$B496))</f>
        <v>0</v>
      </c>
      <c r="E496" s="5">
        <f>IF($B496 &lt;= 0, 0, -ROUND($B496 * (InterestRate / PaymentsPerYear), 2))</f>
        <v>0</v>
      </c>
      <c r="F496" s="5">
        <f>ROUND(IFERROR(IF(OR($B496 &lt;=0, $B496 = ExtraPayment),0,
MAX(-$B496, -(-PMT(InterestRate/PaymentsPerYear,LoanTerm*PaymentsPerYear,LoanAmount) + $E496))), 0), 2)</f>
        <v>0</v>
      </c>
      <c r="G496" s="5">
        <f t="shared" si="30"/>
        <v>0</v>
      </c>
      <c r="H496" s="5">
        <f t="shared" si="31"/>
        <v>0</v>
      </c>
    </row>
    <row r="497" spans="1:8" x14ac:dyDescent="0.2">
      <c r="A497" s="2">
        <v>496</v>
      </c>
      <c r="B497" s="5">
        <f t="shared" si="28"/>
        <v>0</v>
      </c>
      <c r="C497" s="5">
        <f t="shared" si="29"/>
        <v>0</v>
      </c>
      <c r="D497" s="5">
        <f>IF(ExtraPayment=0, 0, IF(AND($B497&lt;&gt;0,ExtraPayment&lt;=$B497),-ExtraPayment,-($F497)-$B497))</f>
        <v>0</v>
      </c>
      <c r="E497" s="5">
        <f>IF($B497 &lt;= 0, 0, -ROUND($B497 * (InterestRate / PaymentsPerYear), 2))</f>
        <v>0</v>
      </c>
      <c r="F497" s="5">
        <f>ROUND(IFERROR(IF(OR($B497 &lt;=0, $B497 = ExtraPayment),0,
MAX(-$B497, -(-PMT(InterestRate/PaymentsPerYear,LoanTerm*PaymentsPerYear,LoanAmount) + $E497))), 0), 2)</f>
        <v>0</v>
      </c>
      <c r="G497" s="5">
        <f t="shared" si="30"/>
        <v>0</v>
      </c>
      <c r="H497" s="5">
        <f t="shared" si="31"/>
        <v>0</v>
      </c>
    </row>
    <row r="498" spans="1:8" x14ac:dyDescent="0.2">
      <c r="A498" s="2">
        <v>497</v>
      </c>
      <c r="B498" s="5">
        <f t="shared" si="28"/>
        <v>0</v>
      </c>
      <c r="C498" s="5">
        <f t="shared" si="29"/>
        <v>0</v>
      </c>
      <c r="D498" s="5">
        <f>IF(ExtraPayment=0, 0, IF(AND($B498&lt;&gt;0,ExtraPayment&lt;=$B498),-ExtraPayment,-($F498)-$B498))</f>
        <v>0</v>
      </c>
      <c r="E498" s="5">
        <f>IF($B498 &lt;= 0, 0, -ROUND($B498 * (InterestRate / PaymentsPerYear), 2))</f>
        <v>0</v>
      </c>
      <c r="F498" s="5">
        <f>ROUND(IFERROR(IF(OR($B498 &lt;=0, $B498 = ExtraPayment),0,
MAX(-$B498, -(-PMT(InterestRate/PaymentsPerYear,LoanTerm*PaymentsPerYear,LoanAmount) + $E498))), 0), 2)</f>
        <v>0</v>
      </c>
      <c r="G498" s="5">
        <f t="shared" si="30"/>
        <v>0</v>
      </c>
      <c r="H498" s="5">
        <f t="shared" si="31"/>
        <v>0</v>
      </c>
    </row>
    <row r="499" spans="1:8" x14ac:dyDescent="0.2">
      <c r="A499" s="2">
        <v>498</v>
      </c>
      <c r="B499" s="5">
        <f t="shared" si="28"/>
        <v>0</v>
      </c>
      <c r="C499" s="5">
        <f t="shared" si="29"/>
        <v>0</v>
      </c>
      <c r="D499" s="5">
        <f>IF(ExtraPayment=0, 0, IF(AND($B499&lt;&gt;0,ExtraPayment&lt;=$B499),-ExtraPayment,-($F499)-$B499))</f>
        <v>0</v>
      </c>
      <c r="E499" s="5">
        <f>IF($B499 &lt;= 0, 0, -ROUND($B499 * (InterestRate / PaymentsPerYear), 2))</f>
        <v>0</v>
      </c>
      <c r="F499" s="5">
        <f>ROUND(IFERROR(IF(OR($B499 &lt;=0, $B499 = ExtraPayment),0,
MAX(-$B499, -(-PMT(InterestRate/PaymentsPerYear,LoanTerm*PaymentsPerYear,LoanAmount) + $E499))), 0), 2)</f>
        <v>0</v>
      </c>
      <c r="G499" s="5">
        <f t="shared" si="30"/>
        <v>0</v>
      </c>
      <c r="H499" s="5">
        <f t="shared" si="31"/>
        <v>0</v>
      </c>
    </row>
    <row r="500" spans="1:8" x14ac:dyDescent="0.2">
      <c r="A500" s="2">
        <v>499</v>
      </c>
      <c r="B500" s="5">
        <f t="shared" si="28"/>
        <v>0</v>
      </c>
      <c r="C500" s="5">
        <f t="shared" si="29"/>
        <v>0</v>
      </c>
      <c r="D500" s="5">
        <f>IF(ExtraPayment=0, 0, IF(AND($B500&lt;&gt;0,ExtraPayment&lt;=$B500),-ExtraPayment,-($F500)-$B500))</f>
        <v>0</v>
      </c>
      <c r="E500" s="5">
        <f>IF($B500 &lt;= 0, 0, -ROUND($B500 * (InterestRate / PaymentsPerYear), 2))</f>
        <v>0</v>
      </c>
      <c r="F500" s="5">
        <f>ROUND(IFERROR(IF(OR($B500 &lt;=0, $B500 = ExtraPayment),0,
MAX(-$B500, -(-PMT(InterestRate/PaymentsPerYear,LoanTerm*PaymentsPerYear,LoanAmount) + $E500))), 0), 2)</f>
        <v>0</v>
      </c>
      <c r="G500" s="5">
        <f t="shared" si="30"/>
        <v>0</v>
      </c>
      <c r="H500" s="5">
        <f t="shared" si="31"/>
        <v>0</v>
      </c>
    </row>
    <row r="501" spans="1:8" x14ac:dyDescent="0.2">
      <c r="A501" s="2">
        <v>500</v>
      </c>
      <c r="B501" s="5">
        <f t="shared" si="28"/>
        <v>0</v>
      </c>
      <c r="C501" s="5">
        <f t="shared" si="29"/>
        <v>0</v>
      </c>
      <c r="D501" s="5">
        <f>IF(ExtraPayment=0, 0, IF(AND($B501&lt;&gt;0,ExtraPayment&lt;=$B501),-ExtraPayment,-($F501)-$B501))</f>
        <v>0</v>
      </c>
      <c r="E501" s="5">
        <f>IF($B501 &lt;= 0, 0, -ROUND($B501 * (InterestRate / PaymentsPerYear), 2))</f>
        <v>0</v>
      </c>
      <c r="F501" s="5">
        <f>ROUND(IFERROR(IF(OR($B501 &lt;=0, $B501 = ExtraPayment),0,
MAX(-$B501, -(-PMT(InterestRate/PaymentsPerYear,LoanTerm*PaymentsPerYear,LoanAmount) + $E501))), 0), 2)</f>
        <v>0</v>
      </c>
      <c r="G501" s="5">
        <f t="shared" si="30"/>
        <v>0</v>
      </c>
      <c r="H501" s="5">
        <f t="shared" si="31"/>
        <v>0</v>
      </c>
    </row>
    <row r="502" spans="1:8" x14ac:dyDescent="0.2">
      <c r="A502" s="2">
        <v>501</v>
      </c>
      <c r="B502" s="5">
        <f t="shared" si="28"/>
        <v>0</v>
      </c>
      <c r="C502" s="5">
        <f t="shared" si="29"/>
        <v>0</v>
      </c>
      <c r="D502" s="5">
        <f>IF(ExtraPayment=0, 0, IF(AND($B502&lt;&gt;0,ExtraPayment&lt;=$B502),-ExtraPayment,-($F502)-$B502))</f>
        <v>0</v>
      </c>
      <c r="E502" s="5">
        <f>IF($B502 &lt;= 0, 0, -ROUND($B502 * (InterestRate / PaymentsPerYear), 2))</f>
        <v>0</v>
      </c>
      <c r="F502" s="5">
        <f>ROUND(IFERROR(IF(OR($B502 &lt;=0, $B502 = ExtraPayment),0,
MAX(-$B502, -(-PMT(InterestRate/PaymentsPerYear,LoanTerm*PaymentsPerYear,LoanAmount) + $E502))), 0), 2)</f>
        <v>0</v>
      </c>
      <c r="G502" s="5">
        <f t="shared" si="30"/>
        <v>0</v>
      </c>
      <c r="H502" s="5">
        <f t="shared" si="31"/>
        <v>0</v>
      </c>
    </row>
    <row r="503" spans="1:8" x14ac:dyDescent="0.2">
      <c r="A503" s="2">
        <v>502</v>
      </c>
      <c r="B503" s="5">
        <f t="shared" si="28"/>
        <v>0</v>
      </c>
      <c r="C503" s="5">
        <f t="shared" si="29"/>
        <v>0</v>
      </c>
      <c r="D503" s="5">
        <f>IF(ExtraPayment=0, 0, IF(AND($B503&lt;&gt;0,ExtraPayment&lt;=$B503),-ExtraPayment,-($F503)-$B503))</f>
        <v>0</v>
      </c>
      <c r="E503" s="5">
        <f>IF($B503 &lt;= 0, 0, -ROUND($B503 * (InterestRate / PaymentsPerYear), 2))</f>
        <v>0</v>
      </c>
      <c r="F503" s="5">
        <f>ROUND(IFERROR(IF(OR($B503 &lt;=0, $B503 = ExtraPayment),0,
MAX(-$B503, -(-PMT(InterestRate/PaymentsPerYear,LoanTerm*PaymentsPerYear,LoanAmount) + $E503))), 0), 2)</f>
        <v>0</v>
      </c>
      <c r="G503" s="5">
        <f t="shared" si="30"/>
        <v>0</v>
      </c>
      <c r="H503" s="5">
        <f t="shared" si="31"/>
        <v>0</v>
      </c>
    </row>
    <row r="504" spans="1:8" x14ac:dyDescent="0.2">
      <c r="A504" s="2">
        <v>503</v>
      </c>
      <c r="B504" s="5">
        <f t="shared" si="28"/>
        <v>0</v>
      </c>
      <c r="C504" s="5">
        <f t="shared" si="29"/>
        <v>0</v>
      </c>
      <c r="D504" s="5">
        <f>IF(ExtraPayment=0, 0, IF(AND($B504&lt;&gt;0,ExtraPayment&lt;=$B504),-ExtraPayment,-($F504)-$B504))</f>
        <v>0</v>
      </c>
      <c r="E504" s="5">
        <f>IF($B504 &lt;= 0, 0, -ROUND($B504 * (InterestRate / PaymentsPerYear), 2))</f>
        <v>0</v>
      </c>
      <c r="F504" s="5">
        <f>ROUND(IFERROR(IF(OR($B504 &lt;=0, $B504 = ExtraPayment),0,
MAX(-$B504, -(-PMT(InterestRate/PaymentsPerYear,LoanTerm*PaymentsPerYear,LoanAmount) + $E504))), 0), 2)</f>
        <v>0</v>
      </c>
      <c r="G504" s="5">
        <f t="shared" si="30"/>
        <v>0</v>
      </c>
      <c r="H504" s="5">
        <f t="shared" si="31"/>
        <v>0</v>
      </c>
    </row>
    <row r="505" spans="1:8" x14ac:dyDescent="0.2">
      <c r="A505" s="2">
        <v>504</v>
      </c>
      <c r="B505" s="5">
        <f t="shared" si="28"/>
        <v>0</v>
      </c>
      <c r="C505" s="5">
        <f t="shared" si="29"/>
        <v>0</v>
      </c>
      <c r="D505" s="5">
        <f>IF(ExtraPayment=0, 0, IF(AND($B505&lt;&gt;0,ExtraPayment&lt;=$B505),-ExtraPayment,-($F505)-$B505))</f>
        <v>0</v>
      </c>
      <c r="E505" s="5">
        <f>IF($B505 &lt;= 0, 0, -ROUND($B505 * (InterestRate / PaymentsPerYear), 2))</f>
        <v>0</v>
      </c>
      <c r="F505" s="5">
        <f>ROUND(IFERROR(IF(OR($B505 &lt;=0, $B505 = ExtraPayment),0,
MAX(-$B505, -(-PMT(InterestRate/PaymentsPerYear,LoanTerm*PaymentsPerYear,LoanAmount) + $E505))), 0), 2)</f>
        <v>0</v>
      </c>
      <c r="G505" s="5">
        <f t="shared" si="30"/>
        <v>0</v>
      </c>
      <c r="H505" s="5">
        <f t="shared" si="31"/>
        <v>0</v>
      </c>
    </row>
    <row r="506" spans="1:8" x14ac:dyDescent="0.2">
      <c r="A506" s="2">
        <v>505</v>
      </c>
      <c r="B506" s="5">
        <f t="shared" si="28"/>
        <v>0</v>
      </c>
      <c r="C506" s="5">
        <f t="shared" si="29"/>
        <v>0</v>
      </c>
      <c r="D506" s="5">
        <f>IF(ExtraPayment=0, 0, IF(AND($B506&lt;&gt;0,ExtraPayment&lt;=$B506),-ExtraPayment,-($F506)-$B506))</f>
        <v>0</v>
      </c>
      <c r="E506" s="5">
        <f>IF($B506 &lt;= 0, 0, -ROUND($B506 * (InterestRate / PaymentsPerYear), 2))</f>
        <v>0</v>
      </c>
      <c r="F506" s="5">
        <f>ROUND(IFERROR(IF(OR($B506 &lt;=0, $B506 = ExtraPayment),0,
MAX(-$B506, -(-PMT(InterestRate/PaymentsPerYear,LoanTerm*PaymentsPerYear,LoanAmount) + $E506))), 0), 2)</f>
        <v>0</v>
      </c>
      <c r="G506" s="5">
        <f t="shared" si="30"/>
        <v>0</v>
      </c>
      <c r="H506" s="5">
        <f t="shared" si="31"/>
        <v>0</v>
      </c>
    </row>
    <row r="507" spans="1:8" x14ac:dyDescent="0.2">
      <c r="A507" s="2">
        <v>506</v>
      </c>
      <c r="B507" s="5">
        <f t="shared" si="28"/>
        <v>0</v>
      </c>
      <c r="C507" s="5">
        <f t="shared" si="29"/>
        <v>0</v>
      </c>
      <c r="D507" s="5">
        <f>IF(ExtraPayment=0, 0, IF(AND($B507&lt;&gt;0,ExtraPayment&lt;=$B507),-ExtraPayment,-($F507)-$B507))</f>
        <v>0</v>
      </c>
      <c r="E507" s="5">
        <f>IF($B507 &lt;= 0, 0, -ROUND($B507 * (InterestRate / PaymentsPerYear), 2))</f>
        <v>0</v>
      </c>
      <c r="F507" s="5">
        <f>ROUND(IFERROR(IF(OR($B507 &lt;=0, $B507 = ExtraPayment),0,
MAX(-$B507, -(-PMT(InterestRate/PaymentsPerYear,LoanTerm*PaymentsPerYear,LoanAmount) + $E507))), 0), 2)</f>
        <v>0</v>
      </c>
      <c r="G507" s="5">
        <f t="shared" si="30"/>
        <v>0</v>
      </c>
      <c r="H507" s="5">
        <f t="shared" si="31"/>
        <v>0</v>
      </c>
    </row>
    <row r="508" spans="1:8" x14ac:dyDescent="0.2">
      <c r="A508" s="2">
        <v>507</v>
      </c>
      <c r="B508" s="5">
        <f t="shared" si="28"/>
        <v>0</v>
      </c>
      <c r="C508" s="5">
        <f t="shared" si="29"/>
        <v>0</v>
      </c>
      <c r="D508" s="5">
        <f>IF(ExtraPayment=0, 0, IF(AND($B508&lt;&gt;0,ExtraPayment&lt;=$B508),-ExtraPayment,-($F508)-$B508))</f>
        <v>0</v>
      </c>
      <c r="E508" s="5">
        <f>IF($B508 &lt;= 0, 0, -ROUND($B508 * (InterestRate / PaymentsPerYear), 2))</f>
        <v>0</v>
      </c>
      <c r="F508" s="5">
        <f>ROUND(IFERROR(IF(OR($B508 &lt;=0, $B508 = ExtraPayment),0,
MAX(-$B508, -(-PMT(InterestRate/PaymentsPerYear,LoanTerm*PaymentsPerYear,LoanAmount) + $E508))), 0), 2)</f>
        <v>0</v>
      </c>
      <c r="G508" s="5">
        <f t="shared" si="30"/>
        <v>0</v>
      </c>
      <c r="H508" s="5">
        <f t="shared" si="31"/>
        <v>0</v>
      </c>
    </row>
    <row r="509" spans="1:8" x14ac:dyDescent="0.2">
      <c r="A509" s="2">
        <v>508</v>
      </c>
      <c r="B509" s="5">
        <f t="shared" si="28"/>
        <v>0</v>
      </c>
      <c r="C509" s="5">
        <f t="shared" si="29"/>
        <v>0</v>
      </c>
      <c r="D509" s="5">
        <f>IF(ExtraPayment=0, 0, IF(AND($B509&lt;&gt;0,ExtraPayment&lt;=$B509),-ExtraPayment,-($F509)-$B509))</f>
        <v>0</v>
      </c>
      <c r="E509" s="5">
        <f>IF($B509 &lt;= 0, 0, -ROUND($B509 * (InterestRate / PaymentsPerYear), 2))</f>
        <v>0</v>
      </c>
      <c r="F509" s="5">
        <f>ROUND(IFERROR(IF(OR($B509 &lt;=0, $B509 = ExtraPayment),0,
MAX(-$B509, -(-PMT(InterestRate/PaymentsPerYear,LoanTerm*PaymentsPerYear,LoanAmount) + $E509))), 0), 2)</f>
        <v>0</v>
      </c>
      <c r="G509" s="5">
        <f t="shared" si="30"/>
        <v>0</v>
      </c>
      <c r="H509" s="5">
        <f t="shared" si="31"/>
        <v>0</v>
      </c>
    </row>
    <row r="510" spans="1:8" x14ac:dyDescent="0.2">
      <c r="A510" s="2">
        <v>509</v>
      </c>
      <c r="B510" s="5">
        <f t="shared" si="28"/>
        <v>0</v>
      </c>
      <c r="C510" s="5">
        <f t="shared" si="29"/>
        <v>0</v>
      </c>
      <c r="D510" s="5">
        <f>IF(ExtraPayment=0, 0, IF(AND($B510&lt;&gt;0,ExtraPayment&lt;=$B510),-ExtraPayment,-($F510)-$B510))</f>
        <v>0</v>
      </c>
      <c r="E510" s="5">
        <f>IF($B510 &lt;= 0, 0, -ROUND($B510 * (InterestRate / PaymentsPerYear), 2))</f>
        <v>0</v>
      </c>
      <c r="F510" s="5">
        <f>ROUND(IFERROR(IF(OR($B510 &lt;=0, $B510 = ExtraPayment),0,
MAX(-$B510, -(-PMT(InterestRate/PaymentsPerYear,LoanTerm*PaymentsPerYear,LoanAmount) + $E510))), 0), 2)</f>
        <v>0</v>
      </c>
      <c r="G510" s="5">
        <f t="shared" si="30"/>
        <v>0</v>
      </c>
      <c r="H510" s="5">
        <f t="shared" si="31"/>
        <v>0</v>
      </c>
    </row>
    <row r="511" spans="1:8" x14ac:dyDescent="0.2">
      <c r="A511" s="2">
        <v>510</v>
      </c>
      <c r="B511" s="5">
        <f t="shared" si="28"/>
        <v>0</v>
      </c>
      <c r="C511" s="5">
        <f t="shared" si="29"/>
        <v>0</v>
      </c>
      <c r="D511" s="5">
        <f>IF(ExtraPayment=0, 0, IF(AND($B511&lt;&gt;0,ExtraPayment&lt;=$B511),-ExtraPayment,-($F511)-$B511))</f>
        <v>0</v>
      </c>
      <c r="E511" s="5">
        <f>IF($B511 &lt;= 0, 0, -ROUND($B511 * (InterestRate / PaymentsPerYear), 2))</f>
        <v>0</v>
      </c>
      <c r="F511" s="5">
        <f>ROUND(IFERROR(IF(OR($B511 &lt;=0, $B511 = ExtraPayment),0,
MAX(-$B511, -(-PMT(InterestRate/PaymentsPerYear,LoanTerm*PaymentsPerYear,LoanAmount) + $E511))), 0), 2)</f>
        <v>0</v>
      </c>
      <c r="G511" s="5">
        <f t="shared" si="30"/>
        <v>0</v>
      </c>
      <c r="H511" s="5">
        <f t="shared" si="31"/>
        <v>0</v>
      </c>
    </row>
    <row r="512" spans="1:8" x14ac:dyDescent="0.2">
      <c r="A512" s="2">
        <v>511</v>
      </c>
      <c r="B512" s="5">
        <f t="shared" si="28"/>
        <v>0</v>
      </c>
      <c r="C512" s="5">
        <f t="shared" si="29"/>
        <v>0</v>
      </c>
      <c r="D512" s="5">
        <f>IF(ExtraPayment=0, 0, IF(AND($B512&lt;&gt;0,ExtraPayment&lt;=$B512),-ExtraPayment,-($F512)-$B512))</f>
        <v>0</v>
      </c>
      <c r="E512" s="5">
        <f>IF($B512 &lt;= 0, 0, -ROUND($B512 * (InterestRate / PaymentsPerYear), 2))</f>
        <v>0</v>
      </c>
      <c r="F512" s="5">
        <f>ROUND(IFERROR(IF(OR($B512 &lt;=0, $B512 = ExtraPayment),0,
MAX(-$B512, -(-PMT(InterestRate/PaymentsPerYear,LoanTerm*PaymentsPerYear,LoanAmount) + $E512))), 0), 2)</f>
        <v>0</v>
      </c>
      <c r="G512" s="5">
        <f t="shared" si="30"/>
        <v>0</v>
      </c>
      <c r="H512" s="5">
        <f t="shared" si="31"/>
        <v>0</v>
      </c>
    </row>
    <row r="513" spans="1:8" x14ac:dyDescent="0.2">
      <c r="A513" s="2">
        <v>512</v>
      </c>
      <c r="B513" s="5">
        <f t="shared" si="28"/>
        <v>0</v>
      </c>
      <c r="C513" s="5">
        <f t="shared" si="29"/>
        <v>0</v>
      </c>
      <c r="D513" s="5">
        <f>IF(ExtraPayment=0, 0, IF(AND($B513&lt;&gt;0,ExtraPayment&lt;=$B513),-ExtraPayment,-($F513)-$B513))</f>
        <v>0</v>
      </c>
      <c r="E513" s="5">
        <f>IF($B513 &lt;= 0, 0, -ROUND($B513 * (InterestRate / PaymentsPerYear), 2))</f>
        <v>0</v>
      </c>
      <c r="F513" s="5">
        <f>ROUND(IFERROR(IF(OR($B513 &lt;=0, $B513 = ExtraPayment),0,
MAX(-$B513, -(-PMT(InterestRate/PaymentsPerYear,LoanTerm*PaymentsPerYear,LoanAmount) + $E513))), 0), 2)</f>
        <v>0</v>
      </c>
      <c r="G513" s="5">
        <f t="shared" si="30"/>
        <v>0</v>
      </c>
      <c r="H513" s="5">
        <f t="shared" si="31"/>
        <v>0</v>
      </c>
    </row>
    <row r="514" spans="1:8" x14ac:dyDescent="0.2">
      <c r="A514" s="2">
        <v>513</v>
      </c>
      <c r="B514" s="5">
        <f t="shared" si="28"/>
        <v>0</v>
      </c>
      <c r="C514" s="5">
        <f t="shared" si="29"/>
        <v>0</v>
      </c>
      <c r="D514" s="5">
        <f>IF(ExtraPayment=0, 0, IF(AND($B514&lt;&gt;0,ExtraPayment&lt;=$B514),-ExtraPayment,-($F514)-$B514))</f>
        <v>0</v>
      </c>
      <c r="E514" s="5">
        <f>IF($B514 &lt;= 0, 0, -ROUND($B514 * (InterestRate / PaymentsPerYear), 2))</f>
        <v>0</v>
      </c>
      <c r="F514" s="5">
        <f>ROUND(IFERROR(IF(OR($B514 &lt;=0, $B514 = ExtraPayment),0,
MAX(-$B514, -(-PMT(InterestRate/PaymentsPerYear,LoanTerm*PaymentsPerYear,LoanAmount) + $E514))), 0), 2)</f>
        <v>0</v>
      </c>
      <c r="G514" s="5">
        <f t="shared" si="30"/>
        <v>0</v>
      </c>
      <c r="H514" s="5">
        <f t="shared" si="31"/>
        <v>0</v>
      </c>
    </row>
    <row r="515" spans="1:8" x14ac:dyDescent="0.2">
      <c r="A515" s="2">
        <v>514</v>
      </c>
      <c r="B515" s="5">
        <f t="shared" si="28"/>
        <v>0</v>
      </c>
      <c r="C515" s="5">
        <f t="shared" si="29"/>
        <v>0</v>
      </c>
      <c r="D515" s="5">
        <f>IF(ExtraPayment=0, 0, IF(AND($B515&lt;&gt;0,ExtraPayment&lt;=$B515),-ExtraPayment,-($F515)-$B515))</f>
        <v>0</v>
      </c>
      <c r="E515" s="5">
        <f>IF($B515 &lt;= 0, 0, -ROUND($B515 * (InterestRate / PaymentsPerYear), 2))</f>
        <v>0</v>
      </c>
      <c r="F515" s="5">
        <f>ROUND(IFERROR(IF(OR($B515 &lt;=0, $B515 = ExtraPayment),0,
MAX(-$B515, -(-PMT(InterestRate/PaymentsPerYear,LoanTerm*PaymentsPerYear,LoanAmount) + $E515))), 0), 2)</f>
        <v>0</v>
      </c>
      <c r="G515" s="5">
        <f t="shared" si="30"/>
        <v>0</v>
      </c>
      <c r="H515" s="5">
        <f t="shared" si="31"/>
        <v>0</v>
      </c>
    </row>
    <row r="516" spans="1:8" x14ac:dyDescent="0.2">
      <c r="A516" s="2">
        <v>515</v>
      </c>
      <c r="B516" s="5">
        <f t="shared" ref="B516:B579" si="32">ROUND(IF($H515 &gt;= 0, MAX($H515, $F515), 0), 2)</f>
        <v>0</v>
      </c>
      <c r="C516" s="5">
        <f t="shared" ref="C516:C579" si="33">IF($B516 &lt;= 0, 0, $D516+$E516+$F516)</f>
        <v>0</v>
      </c>
      <c r="D516" s="5">
        <f>IF(ExtraPayment=0, 0, IF(AND($B516&lt;&gt;0,ExtraPayment&lt;=$B516),-ExtraPayment,-($F516)-$B516))</f>
        <v>0</v>
      </c>
      <c r="E516" s="5">
        <f>IF($B516 &lt;= 0, 0, -ROUND($B516 * (InterestRate / PaymentsPerYear), 2))</f>
        <v>0</v>
      </c>
      <c r="F516" s="5">
        <f>ROUND(IFERROR(IF(OR($B516 &lt;=0, $B516 = ExtraPayment),0,
MAX(-$B516, -(-PMT(InterestRate/PaymentsPerYear,LoanTerm*PaymentsPerYear,LoanAmount) + $E516))), 0), 2)</f>
        <v>0</v>
      </c>
      <c r="G516" s="5">
        <f t="shared" ref="G516:G579" si="34">$D516+$F516</f>
        <v>0</v>
      </c>
      <c r="H516" s="5">
        <f t="shared" ref="H516:H579" si="35">ROUND(IF($B516 &lt;= 0, 0,MAX(0, $B516 + $G516)), 2)</f>
        <v>0</v>
      </c>
    </row>
    <row r="517" spans="1:8" x14ac:dyDescent="0.2">
      <c r="A517" s="2">
        <v>516</v>
      </c>
      <c r="B517" s="5">
        <f t="shared" si="32"/>
        <v>0</v>
      </c>
      <c r="C517" s="5">
        <f t="shared" si="33"/>
        <v>0</v>
      </c>
      <c r="D517" s="5">
        <f>IF(ExtraPayment=0, 0, IF(AND($B517&lt;&gt;0,ExtraPayment&lt;=$B517),-ExtraPayment,-($F517)-$B517))</f>
        <v>0</v>
      </c>
      <c r="E517" s="5">
        <f>IF($B517 &lt;= 0, 0, -ROUND($B517 * (InterestRate / PaymentsPerYear), 2))</f>
        <v>0</v>
      </c>
      <c r="F517" s="5">
        <f>ROUND(IFERROR(IF(OR($B517 &lt;=0, $B517 = ExtraPayment),0,
MAX(-$B517, -(-PMT(InterestRate/PaymentsPerYear,LoanTerm*PaymentsPerYear,LoanAmount) + $E517))), 0), 2)</f>
        <v>0</v>
      </c>
      <c r="G517" s="5">
        <f t="shared" si="34"/>
        <v>0</v>
      </c>
      <c r="H517" s="5">
        <f t="shared" si="35"/>
        <v>0</v>
      </c>
    </row>
    <row r="518" spans="1:8" x14ac:dyDescent="0.2">
      <c r="A518" s="2">
        <v>517</v>
      </c>
      <c r="B518" s="5">
        <f t="shared" si="32"/>
        <v>0</v>
      </c>
      <c r="C518" s="5">
        <f t="shared" si="33"/>
        <v>0</v>
      </c>
      <c r="D518" s="5">
        <f>IF(ExtraPayment=0, 0, IF(AND($B518&lt;&gt;0,ExtraPayment&lt;=$B518),-ExtraPayment,-($F518)-$B518))</f>
        <v>0</v>
      </c>
      <c r="E518" s="5">
        <f>IF($B518 &lt;= 0, 0, -ROUND($B518 * (InterestRate / PaymentsPerYear), 2))</f>
        <v>0</v>
      </c>
      <c r="F518" s="5">
        <f>ROUND(IFERROR(IF(OR($B518 &lt;=0, $B518 = ExtraPayment),0,
MAX(-$B518, -(-PMT(InterestRate/PaymentsPerYear,LoanTerm*PaymentsPerYear,LoanAmount) + $E518))), 0), 2)</f>
        <v>0</v>
      </c>
      <c r="G518" s="5">
        <f t="shared" si="34"/>
        <v>0</v>
      </c>
      <c r="H518" s="5">
        <f t="shared" si="35"/>
        <v>0</v>
      </c>
    </row>
    <row r="519" spans="1:8" x14ac:dyDescent="0.2">
      <c r="A519" s="2">
        <v>518</v>
      </c>
      <c r="B519" s="5">
        <f t="shared" si="32"/>
        <v>0</v>
      </c>
      <c r="C519" s="5">
        <f t="shared" si="33"/>
        <v>0</v>
      </c>
      <c r="D519" s="5">
        <f>IF(ExtraPayment=0, 0, IF(AND($B519&lt;&gt;0,ExtraPayment&lt;=$B519),-ExtraPayment,-($F519)-$B519))</f>
        <v>0</v>
      </c>
      <c r="E519" s="5">
        <f>IF($B519 &lt;= 0, 0, -ROUND($B519 * (InterestRate / PaymentsPerYear), 2))</f>
        <v>0</v>
      </c>
      <c r="F519" s="5">
        <f>ROUND(IFERROR(IF(OR($B519 &lt;=0, $B519 = ExtraPayment),0,
MAX(-$B519, -(-PMT(InterestRate/PaymentsPerYear,LoanTerm*PaymentsPerYear,LoanAmount) + $E519))), 0), 2)</f>
        <v>0</v>
      </c>
      <c r="G519" s="5">
        <f t="shared" si="34"/>
        <v>0</v>
      </c>
      <c r="H519" s="5">
        <f t="shared" si="35"/>
        <v>0</v>
      </c>
    </row>
    <row r="520" spans="1:8" x14ac:dyDescent="0.2">
      <c r="A520" s="2">
        <v>519</v>
      </c>
      <c r="B520" s="5">
        <f t="shared" si="32"/>
        <v>0</v>
      </c>
      <c r="C520" s="5">
        <f t="shared" si="33"/>
        <v>0</v>
      </c>
      <c r="D520" s="5">
        <f>IF(ExtraPayment=0, 0, IF(AND($B520&lt;&gt;0,ExtraPayment&lt;=$B520),-ExtraPayment,-($F520)-$B520))</f>
        <v>0</v>
      </c>
      <c r="E520" s="5">
        <f>IF($B520 &lt;= 0, 0, -ROUND($B520 * (InterestRate / PaymentsPerYear), 2))</f>
        <v>0</v>
      </c>
      <c r="F520" s="5">
        <f>ROUND(IFERROR(IF(OR($B520 &lt;=0, $B520 = ExtraPayment),0,
MAX(-$B520, -(-PMT(InterestRate/PaymentsPerYear,LoanTerm*PaymentsPerYear,LoanAmount) + $E520))), 0), 2)</f>
        <v>0</v>
      </c>
      <c r="G520" s="5">
        <f t="shared" si="34"/>
        <v>0</v>
      </c>
      <c r="H520" s="5">
        <f t="shared" si="35"/>
        <v>0</v>
      </c>
    </row>
    <row r="521" spans="1:8" x14ac:dyDescent="0.2">
      <c r="A521" s="2">
        <v>520</v>
      </c>
      <c r="B521" s="5">
        <f t="shared" si="32"/>
        <v>0</v>
      </c>
      <c r="C521" s="5">
        <f t="shared" si="33"/>
        <v>0</v>
      </c>
      <c r="D521" s="5">
        <f>IF(ExtraPayment=0, 0, IF(AND($B521&lt;&gt;0,ExtraPayment&lt;=$B521),-ExtraPayment,-($F521)-$B521))</f>
        <v>0</v>
      </c>
      <c r="E521" s="5">
        <f>IF($B521 &lt;= 0, 0, -ROUND($B521 * (InterestRate / PaymentsPerYear), 2))</f>
        <v>0</v>
      </c>
      <c r="F521" s="5">
        <f>ROUND(IFERROR(IF(OR($B521 &lt;=0, $B521 = ExtraPayment),0,
MAX(-$B521, -(-PMT(InterestRate/PaymentsPerYear,LoanTerm*PaymentsPerYear,LoanAmount) + $E521))), 0), 2)</f>
        <v>0</v>
      </c>
      <c r="G521" s="5">
        <f t="shared" si="34"/>
        <v>0</v>
      </c>
      <c r="H521" s="5">
        <f t="shared" si="35"/>
        <v>0</v>
      </c>
    </row>
    <row r="522" spans="1:8" x14ac:dyDescent="0.2">
      <c r="A522" s="2">
        <v>521</v>
      </c>
      <c r="B522" s="5">
        <f t="shared" si="32"/>
        <v>0</v>
      </c>
      <c r="C522" s="5">
        <f t="shared" si="33"/>
        <v>0</v>
      </c>
      <c r="D522" s="5">
        <f>IF(ExtraPayment=0, 0, IF(AND($B522&lt;&gt;0,ExtraPayment&lt;=$B522),-ExtraPayment,-($F522)-$B522))</f>
        <v>0</v>
      </c>
      <c r="E522" s="5">
        <f>IF($B522 &lt;= 0, 0, -ROUND($B522 * (InterestRate / PaymentsPerYear), 2))</f>
        <v>0</v>
      </c>
      <c r="F522" s="5">
        <f>ROUND(IFERROR(IF(OR($B522 &lt;=0, $B522 = ExtraPayment),0,
MAX(-$B522, -(-PMT(InterestRate/PaymentsPerYear,LoanTerm*PaymentsPerYear,LoanAmount) + $E522))), 0), 2)</f>
        <v>0</v>
      </c>
      <c r="G522" s="5">
        <f t="shared" si="34"/>
        <v>0</v>
      </c>
      <c r="H522" s="5">
        <f t="shared" si="35"/>
        <v>0</v>
      </c>
    </row>
    <row r="523" spans="1:8" x14ac:dyDescent="0.2">
      <c r="A523" s="2">
        <v>522</v>
      </c>
      <c r="B523" s="5">
        <f t="shared" si="32"/>
        <v>0</v>
      </c>
      <c r="C523" s="5">
        <f t="shared" si="33"/>
        <v>0</v>
      </c>
      <c r="D523" s="5">
        <f>IF(ExtraPayment=0, 0, IF(AND($B523&lt;&gt;0,ExtraPayment&lt;=$B523),-ExtraPayment,-($F523)-$B523))</f>
        <v>0</v>
      </c>
      <c r="E523" s="5">
        <f>IF($B523 &lt;= 0, 0, -ROUND($B523 * (InterestRate / PaymentsPerYear), 2))</f>
        <v>0</v>
      </c>
      <c r="F523" s="5">
        <f>ROUND(IFERROR(IF(OR($B523 &lt;=0, $B523 = ExtraPayment),0,
MAX(-$B523, -(-PMT(InterestRate/PaymentsPerYear,LoanTerm*PaymentsPerYear,LoanAmount) + $E523))), 0), 2)</f>
        <v>0</v>
      </c>
      <c r="G523" s="5">
        <f t="shared" si="34"/>
        <v>0</v>
      </c>
      <c r="H523" s="5">
        <f t="shared" si="35"/>
        <v>0</v>
      </c>
    </row>
    <row r="524" spans="1:8" x14ac:dyDescent="0.2">
      <c r="A524" s="2">
        <v>523</v>
      </c>
      <c r="B524" s="5">
        <f t="shared" si="32"/>
        <v>0</v>
      </c>
      <c r="C524" s="5">
        <f t="shared" si="33"/>
        <v>0</v>
      </c>
      <c r="D524" s="5">
        <f>IF(ExtraPayment=0, 0, IF(AND($B524&lt;&gt;0,ExtraPayment&lt;=$B524),-ExtraPayment,-($F524)-$B524))</f>
        <v>0</v>
      </c>
      <c r="E524" s="5">
        <f>IF($B524 &lt;= 0, 0, -ROUND($B524 * (InterestRate / PaymentsPerYear), 2))</f>
        <v>0</v>
      </c>
      <c r="F524" s="5">
        <f>ROUND(IFERROR(IF(OR($B524 &lt;=0, $B524 = ExtraPayment),0,
MAX(-$B524, -(-PMT(InterestRate/PaymentsPerYear,LoanTerm*PaymentsPerYear,LoanAmount) + $E524))), 0), 2)</f>
        <v>0</v>
      </c>
      <c r="G524" s="5">
        <f t="shared" si="34"/>
        <v>0</v>
      </c>
      <c r="H524" s="5">
        <f t="shared" si="35"/>
        <v>0</v>
      </c>
    </row>
    <row r="525" spans="1:8" x14ac:dyDescent="0.2">
      <c r="A525" s="2">
        <v>524</v>
      </c>
      <c r="B525" s="5">
        <f t="shared" si="32"/>
        <v>0</v>
      </c>
      <c r="C525" s="5">
        <f t="shared" si="33"/>
        <v>0</v>
      </c>
      <c r="D525" s="5">
        <f>IF(ExtraPayment=0, 0, IF(AND($B525&lt;&gt;0,ExtraPayment&lt;=$B525),-ExtraPayment,-($F525)-$B525))</f>
        <v>0</v>
      </c>
      <c r="E525" s="5">
        <f>IF($B525 &lt;= 0, 0, -ROUND($B525 * (InterestRate / PaymentsPerYear), 2))</f>
        <v>0</v>
      </c>
      <c r="F525" s="5">
        <f>ROUND(IFERROR(IF(OR($B525 &lt;=0, $B525 = ExtraPayment),0,
MAX(-$B525, -(-PMT(InterestRate/PaymentsPerYear,LoanTerm*PaymentsPerYear,LoanAmount) + $E525))), 0), 2)</f>
        <v>0</v>
      </c>
      <c r="G525" s="5">
        <f t="shared" si="34"/>
        <v>0</v>
      </c>
      <c r="H525" s="5">
        <f t="shared" si="35"/>
        <v>0</v>
      </c>
    </row>
    <row r="526" spans="1:8" x14ac:dyDescent="0.2">
      <c r="A526" s="2">
        <v>525</v>
      </c>
      <c r="B526" s="5">
        <f t="shared" si="32"/>
        <v>0</v>
      </c>
      <c r="C526" s="5">
        <f t="shared" si="33"/>
        <v>0</v>
      </c>
      <c r="D526" s="5">
        <f>IF(ExtraPayment=0, 0, IF(AND($B526&lt;&gt;0,ExtraPayment&lt;=$B526),-ExtraPayment,-($F526)-$B526))</f>
        <v>0</v>
      </c>
      <c r="E526" s="5">
        <f>IF($B526 &lt;= 0, 0, -ROUND($B526 * (InterestRate / PaymentsPerYear), 2))</f>
        <v>0</v>
      </c>
      <c r="F526" s="5">
        <f>ROUND(IFERROR(IF(OR($B526 &lt;=0, $B526 = ExtraPayment),0,
MAX(-$B526, -(-PMT(InterestRate/PaymentsPerYear,LoanTerm*PaymentsPerYear,LoanAmount) + $E526))), 0), 2)</f>
        <v>0</v>
      </c>
      <c r="G526" s="5">
        <f t="shared" si="34"/>
        <v>0</v>
      </c>
      <c r="H526" s="5">
        <f t="shared" si="35"/>
        <v>0</v>
      </c>
    </row>
    <row r="527" spans="1:8" x14ac:dyDescent="0.2">
      <c r="A527" s="2">
        <v>526</v>
      </c>
      <c r="B527" s="5">
        <f t="shared" si="32"/>
        <v>0</v>
      </c>
      <c r="C527" s="5">
        <f t="shared" si="33"/>
        <v>0</v>
      </c>
      <c r="D527" s="5">
        <f>IF(ExtraPayment=0, 0, IF(AND($B527&lt;&gt;0,ExtraPayment&lt;=$B527),-ExtraPayment,-($F527)-$B527))</f>
        <v>0</v>
      </c>
      <c r="E527" s="5">
        <f>IF($B527 &lt;= 0, 0, -ROUND($B527 * (InterestRate / PaymentsPerYear), 2))</f>
        <v>0</v>
      </c>
      <c r="F527" s="5">
        <f>ROUND(IFERROR(IF(OR($B527 &lt;=0, $B527 = ExtraPayment),0,
MAX(-$B527, -(-PMT(InterestRate/PaymentsPerYear,LoanTerm*PaymentsPerYear,LoanAmount) + $E527))), 0), 2)</f>
        <v>0</v>
      </c>
      <c r="G527" s="5">
        <f t="shared" si="34"/>
        <v>0</v>
      </c>
      <c r="H527" s="5">
        <f t="shared" si="35"/>
        <v>0</v>
      </c>
    </row>
    <row r="528" spans="1:8" x14ac:dyDescent="0.2">
      <c r="A528" s="2">
        <v>527</v>
      </c>
      <c r="B528" s="5">
        <f t="shared" si="32"/>
        <v>0</v>
      </c>
      <c r="C528" s="5">
        <f t="shared" si="33"/>
        <v>0</v>
      </c>
      <c r="D528" s="5">
        <f>IF(ExtraPayment=0, 0, IF(AND($B528&lt;&gt;0,ExtraPayment&lt;=$B528),-ExtraPayment,-($F528)-$B528))</f>
        <v>0</v>
      </c>
      <c r="E528" s="5">
        <f>IF($B528 &lt;= 0, 0, -ROUND($B528 * (InterestRate / PaymentsPerYear), 2))</f>
        <v>0</v>
      </c>
      <c r="F528" s="5">
        <f>ROUND(IFERROR(IF(OR($B528 &lt;=0, $B528 = ExtraPayment),0,
MAX(-$B528, -(-PMT(InterestRate/PaymentsPerYear,LoanTerm*PaymentsPerYear,LoanAmount) + $E528))), 0), 2)</f>
        <v>0</v>
      </c>
      <c r="G528" s="5">
        <f t="shared" si="34"/>
        <v>0</v>
      </c>
      <c r="H528" s="5">
        <f t="shared" si="35"/>
        <v>0</v>
      </c>
    </row>
    <row r="529" spans="1:8" x14ac:dyDescent="0.2">
      <c r="A529" s="2">
        <v>528</v>
      </c>
      <c r="B529" s="5">
        <f t="shared" si="32"/>
        <v>0</v>
      </c>
      <c r="C529" s="5">
        <f t="shared" si="33"/>
        <v>0</v>
      </c>
      <c r="D529" s="5">
        <f>IF(ExtraPayment=0, 0, IF(AND($B529&lt;&gt;0,ExtraPayment&lt;=$B529),-ExtraPayment,-($F529)-$B529))</f>
        <v>0</v>
      </c>
      <c r="E529" s="5">
        <f>IF($B529 &lt;= 0, 0, -ROUND($B529 * (InterestRate / PaymentsPerYear), 2))</f>
        <v>0</v>
      </c>
      <c r="F529" s="5">
        <f>ROUND(IFERROR(IF(OR($B529 &lt;=0, $B529 = ExtraPayment),0,
MAX(-$B529, -(-PMT(InterestRate/PaymentsPerYear,LoanTerm*PaymentsPerYear,LoanAmount) + $E529))), 0), 2)</f>
        <v>0</v>
      </c>
      <c r="G529" s="5">
        <f t="shared" si="34"/>
        <v>0</v>
      </c>
      <c r="H529" s="5">
        <f t="shared" si="35"/>
        <v>0</v>
      </c>
    </row>
    <row r="530" spans="1:8" x14ac:dyDescent="0.2">
      <c r="A530" s="2">
        <v>529</v>
      </c>
      <c r="B530" s="5">
        <f t="shared" si="32"/>
        <v>0</v>
      </c>
      <c r="C530" s="5">
        <f t="shared" si="33"/>
        <v>0</v>
      </c>
      <c r="D530" s="5">
        <f>IF(ExtraPayment=0, 0, IF(AND($B530&lt;&gt;0,ExtraPayment&lt;=$B530),-ExtraPayment,-($F530)-$B530))</f>
        <v>0</v>
      </c>
      <c r="E530" s="5">
        <f>IF($B530 &lt;= 0, 0, -ROUND($B530 * (InterestRate / PaymentsPerYear), 2))</f>
        <v>0</v>
      </c>
      <c r="F530" s="5">
        <f>ROUND(IFERROR(IF(OR($B530 &lt;=0, $B530 = ExtraPayment),0,
MAX(-$B530, -(-PMT(InterestRate/PaymentsPerYear,LoanTerm*PaymentsPerYear,LoanAmount) + $E530))), 0), 2)</f>
        <v>0</v>
      </c>
      <c r="G530" s="5">
        <f t="shared" si="34"/>
        <v>0</v>
      </c>
      <c r="H530" s="5">
        <f t="shared" si="35"/>
        <v>0</v>
      </c>
    </row>
    <row r="531" spans="1:8" x14ac:dyDescent="0.2">
      <c r="A531" s="2">
        <v>530</v>
      </c>
      <c r="B531" s="5">
        <f t="shared" si="32"/>
        <v>0</v>
      </c>
      <c r="C531" s="5">
        <f t="shared" si="33"/>
        <v>0</v>
      </c>
      <c r="D531" s="5">
        <f>IF(ExtraPayment=0, 0, IF(AND($B531&lt;&gt;0,ExtraPayment&lt;=$B531),-ExtraPayment,-($F531)-$B531))</f>
        <v>0</v>
      </c>
      <c r="E531" s="5">
        <f>IF($B531 &lt;= 0, 0, -ROUND($B531 * (InterestRate / PaymentsPerYear), 2))</f>
        <v>0</v>
      </c>
      <c r="F531" s="5">
        <f>ROUND(IFERROR(IF(OR($B531 &lt;=0, $B531 = ExtraPayment),0,
MAX(-$B531, -(-PMT(InterestRate/PaymentsPerYear,LoanTerm*PaymentsPerYear,LoanAmount) + $E531))), 0), 2)</f>
        <v>0</v>
      </c>
      <c r="G531" s="5">
        <f t="shared" si="34"/>
        <v>0</v>
      </c>
      <c r="H531" s="5">
        <f t="shared" si="35"/>
        <v>0</v>
      </c>
    </row>
    <row r="532" spans="1:8" x14ac:dyDescent="0.2">
      <c r="A532" s="2">
        <v>531</v>
      </c>
      <c r="B532" s="5">
        <f t="shared" si="32"/>
        <v>0</v>
      </c>
      <c r="C532" s="5">
        <f t="shared" si="33"/>
        <v>0</v>
      </c>
      <c r="D532" s="5">
        <f>IF(ExtraPayment=0, 0, IF(AND($B532&lt;&gt;0,ExtraPayment&lt;=$B532),-ExtraPayment,-($F532)-$B532))</f>
        <v>0</v>
      </c>
      <c r="E532" s="5">
        <f>IF($B532 &lt;= 0, 0, -ROUND($B532 * (InterestRate / PaymentsPerYear), 2))</f>
        <v>0</v>
      </c>
      <c r="F532" s="5">
        <f>ROUND(IFERROR(IF(OR($B532 &lt;=0, $B532 = ExtraPayment),0,
MAX(-$B532, -(-PMT(InterestRate/PaymentsPerYear,LoanTerm*PaymentsPerYear,LoanAmount) + $E532))), 0), 2)</f>
        <v>0</v>
      </c>
      <c r="G532" s="5">
        <f t="shared" si="34"/>
        <v>0</v>
      </c>
      <c r="H532" s="5">
        <f t="shared" si="35"/>
        <v>0</v>
      </c>
    </row>
    <row r="533" spans="1:8" x14ac:dyDescent="0.2">
      <c r="A533" s="2">
        <v>532</v>
      </c>
      <c r="B533" s="5">
        <f t="shared" si="32"/>
        <v>0</v>
      </c>
      <c r="C533" s="5">
        <f t="shared" si="33"/>
        <v>0</v>
      </c>
      <c r="D533" s="5">
        <f>IF(ExtraPayment=0, 0, IF(AND($B533&lt;&gt;0,ExtraPayment&lt;=$B533),-ExtraPayment,-($F533)-$B533))</f>
        <v>0</v>
      </c>
      <c r="E533" s="5">
        <f>IF($B533 &lt;= 0, 0, -ROUND($B533 * (InterestRate / PaymentsPerYear), 2))</f>
        <v>0</v>
      </c>
      <c r="F533" s="5">
        <f>ROUND(IFERROR(IF(OR($B533 &lt;=0, $B533 = ExtraPayment),0,
MAX(-$B533, -(-PMT(InterestRate/PaymentsPerYear,LoanTerm*PaymentsPerYear,LoanAmount) + $E533))), 0), 2)</f>
        <v>0</v>
      </c>
      <c r="G533" s="5">
        <f t="shared" si="34"/>
        <v>0</v>
      </c>
      <c r="H533" s="5">
        <f t="shared" si="35"/>
        <v>0</v>
      </c>
    </row>
    <row r="534" spans="1:8" x14ac:dyDescent="0.2">
      <c r="A534" s="2">
        <v>533</v>
      </c>
      <c r="B534" s="5">
        <f t="shared" si="32"/>
        <v>0</v>
      </c>
      <c r="C534" s="5">
        <f t="shared" si="33"/>
        <v>0</v>
      </c>
      <c r="D534" s="5">
        <f>IF(ExtraPayment=0, 0, IF(AND($B534&lt;&gt;0,ExtraPayment&lt;=$B534),-ExtraPayment,-($F534)-$B534))</f>
        <v>0</v>
      </c>
      <c r="E534" s="5">
        <f>IF($B534 &lt;= 0, 0, -ROUND($B534 * (InterestRate / PaymentsPerYear), 2))</f>
        <v>0</v>
      </c>
      <c r="F534" s="5">
        <f>ROUND(IFERROR(IF(OR($B534 &lt;=0, $B534 = ExtraPayment),0,
MAX(-$B534, -(-PMT(InterestRate/PaymentsPerYear,LoanTerm*PaymentsPerYear,LoanAmount) + $E534))), 0), 2)</f>
        <v>0</v>
      </c>
      <c r="G534" s="5">
        <f t="shared" si="34"/>
        <v>0</v>
      </c>
      <c r="H534" s="5">
        <f t="shared" si="35"/>
        <v>0</v>
      </c>
    </row>
    <row r="535" spans="1:8" x14ac:dyDescent="0.2">
      <c r="A535" s="2">
        <v>534</v>
      </c>
      <c r="B535" s="5">
        <f t="shared" si="32"/>
        <v>0</v>
      </c>
      <c r="C535" s="5">
        <f t="shared" si="33"/>
        <v>0</v>
      </c>
      <c r="D535" s="5">
        <f>IF(ExtraPayment=0, 0, IF(AND($B535&lt;&gt;0,ExtraPayment&lt;=$B535),-ExtraPayment,-($F535)-$B535))</f>
        <v>0</v>
      </c>
      <c r="E535" s="5">
        <f>IF($B535 &lt;= 0, 0, -ROUND($B535 * (InterestRate / PaymentsPerYear), 2))</f>
        <v>0</v>
      </c>
      <c r="F535" s="5">
        <f>ROUND(IFERROR(IF(OR($B535 &lt;=0, $B535 = ExtraPayment),0,
MAX(-$B535, -(-PMT(InterestRate/PaymentsPerYear,LoanTerm*PaymentsPerYear,LoanAmount) + $E535))), 0), 2)</f>
        <v>0</v>
      </c>
      <c r="G535" s="5">
        <f t="shared" si="34"/>
        <v>0</v>
      </c>
      <c r="H535" s="5">
        <f t="shared" si="35"/>
        <v>0</v>
      </c>
    </row>
    <row r="536" spans="1:8" x14ac:dyDescent="0.2">
      <c r="A536" s="2">
        <v>535</v>
      </c>
      <c r="B536" s="5">
        <f t="shared" si="32"/>
        <v>0</v>
      </c>
      <c r="C536" s="5">
        <f t="shared" si="33"/>
        <v>0</v>
      </c>
      <c r="D536" s="5">
        <f>IF(ExtraPayment=0, 0, IF(AND($B536&lt;&gt;0,ExtraPayment&lt;=$B536),-ExtraPayment,-($F536)-$B536))</f>
        <v>0</v>
      </c>
      <c r="E536" s="5">
        <f>IF($B536 &lt;= 0, 0, -ROUND($B536 * (InterestRate / PaymentsPerYear), 2))</f>
        <v>0</v>
      </c>
      <c r="F536" s="5">
        <f>ROUND(IFERROR(IF(OR($B536 &lt;=0, $B536 = ExtraPayment),0,
MAX(-$B536, -(-PMT(InterestRate/PaymentsPerYear,LoanTerm*PaymentsPerYear,LoanAmount) + $E536))), 0), 2)</f>
        <v>0</v>
      </c>
      <c r="G536" s="5">
        <f t="shared" si="34"/>
        <v>0</v>
      </c>
      <c r="H536" s="5">
        <f t="shared" si="35"/>
        <v>0</v>
      </c>
    </row>
    <row r="537" spans="1:8" x14ac:dyDescent="0.2">
      <c r="A537" s="2">
        <v>536</v>
      </c>
      <c r="B537" s="5">
        <f t="shared" si="32"/>
        <v>0</v>
      </c>
      <c r="C537" s="5">
        <f t="shared" si="33"/>
        <v>0</v>
      </c>
      <c r="D537" s="5">
        <f>IF(ExtraPayment=0, 0, IF(AND($B537&lt;&gt;0,ExtraPayment&lt;=$B537),-ExtraPayment,-($F537)-$B537))</f>
        <v>0</v>
      </c>
      <c r="E537" s="5">
        <f>IF($B537 &lt;= 0, 0, -ROUND($B537 * (InterestRate / PaymentsPerYear), 2))</f>
        <v>0</v>
      </c>
      <c r="F537" s="5">
        <f>ROUND(IFERROR(IF(OR($B537 &lt;=0, $B537 = ExtraPayment),0,
MAX(-$B537, -(-PMT(InterestRate/PaymentsPerYear,LoanTerm*PaymentsPerYear,LoanAmount) + $E537))), 0), 2)</f>
        <v>0</v>
      </c>
      <c r="G537" s="5">
        <f t="shared" si="34"/>
        <v>0</v>
      </c>
      <c r="H537" s="5">
        <f t="shared" si="35"/>
        <v>0</v>
      </c>
    </row>
    <row r="538" spans="1:8" x14ac:dyDescent="0.2">
      <c r="A538" s="2">
        <v>537</v>
      </c>
      <c r="B538" s="5">
        <f t="shared" si="32"/>
        <v>0</v>
      </c>
      <c r="C538" s="5">
        <f t="shared" si="33"/>
        <v>0</v>
      </c>
      <c r="D538" s="5">
        <f>IF(ExtraPayment=0, 0, IF(AND($B538&lt;&gt;0,ExtraPayment&lt;=$B538),-ExtraPayment,-($F538)-$B538))</f>
        <v>0</v>
      </c>
      <c r="E538" s="5">
        <f>IF($B538 &lt;= 0, 0, -ROUND($B538 * (InterestRate / PaymentsPerYear), 2))</f>
        <v>0</v>
      </c>
      <c r="F538" s="5">
        <f>ROUND(IFERROR(IF(OR($B538 &lt;=0, $B538 = ExtraPayment),0,
MAX(-$B538, -(-PMT(InterestRate/PaymentsPerYear,LoanTerm*PaymentsPerYear,LoanAmount) + $E538))), 0), 2)</f>
        <v>0</v>
      </c>
      <c r="G538" s="5">
        <f t="shared" si="34"/>
        <v>0</v>
      </c>
      <c r="H538" s="5">
        <f t="shared" si="35"/>
        <v>0</v>
      </c>
    </row>
    <row r="539" spans="1:8" x14ac:dyDescent="0.2">
      <c r="A539" s="2">
        <v>538</v>
      </c>
      <c r="B539" s="5">
        <f t="shared" si="32"/>
        <v>0</v>
      </c>
      <c r="C539" s="5">
        <f t="shared" si="33"/>
        <v>0</v>
      </c>
      <c r="D539" s="5">
        <f>IF(ExtraPayment=0, 0, IF(AND($B539&lt;&gt;0,ExtraPayment&lt;=$B539),-ExtraPayment,-($F539)-$B539))</f>
        <v>0</v>
      </c>
      <c r="E539" s="5">
        <f>IF($B539 &lt;= 0, 0, -ROUND($B539 * (InterestRate / PaymentsPerYear), 2))</f>
        <v>0</v>
      </c>
      <c r="F539" s="5">
        <f>ROUND(IFERROR(IF(OR($B539 &lt;=0, $B539 = ExtraPayment),0,
MAX(-$B539, -(-PMT(InterestRate/PaymentsPerYear,LoanTerm*PaymentsPerYear,LoanAmount) + $E539))), 0), 2)</f>
        <v>0</v>
      </c>
      <c r="G539" s="5">
        <f t="shared" si="34"/>
        <v>0</v>
      </c>
      <c r="H539" s="5">
        <f t="shared" si="35"/>
        <v>0</v>
      </c>
    </row>
    <row r="540" spans="1:8" x14ac:dyDescent="0.2">
      <c r="A540" s="2">
        <v>539</v>
      </c>
      <c r="B540" s="5">
        <f t="shared" si="32"/>
        <v>0</v>
      </c>
      <c r="C540" s="5">
        <f t="shared" si="33"/>
        <v>0</v>
      </c>
      <c r="D540" s="5">
        <f>IF(ExtraPayment=0, 0, IF(AND($B540&lt;&gt;0,ExtraPayment&lt;=$B540),-ExtraPayment,-($F540)-$B540))</f>
        <v>0</v>
      </c>
      <c r="E540" s="5">
        <f>IF($B540 &lt;= 0, 0, -ROUND($B540 * (InterestRate / PaymentsPerYear), 2))</f>
        <v>0</v>
      </c>
      <c r="F540" s="5">
        <f>ROUND(IFERROR(IF(OR($B540 &lt;=0, $B540 = ExtraPayment),0,
MAX(-$B540, -(-PMT(InterestRate/PaymentsPerYear,LoanTerm*PaymentsPerYear,LoanAmount) + $E540))), 0), 2)</f>
        <v>0</v>
      </c>
      <c r="G540" s="5">
        <f t="shared" si="34"/>
        <v>0</v>
      </c>
      <c r="H540" s="5">
        <f t="shared" si="35"/>
        <v>0</v>
      </c>
    </row>
    <row r="541" spans="1:8" x14ac:dyDescent="0.2">
      <c r="A541" s="2">
        <v>540</v>
      </c>
      <c r="B541" s="5">
        <f t="shared" si="32"/>
        <v>0</v>
      </c>
      <c r="C541" s="5">
        <f t="shared" si="33"/>
        <v>0</v>
      </c>
      <c r="D541" s="5">
        <f>IF(ExtraPayment=0, 0, IF(AND($B541&lt;&gt;0,ExtraPayment&lt;=$B541),-ExtraPayment,-($F541)-$B541))</f>
        <v>0</v>
      </c>
      <c r="E541" s="5">
        <f>IF($B541 &lt;= 0, 0, -ROUND($B541 * (InterestRate / PaymentsPerYear), 2))</f>
        <v>0</v>
      </c>
      <c r="F541" s="5">
        <f>ROUND(IFERROR(IF(OR($B541 &lt;=0, $B541 = ExtraPayment),0,
MAX(-$B541, -(-PMT(InterestRate/PaymentsPerYear,LoanTerm*PaymentsPerYear,LoanAmount) + $E541))), 0), 2)</f>
        <v>0</v>
      </c>
      <c r="G541" s="5">
        <f t="shared" si="34"/>
        <v>0</v>
      </c>
      <c r="H541" s="5">
        <f t="shared" si="35"/>
        <v>0</v>
      </c>
    </row>
    <row r="542" spans="1:8" x14ac:dyDescent="0.2">
      <c r="A542" s="2">
        <v>541</v>
      </c>
      <c r="B542" s="5">
        <f t="shared" si="32"/>
        <v>0</v>
      </c>
      <c r="C542" s="5">
        <f t="shared" si="33"/>
        <v>0</v>
      </c>
      <c r="D542" s="5">
        <f>IF(ExtraPayment=0, 0, IF(AND($B542&lt;&gt;0,ExtraPayment&lt;=$B542),-ExtraPayment,-($F542)-$B542))</f>
        <v>0</v>
      </c>
      <c r="E542" s="5">
        <f>IF($B542 &lt;= 0, 0, -ROUND($B542 * (InterestRate / PaymentsPerYear), 2))</f>
        <v>0</v>
      </c>
      <c r="F542" s="5">
        <f>ROUND(IFERROR(IF(OR($B542 &lt;=0, $B542 = ExtraPayment),0,
MAX(-$B542, -(-PMT(InterestRate/PaymentsPerYear,LoanTerm*PaymentsPerYear,LoanAmount) + $E542))), 0), 2)</f>
        <v>0</v>
      </c>
      <c r="G542" s="5">
        <f t="shared" si="34"/>
        <v>0</v>
      </c>
      <c r="H542" s="5">
        <f t="shared" si="35"/>
        <v>0</v>
      </c>
    </row>
    <row r="543" spans="1:8" x14ac:dyDescent="0.2">
      <c r="A543" s="2">
        <v>542</v>
      </c>
      <c r="B543" s="5">
        <f t="shared" si="32"/>
        <v>0</v>
      </c>
      <c r="C543" s="5">
        <f t="shared" si="33"/>
        <v>0</v>
      </c>
      <c r="D543" s="5">
        <f>IF(ExtraPayment=0, 0, IF(AND($B543&lt;&gt;0,ExtraPayment&lt;=$B543),-ExtraPayment,-($F543)-$B543))</f>
        <v>0</v>
      </c>
      <c r="E543" s="5">
        <f>IF($B543 &lt;= 0, 0, -ROUND($B543 * (InterestRate / PaymentsPerYear), 2))</f>
        <v>0</v>
      </c>
      <c r="F543" s="5">
        <f>ROUND(IFERROR(IF(OR($B543 &lt;=0, $B543 = ExtraPayment),0,
MAX(-$B543, -(-PMT(InterestRate/PaymentsPerYear,LoanTerm*PaymentsPerYear,LoanAmount) + $E543))), 0), 2)</f>
        <v>0</v>
      </c>
      <c r="G543" s="5">
        <f t="shared" si="34"/>
        <v>0</v>
      </c>
      <c r="H543" s="5">
        <f t="shared" si="35"/>
        <v>0</v>
      </c>
    </row>
    <row r="544" spans="1:8" x14ac:dyDescent="0.2">
      <c r="A544" s="2">
        <v>543</v>
      </c>
      <c r="B544" s="5">
        <f t="shared" si="32"/>
        <v>0</v>
      </c>
      <c r="C544" s="5">
        <f t="shared" si="33"/>
        <v>0</v>
      </c>
      <c r="D544" s="5">
        <f>IF(ExtraPayment=0, 0, IF(AND($B544&lt;&gt;0,ExtraPayment&lt;=$B544),-ExtraPayment,-($F544)-$B544))</f>
        <v>0</v>
      </c>
      <c r="E544" s="5">
        <f>IF($B544 &lt;= 0, 0, -ROUND($B544 * (InterestRate / PaymentsPerYear), 2))</f>
        <v>0</v>
      </c>
      <c r="F544" s="5">
        <f>ROUND(IFERROR(IF(OR($B544 &lt;=0, $B544 = ExtraPayment),0,
MAX(-$B544, -(-PMT(InterestRate/PaymentsPerYear,LoanTerm*PaymentsPerYear,LoanAmount) + $E544))), 0), 2)</f>
        <v>0</v>
      </c>
      <c r="G544" s="5">
        <f t="shared" si="34"/>
        <v>0</v>
      </c>
      <c r="H544" s="5">
        <f t="shared" si="35"/>
        <v>0</v>
      </c>
    </row>
    <row r="545" spans="1:8" x14ac:dyDescent="0.2">
      <c r="A545" s="2">
        <v>544</v>
      </c>
      <c r="B545" s="5">
        <f t="shared" si="32"/>
        <v>0</v>
      </c>
      <c r="C545" s="5">
        <f t="shared" si="33"/>
        <v>0</v>
      </c>
      <c r="D545" s="5">
        <f>IF(ExtraPayment=0, 0, IF(AND($B545&lt;&gt;0,ExtraPayment&lt;=$B545),-ExtraPayment,-($F545)-$B545))</f>
        <v>0</v>
      </c>
      <c r="E545" s="5">
        <f>IF($B545 &lt;= 0, 0, -ROUND($B545 * (InterestRate / PaymentsPerYear), 2))</f>
        <v>0</v>
      </c>
      <c r="F545" s="5">
        <f>ROUND(IFERROR(IF(OR($B545 &lt;=0, $B545 = ExtraPayment),0,
MAX(-$B545, -(-PMT(InterestRate/PaymentsPerYear,LoanTerm*PaymentsPerYear,LoanAmount) + $E545))), 0), 2)</f>
        <v>0</v>
      </c>
      <c r="G545" s="5">
        <f t="shared" si="34"/>
        <v>0</v>
      </c>
      <c r="H545" s="5">
        <f t="shared" si="35"/>
        <v>0</v>
      </c>
    </row>
    <row r="546" spans="1:8" x14ac:dyDescent="0.2">
      <c r="A546" s="2">
        <v>545</v>
      </c>
      <c r="B546" s="5">
        <f t="shared" si="32"/>
        <v>0</v>
      </c>
      <c r="C546" s="5">
        <f t="shared" si="33"/>
        <v>0</v>
      </c>
      <c r="D546" s="5">
        <f>IF(ExtraPayment=0, 0, IF(AND($B546&lt;&gt;0,ExtraPayment&lt;=$B546),-ExtraPayment,-($F546)-$B546))</f>
        <v>0</v>
      </c>
      <c r="E546" s="5">
        <f>IF($B546 &lt;= 0, 0, -ROUND($B546 * (InterestRate / PaymentsPerYear), 2))</f>
        <v>0</v>
      </c>
      <c r="F546" s="5">
        <f>ROUND(IFERROR(IF(OR($B546 &lt;=0, $B546 = ExtraPayment),0,
MAX(-$B546, -(-PMT(InterestRate/PaymentsPerYear,LoanTerm*PaymentsPerYear,LoanAmount) + $E546))), 0), 2)</f>
        <v>0</v>
      </c>
      <c r="G546" s="5">
        <f t="shared" si="34"/>
        <v>0</v>
      </c>
      <c r="H546" s="5">
        <f t="shared" si="35"/>
        <v>0</v>
      </c>
    </row>
    <row r="547" spans="1:8" x14ac:dyDescent="0.2">
      <c r="A547" s="2">
        <v>546</v>
      </c>
      <c r="B547" s="5">
        <f t="shared" si="32"/>
        <v>0</v>
      </c>
      <c r="C547" s="5">
        <f t="shared" si="33"/>
        <v>0</v>
      </c>
      <c r="D547" s="5">
        <f>IF(ExtraPayment=0, 0, IF(AND($B547&lt;&gt;0,ExtraPayment&lt;=$B547),-ExtraPayment,-($F547)-$B547))</f>
        <v>0</v>
      </c>
      <c r="E547" s="5">
        <f>IF($B547 &lt;= 0, 0, -ROUND($B547 * (InterestRate / PaymentsPerYear), 2))</f>
        <v>0</v>
      </c>
      <c r="F547" s="5">
        <f>ROUND(IFERROR(IF(OR($B547 &lt;=0, $B547 = ExtraPayment),0,
MAX(-$B547, -(-PMT(InterestRate/PaymentsPerYear,LoanTerm*PaymentsPerYear,LoanAmount) + $E547))), 0), 2)</f>
        <v>0</v>
      </c>
      <c r="G547" s="5">
        <f t="shared" si="34"/>
        <v>0</v>
      </c>
      <c r="H547" s="5">
        <f t="shared" si="35"/>
        <v>0</v>
      </c>
    </row>
    <row r="548" spans="1:8" x14ac:dyDescent="0.2">
      <c r="A548" s="2">
        <v>547</v>
      </c>
      <c r="B548" s="5">
        <f t="shared" si="32"/>
        <v>0</v>
      </c>
      <c r="C548" s="5">
        <f t="shared" si="33"/>
        <v>0</v>
      </c>
      <c r="D548" s="5">
        <f>IF(ExtraPayment=0, 0, IF(AND($B548&lt;&gt;0,ExtraPayment&lt;=$B548),-ExtraPayment,-($F548)-$B548))</f>
        <v>0</v>
      </c>
      <c r="E548" s="5">
        <f>IF($B548 &lt;= 0, 0, -ROUND($B548 * (InterestRate / PaymentsPerYear), 2))</f>
        <v>0</v>
      </c>
      <c r="F548" s="5">
        <f>ROUND(IFERROR(IF(OR($B548 &lt;=0, $B548 = ExtraPayment),0,
MAX(-$B548, -(-PMT(InterestRate/PaymentsPerYear,LoanTerm*PaymentsPerYear,LoanAmount) + $E548))), 0), 2)</f>
        <v>0</v>
      </c>
      <c r="G548" s="5">
        <f t="shared" si="34"/>
        <v>0</v>
      </c>
      <c r="H548" s="5">
        <f t="shared" si="35"/>
        <v>0</v>
      </c>
    </row>
    <row r="549" spans="1:8" x14ac:dyDescent="0.2">
      <c r="A549" s="2">
        <v>548</v>
      </c>
      <c r="B549" s="5">
        <f t="shared" si="32"/>
        <v>0</v>
      </c>
      <c r="C549" s="5">
        <f t="shared" si="33"/>
        <v>0</v>
      </c>
      <c r="D549" s="5">
        <f>IF(ExtraPayment=0, 0, IF(AND($B549&lt;&gt;0,ExtraPayment&lt;=$B549),-ExtraPayment,-($F549)-$B549))</f>
        <v>0</v>
      </c>
      <c r="E549" s="5">
        <f>IF($B549 &lt;= 0, 0, -ROUND($B549 * (InterestRate / PaymentsPerYear), 2))</f>
        <v>0</v>
      </c>
      <c r="F549" s="5">
        <f>ROUND(IFERROR(IF(OR($B549 &lt;=0, $B549 = ExtraPayment),0,
MAX(-$B549, -(-PMT(InterestRate/PaymentsPerYear,LoanTerm*PaymentsPerYear,LoanAmount) + $E549))), 0), 2)</f>
        <v>0</v>
      </c>
      <c r="G549" s="5">
        <f t="shared" si="34"/>
        <v>0</v>
      </c>
      <c r="H549" s="5">
        <f t="shared" si="35"/>
        <v>0</v>
      </c>
    </row>
    <row r="550" spans="1:8" x14ac:dyDescent="0.2">
      <c r="A550" s="2">
        <v>549</v>
      </c>
      <c r="B550" s="5">
        <f t="shared" si="32"/>
        <v>0</v>
      </c>
      <c r="C550" s="5">
        <f t="shared" si="33"/>
        <v>0</v>
      </c>
      <c r="D550" s="5">
        <f>IF(ExtraPayment=0, 0, IF(AND($B550&lt;&gt;0,ExtraPayment&lt;=$B550),-ExtraPayment,-($F550)-$B550))</f>
        <v>0</v>
      </c>
      <c r="E550" s="5">
        <f>IF($B550 &lt;= 0, 0, -ROUND($B550 * (InterestRate / PaymentsPerYear), 2))</f>
        <v>0</v>
      </c>
      <c r="F550" s="5">
        <f>ROUND(IFERROR(IF(OR($B550 &lt;=0, $B550 = ExtraPayment),0,
MAX(-$B550, -(-PMT(InterestRate/PaymentsPerYear,LoanTerm*PaymentsPerYear,LoanAmount) + $E550))), 0), 2)</f>
        <v>0</v>
      </c>
      <c r="G550" s="5">
        <f t="shared" si="34"/>
        <v>0</v>
      </c>
      <c r="H550" s="5">
        <f t="shared" si="35"/>
        <v>0</v>
      </c>
    </row>
    <row r="551" spans="1:8" x14ac:dyDescent="0.2">
      <c r="A551" s="2">
        <v>550</v>
      </c>
      <c r="B551" s="5">
        <f t="shared" si="32"/>
        <v>0</v>
      </c>
      <c r="C551" s="5">
        <f t="shared" si="33"/>
        <v>0</v>
      </c>
      <c r="D551" s="5">
        <f>IF(ExtraPayment=0, 0, IF(AND($B551&lt;&gt;0,ExtraPayment&lt;=$B551),-ExtraPayment,-($F551)-$B551))</f>
        <v>0</v>
      </c>
      <c r="E551" s="5">
        <f>IF($B551 &lt;= 0, 0, -ROUND($B551 * (InterestRate / PaymentsPerYear), 2))</f>
        <v>0</v>
      </c>
      <c r="F551" s="5">
        <f>ROUND(IFERROR(IF(OR($B551 &lt;=0, $B551 = ExtraPayment),0,
MAX(-$B551, -(-PMT(InterestRate/PaymentsPerYear,LoanTerm*PaymentsPerYear,LoanAmount) + $E551))), 0), 2)</f>
        <v>0</v>
      </c>
      <c r="G551" s="5">
        <f t="shared" si="34"/>
        <v>0</v>
      </c>
      <c r="H551" s="5">
        <f t="shared" si="35"/>
        <v>0</v>
      </c>
    </row>
    <row r="552" spans="1:8" x14ac:dyDescent="0.2">
      <c r="A552" s="2">
        <v>551</v>
      </c>
      <c r="B552" s="5">
        <f t="shared" si="32"/>
        <v>0</v>
      </c>
      <c r="C552" s="5">
        <f t="shared" si="33"/>
        <v>0</v>
      </c>
      <c r="D552" s="5">
        <f>IF(ExtraPayment=0, 0, IF(AND($B552&lt;&gt;0,ExtraPayment&lt;=$B552),-ExtraPayment,-($F552)-$B552))</f>
        <v>0</v>
      </c>
      <c r="E552" s="5">
        <f>IF($B552 &lt;= 0, 0, -ROUND($B552 * (InterestRate / PaymentsPerYear), 2))</f>
        <v>0</v>
      </c>
      <c r="F552" s="5">
        <f>ROUND(IFERROR(IF(OR($B552 &lt;=0, $B552 = ExtraPayment),0,
MAX(-$B552, -(-PMT(InterestRate/PaymentsPerYear,LoanTerm*PaymentsPerYear,LoanAmount) + $E552))), 0), 2)</f>
        <v>0</v>
      </c>
      <c r="G552" s="5">
        <f t="shared" si="34"/>
        <v>0</v>
      </c>
      <c r="H552" s="5">
        <f t="shared" si="35"/>
        <v>0</v>
      </c>
    </row>
    <row r="553" spans="1:8" x14ac:dyDescent="0.2">
      <c r="A553" s="2">
        <v>552</v>
      </c>
      <c r="B553" s="5">
        <f t="shared" si="32"/>
        <v>0</v>
      </c>
      <c r="C553" s="5">
        <f t="shared" si="33"/>
        <v>0</v>
      </c>
      <c r="D553" s="5">
        <f>IF(ExtraPayment=0, 0, IF(AND($B553&lt;&gt;0,ExtraPayment&lt;=$B553),-ExtraPayment,-($F553)-$B553))</f>
        <v>0</v>
      </c>
      <c r="E553" s="5">
        <f>IF($B553 &lt;= 0, 0, -ROUND($B553 * (InterestRate / PaymentsPerYear), 2))</f>
        <v>0</v>
      </c>
      <c r="F553" s="5">
        <f>ROUND(IFERROR(IF(OR($B553 &lt;=0, $B553 = ExtraPayment),0,
MAX(-$B553, -(-PMT(InterestRate/PaymentsPerYear,LoanTerm*PaymentsPerYear,LoanAmount) + $E553))), 0), 2)</f>
        <v>0</v>
      </c>
      <c r="G553" s="5">
        <f t="shared" si="34"/>
        <v>0</v>
      </c>
      <c r="H553" s="5">
        <f t="shared" si="35"/>
        <v>0</v>
      </c>
    </row>
    <row r="554" spans="1:8" x14ac:dyDescent="0.2">
      <c r="A554" s="2">
        <v>553</v>
      </c>
      <c r="B554" s="5">
        <f t="shared" si="32"/>
        <v>0</v>
      </c>
      <c r="C554" s="5">
        <f t="shared" si="33"/>
        <v>0</v>
      </c>
      <c r="D554" s="5">
        <f>IF(ExtraPayment=0, 0, IF(AND($B554&lt;&gt;0,ExtraPayment&lt;=$B554),-ExtraPayment,-($F554)-$B554))</f>
        <v>0</v>
      </c>
      <c r="E554" s="5">
        <f>IF($B554 &lt;= 0, 0, -ROUND($B554 * (InterestRate / PaymentsPerYear), 2))</f>
        <v>0</v>
      </c>
      <c r="F554" s="5">
        <f>ROUND(IFERROR(IF(OR($B554 &lt;=0, $B554 = ExtraPayment),0,
MAX(-$B554, -(-PMT(InterestRate/PaymentsPerYear,LoanTerm*PaymentsPerYear,LoanAmount) + $E554))), 0), 2)</f>
        <v>0</v>
      </c>
      <c r="G554" s="5">
        <f t="shared" si="34"/>
        <v>0</v>
      </c>
      <c r="H554" s="5">
        <f t="shared" si="35"/>
        <v>0</v>
      </c>
    </row>
    <row r="555" spans="1:8" x14ac:dyDescent="0.2">
      <c r="A555" s="2">
        <v>554</v>
      </c>
      <c r="B555" s="5">
        <f t="shared" si="32"/>
        <v>0</v>
      </c>
      <c r="C555" s="5">
        <f t="shared" si="33"/>
        <v>0</v>
      </c>
      <c r="D555" s="5">
        <f>IF(ExtraPayment=0, 0, IF(AND($B555&lt;&gt;0,ExtraPayment&lt;=$B555),-ExtraPayment,-($F555)-$B555))</f>
        <v>0</v>
      </c>
      <c r="E555" s="5">
        <f>IF($B555 &lt;= 0, 0, -ROUND($B555 * (InterestRate / PaymentsPerYear), 2))</f>
        <v>0</v>
      </c>
      <c r="F555" s="5">
        <f>ROUND(IFERROR(IF(OR($B555 &lt;=0, $B555 = ExtraPayment),0,
MAX(-$B555, -(-PMT(InterestRate/PaymentsPerYear,LoanTerm*PaymentsPerYear,LoanAmount) + $E555))), 0), 2)</f>
        <v>0</v>
      </c>
      <c r="G555" s="5">
        <f t="shared" si="34"/>
        <v>0</v>
      </c>
      <c r="H555" s="5">
        <f t="shared" si="35"/>
        <v>0</v>
      </c>
    </row>
    <row r="556" spans="1:8" x14ac:dyDescent="0.2">
      <c r="A556" s="2">
        <v>555</v>
      </c>
      <c r="B556" s="5">
        <f t="shared" si="32"/>
        <v>0</v>
      </c>
      <c r="C556" s="5">
        <f t="shared" si="33"/>
        <v>0</v>
      </c>
      <c r="D556" s="5">
        <f>IF(ExtraPayment=0, 0, IF(AND($B556&lt;&gt;0,ExtraPayment&lt;=$B556),-ExtraPayment,-($F556)-$B556))</f>
        <v>0</v>
      </c>
      <c r="E556" s="5">
        <f>IF($B556 &lt;= 0, 0, -ROUND($B556 * (InterestRate / PaymentsPerYear), 2))</f>
        <v>0</v>
      </c>
      <c r="F556" s="5">
        <f>ROUND(IFERROR(IF(OR($B556 &lt;=0, $B556 = ExtraPayment),0,
MAX(-$B556, -(-PMT(InterestRate/PaymentsPerYear,LoanTerm*PaymentsPerYear,LoanAmount) + $E556))), 0), 2)</f>
        <v>0</v>
      </c>
      <c r="G556" s="5">
        <f t="shared" si="34"/>
        <v>0</v>
      </c>
      <c r="H556" s="5">
        <f t="shared" si="35"/>
        <v>0</v>
      </c>
    </row>
    <row r="557" spans="1:8" x14ac:dyDescent="0.2">
      <c r="A557" s="2">
        <v>556</v>
      </c>
      <c r="B557" s="5">
        <f t="shared" si="32"/>
        <v>0</v>
      </c>
      <c r="C557" s="5">
        <f t="shared" si="33"/>
        <v>0</v>
      </c>
      <c r="D557" s="5">
        <f>IF(ExtraPayment=0, 0, IF(AND($B557&lt;&gt;0,ExtraPayment&lt;=$B557),-ExtraPayment,-($F557)-$B557))</f>
        <v>0</v>
      </c>
      <c r="E557" s="5">
        <f>IF($B557 &lt;= 0, 0, -ROUND($B557 * (InterestRate / PaymentsPerYear), 2))</f>
        <v>0</v>
      </c>
      <c r="F557" s="5">
        <f>ROUND(IFERROR(IF(OR($B557 &lt;=0, $B557 = ExtraPayment),0,
MAX(-$B557, -(-PMT(InterestRate/PaymentsPerYear,LoanTerm*PaymentsPerYear,LoanAmount) + $E557))), 0), 2)</f>
        <v>0</v>
      </c>
      <c r="G557" s="5">
        <f t="shared" si="34"/>
        <v>0</v>
      </c>
      <c r="H557" s="5">
        <f t="shared" si="35"/>
        <v>0</v>
      </c>
    </row>
    <row r="558" spans="1:8" x14ac:dyDescent="0.2">
      <c r="A558" s="2">
        <v>557</v>
      </c>
      <c r="B558" s="5">
        <f t="shared" si="32"/>
        <v>0</v>
      </c>
      <c r="C558" s="5">
        <f t="shared" si="33"/>
        <v>0</v>
      </c>
      <c r="D558" s="5">
        <f>IF(ExtraPayment=0, 0, IF(AND($B558&lt;&gt;0,ExtraPayment&lt;=$B558),-ExtraPayment,-($F558)-$B558))</f>
        <v>0</v>
      </c>
      <c r="E558" s="5">
        <f>IF($B558 &lt;= 0, 0, -ROUND($B558 * (InterestRate / PaymentsPerYear), 2))</f>
        <v>0</v>
      </c>
      <c r="F558" s="5">
        <f>ROUND(IFERROR(IF(OR($B558 &lt;=0, $B558 = ExtraPayment),0,
MAX(-$B558, -(-PMT(InterestRate/PaymentsPerYear,LoanTerm*PaymentsPerYear,LoanAmount) + $E558))), 0), 2)</f>
        <v>0</v>
      </c>
      <c r="G558" s="5">
        <f t="shared" si="34"/>
        <v>0</v>
      </c>
      <c r="H558" s="5">
        <f t="shared" si="35"/>
        <v>0</v>
      </c>
    </row>
    <row r="559" spans="1:8" x14ac:dyDescent="0.2">
      <c r="A559" s="2">
        <v>558</v>
      </c>
      <c r="B559" s="5">
        <f t="shared" si="32"/>
        <v>0</v>
      </c>
      <c r="C559" s="5">
        <f t="shared" si="33"/>
        <v>0</v>
      </c>
      <c r="D559" s="5">
        <f>IF(ExtraPayment=0, 0, IF(AND($B559&lt;&gt;0,ExtraPayment&lt;=$B559),-ExtraPayment,-($F559)-$B559))</f>
        <v>0</v>
      </c>
      <c r="E559" s="5">
        <f>IF($B559 &lt;= 0, 0, -ROUND($B559 * (InterestRate / PaymentsPerYear), 2))</f>
        <v>0</v>
      </c>
      <c r="F559" s="5">
        <f>ROUND(IFERROR(IF(OR($B559 &lt;=0, $B559 = ExtraPayment),0,
MAX(-$B559, -(-PMT(InterestRate/PaymentsPerYear,LoanTerm*PaymentsPerYear,LoanAmount) + $E559))), 0), 2)</f>
        <v>0</v>
      </c>
      <c r="G559" s="5">
        <f t="shared" si="34"/>
        <v>0</v>
      </c>
      <c r="H559" s="5">
        <f t="shared" si="35"/>
        <v>0</v>
      </c>
    </row>
    <row r="560" spans="1:8" x14ac:dyDescent="0.2">
      <c r="A560" s="2">
        <v>559</v>
      </c>
      <c r="B560" s="5">
        <f t="shared" si="32"/>
        <v>0</v>
      </c>
      <c r="C560" s="5">
        <f t="shared" si="33"/>
        <v>0</v>
      </c>
      <c r="D560" s="5">
        <f>IF(ExtraPayment=0, 0, IF(AND($B560&lt;&gt;0,ExtraPayment&lt;=$B560),-ExtraPayment,-($F560)-$B560))</f>
        <v>0</v>
      </c>
      <c r="E560" s="5">
        <f>IF($B560 &lt;= 0, 0, -ROUND($B560 * (InterestRate / PaymentsPerYear), 2))</f>
        <v>0</v>
      </c>
      <c r="F560" s="5">
        <f>ROUND(IFERROR(IF(OR($B560 &lt;=0, $B560 = ExtraPayment),0,
MAX(-$B560, -(-PMT(InterestRate/PaymentsPerYear,LoanTerm*PaymentsPerYear,LoanAmount) + $E560))), 0), 2)</f>
        <v>0</v>
      </c>
      <c r="G560" s="5">
        <f t="shared" si="34"/>
        <v>0</v>
      </c>
      <c r="H560" s="5">
        <f t="shared" si="35"/>
        <v>0</v>
      </c>
    </row>
    <row r="561" spans="1:8" x14ac:dyDescent="0.2">
      <c r="A561" s="2">
        <v>560</v>
      </c>
      <c r="B561" s="5">
        <f t="shared" si="32"/>
        <v>0</v>
      </c>
      <c r="C561" s="5">
        <f t="shared" si="33"/>
        <v>0</v>
      </c>
      <c r="D561" s="5">
        <f>IF(ExtraPayment=0, 0, IF(AND($B561&lt;&gt;0,ExtraPayment&lt;=$B561),-ExtraPayment,-($F561)-$B561))</f>
        <v>0</v>
      </c>
      <c r="E561" s="5">
        <f>IF($B561 &lt;= 0, 0, -ROUND($B561 * (InterestRate / PaymentsPerYear), 2))</f>
        <v>0</v>
      </c>
      <c r="F561" s="5">
        <f>ROUND(IFERROR(IF(OR($B561 &lt;=0, $B561 = ExtraPayment),0,
MAX(-$B561, -(-PMT(InterestRate/PaymentsPerYear,LoanTerm*PaymentsPerYear,LoanAmount) + $E561))), 0), 2)</f>
        <v>0</v>
      </c>
      <c r="G561" s="5">
        <f t="shared" si="34"/>
        <v>0</v>
      </c>
      <c r="H561" s="5">
        <f t="shared" si="35"/>
        <v>0</v>
      </c>
    </row>
    <row r="562" spans="1:8" x14ac:dyDescent="0.2">
      <c r="A562" s="2">
        <v>561</v>
      </c>
      <c r="B562" s="5">
        <f t="shared" si="32"/>
        <v>0</v>
      </c>
      <c r="C562" s="5">
        <f t="shared" si="33"/>
        <v>0</v>
      </c>
      <c r="D562" s="5">
        <f>IF(ExtraPayment=0, 0, IF(AND($B562&lt;&gt;0,ExtraPayment&lt;=$B562),-ExtraPayment,-($F562)-$B562))</f>
        <v>0</v>
      </c>
      <c r="E562" s="5">
        <f>IF($B562 &lt;= 0, 0, -ROUND($B562 * (InterestRate / PaymentsPerYear), 2))</f>
        <v>0</v>
      </c>
      <c r="F562" s="5">
        <f>ROUND(IFERROR(IF(OR($B562 &lt;=0, $B562 = ExtraPayment),0,
MAX(-$B562, -(-PMT(InterestRate/PaymentsPerYear,LoanTerm*PaymentsPerYear,LoanAmount) + $E562))), 0), 2)</f>
        <v>0</v>
      </c>
      <c r="G562" s="5">
        <f t="shared" si="34"/>
        <v>0</v>
      </c>
      <c r="H562" s="5">
        <f t="shared" si="35"/>
        <v>0</v>
      </c>
    </row>
    <row r="563" spans="1:8" x14ac:dyDescent="0.2">
      <c r="A563" s="2">
        <v>562</v>
      </c>
      <c r="B563" s="5">
        <f t="shared" si="32"/>
        <v>0</v>
      </c>
      <c r="C563" s="5">
        <f t="shared" si="33"/>
        <v>0</v>
      </c>
      <c r="D563" s="5">
        <f>IF(ExtraPayment=0, 0, IF(AND($B563&lt;&gt;0,ExtraPayment&lt;=$B563),-ExtraPayment,-($F563)-$B563))</f>
        <v>0</v>
      </c>
      <c r="E563" s="5">
        <f>IF($B563 &lt;= 0, 0, -ROUND($B563 * (InterestRate / PaymentsPerYear), 2))</f>
        <v>0</v>
      </c>
      <c r="F563" s="5">
        <f>ROUND(IFERROR(IF(OR($B563 &lt;=0, $B563 = ExtraPayment),0,
MAX(-$B563, -(-PMT(InterestRate/PaymentsPerYear,LoanTerm*PaymentsPerYear,LoanAmount) + $E563))), 0), 2)</f>
        <v>0</v>
      </c>
      <c r="G563" s="5">
        <f t="shared" si="34"/>
        <v>0</v>
      </c>
      <c r="H563" s="5">
        <f t="shared" si="35"/>
        <v>0</v>
      </c>
    </row>
    <row r="564" spans="1:8" x14ac:dyDescent="0.2">
      <c r="A564" s="2">
        <v>563</v>
      </c>
      <c r="B564" s="5">
        <f t="shared" si="32"/>
        <v>0</v>
      </c>
      <c r="C564" s="5">
        <f t="shared" si="33"/>
        <v>0</v>
      </c>
      <c r="D564" s="5">
        <f>IF(ExtraPayment=0, 0, IF(AND($B564&lt;&gt;0,ExtraPayment&lt;=$B564),-ExtraPayment,-($F564)-$B564))</f>
        <v>0</v>
      </c>
      <c r="E564" s="5">
        <f>IF($B564 &lt;= 0, 0, -ROUND($B564 * (InterestRate / PaymentsPerYear), 2))</f>
        <v>0</v>
      </c>
      <c r="F564" s="5">
        <f>ROUND(IFERROR(IF(OR($B564 &lt;=0, $B564 = ExtraPayment),0,
MAX(-$B564, -(-PMT(InterestRate/PaymentsPerYear,LoanTerm*PaymentsPerYear,LoanAmount) + $E564))), 0), 2)</f>
        <v>0</v>
      </c>
      <c r="G564" s="5">
        <f t="shared" si="34"/>
        <v>0</v>
      </c>
      <c r="H564" s="5">
        <f t="shared" si="35"/>
        <v>0</v>
      </c>
    </row>
    <row r="565" spans="1:8" x14ac:dyDescent="0.2">
      <c r="A565" s="2">
        <v>564</v>
      </c>
      <c r="B565" s="5">
        <f t="shared" si="32"/>
        <v>0</v>
      </c>
      <c r="C565" s="5">
        <f t="shared" si="33"/>
        <v>0</v>
      </c>
      <c r="D565" s="5">
        <f>IF(ExtraPayment=0, 0, IF(AND($B565&lt;&gt;0,ExtraPayment&lt;=$B565),-ExtraPayment,-($F565)-$B565))</f>
        <v>0</v>
      </c>
      <c r="E565" s="5">
        <f>IF($B565 &lt;= 0, 0, -ROUND($B565 * (InterestRate / PaymentsPerYear), 2))</f>
        <v>0</v>
      </c>
      <c r="F565" s="5">
        <f>ROUND(IFERROR(IF(OR($B565 &lt;=0, $B565 = ExtraPayment),0,
MAX(-$B565, -(-PMT(InterestRate/PaymentsPerYear,LoanTerm*PaymentsPerYear,LoanAmount) + $E565))), 0), 2)</f>
        <v>0</v>
      </c>
      <c r="G565" s="5">
        <f t="shared" si="34"/>
        <v>0</v>
      </c>
      <c r="H565" s="5">
        <f t="shared" si="35"/>
        <v>0</v>
      </c>
    </row>
    <row r="566" spans="1:8" x14ac:dyDescent="0.2">
      <c r="A566" s="2">
        <v>565</v>
      </c>
      <c r="B566" s="5">
        <f t="shared" si="32"/>
        <v>0</v>
      </c>
      <c r="C566" s="5">
        <f t="shared" si="33"/>
        <v>0</v>
      </c>
      <c r="D566" s="5">
        <f>IF(ExtraPayment=0, 0, IF(AND($B566&lt;&gt;0,ExtraPayment&lt;=$B566),-ExtraPayment,-($F566)-$B566))</f>
        <v>0</v>
      </c>
      <c r="E566" s="5">
        <f>IF($B566 &lt;= 0, 0, -ROUND($B566 * (InterestRate / PaymentsPerYear), 2))</f>
        <v>0</v>
      </c>
      <c r="F566" s="5">
        <f>ROUND(IFERROR(IF(OR($B566 &lt;=0, $B566 = ExtraPayment),0,
MAX(-$B566, -(-PMT(InterestRate/PaymentsPerYear,LoanTerm*PaymentsPerYear,LoanAmount) + $E566))), 0), 2)</f>
        <v>0</v>
      </c>
      <c r="G566" s="5">
        <f t="shared" si="34"/>
        <v>0</v>
      </c>
      <c r="H566" s="5">
        <f t="shared" si="35"/>
        <v>0</v>
      </c>
    </row>
    <row r="567" spans="1:8" x14ac:dyDescent="0.2">
      <c r="A567" s="2">
        <v>566</v>
      </c>
      <c r="B567" s="5">
        <f t="shared" si="32"/>
        <v>0</v>
      </c>
      <c r="C567" s="5">
        <f t="shared" si="33"/>
        <v>0</v>
      </c>
      <c r="D567" s="5">
        <f>IF(ExtraPayment=0, 0, IF(AND($B567&lt;&gt;0,ExtraPayment&lt;=$B567),-ExtraPayment,-($F567)-$B567))</f>
        <v>0</v>
      </c>
      <c r="E567" s="5">
        <f>IF($B567 &lt;= 0, 0, -ROUND($B567 * (InterestRate / PaymentsPerYear), 2))</f>
        <v>0</v>
      </c>
      <c r="F567" s="5">
        <f>ROUND(IFERROR(IF(OR($B567 &lt;=0, $B567 = ExtraPayment),0,
MAX(-$B567, -(-PMT(InterestRate/PaymentsPerYear,LoanTerm*PaymentsPerYear,LoanAmount) + $E567))), 0), 2)</f>
        <v>0</v>
      </c>
      <c r="G567" s="5">
        <f t="shared" si="34"/>
        <v>0</v>
      </c>
      <c r="H567" s="5">
        <f t="shared" si="35"/>
        <v>0</v>
      </c>
    </row>
    <row r="568" spans="1:8" x14ac:dyDescent="0.2">
      <c r="A568" s="2">
        <v>567</v>
      </c>
      <c r="B568" s="5">
        <f t="shared" si="32"/>
        <v>0</v>
      </c>
      <c r="C568" s="5">
        <f t="shared" si="33"/>
        <v>0</v>
      </c>
      <c r="D568" s="5">
        <f>IF(ExtraPayment=0, 0, IF(AND($B568&lt;&gt;0,ExtraPayment&lt;=$B568),-ExtraPayment,-($F568)-$B568))</f>
        <v>0</v>
      </c>
      <c r="E568" s="5">
        <f>IF($B568 &lt;= 0, 0, -ROUND($B568 * (InterestRate / PaymentsPerYear), 2))</f>
        <v>0</v>
      </c>
      <c r="F568" s="5">
        <f>ROUND(IFERROR(IF(OR($B568 &lt;=0, $B568 = ExtraPayment),0,
MAX(-$B568, -(-PMT(InterestRate/PaymentsPerYear,LoanTerm*PaymentsPerYear,LoanAmount) + $E568))), 0), 2)</f>
        <v>0</v>
      </c>
      <c r="G568" s="5">
        <f t="shared" si="34"/>
        <v>0</v>
      </c>
      <c r="H568" s="5">
        <f t="shared" si="35"/>
        <v>0</v>
      </c>
    </row>
    <row r="569" spans="1:8" x14ac:dyDescent="0.2">
      <c r="A569" s="2">
        <v>568</v>
      </c>
      <c r="B569" s="5">
        <f t="shared" si="32"/>
        <v>0</v>
      </c>
      <c r="C569" s="5">
        <f t="shared" si="33"/>
        <v>0</v>
      </c>
      <c r="D569" s="5">
        <f>IF(ExtraPayment=0, 0, IF(AND($B569&lt;&gt;0,ExtraPayment&lt;=$B569),-ExtraPayment,-($F569)-$B569))</f>
        <v>0</v>
      </c>
      <c r="E569" s="5">
        <f>IF($B569 &lt;= 0, 0, -ROUND($B569 * (InterestRate / PaymentsPerYear), 2))</f>
        <v>0</v>
      </c>
      <c r="F569" s="5">
        <f>ROUND(IFERROR(IF(OR($B569 &lt;=0, $B569 = ExtraPayment),0,
MAX(-$B569, -(-PMT(InterestRate/PaymentsPerYear,LoanTerm*PaymentsPerYear,LoanAmount) + $E569))), 0), 2)</f>
        <v>0</v>
      </c>
      <c r="G569" s="5">
        <f t="shared" si="34"/>
        <v>0</v>
      </c>
      <c r="H569" s="5">
        <f t="shared" si="35"/>
        <v>0</v>
      </c>
    </row>
    <row r="570" spans="1:8" x14ac:dyDescent="0.2">
      <c r="A570" s="2">
        <v>569</v>
      </c>
      <c r="B570" s="5">
        <f t="shared" si="32"/>
        <v>0</v>
      </c>
      <c r="C570" s="5">
        <f t="shared" si="33"/>
        <v>0</v>
      </c>
      <c r="D570" s="5">
        <f>IF(ExtraPayment=0, 0, IF(AND($B570&lt;&gt;0,ExtraPayment&lt;=$B570),-ExtraPayment,-($F570)-$B570))</f>
        <v>0</v>
      </c>
      <c r="E570" s="5">
        <f>IF($B570 &lt;= 0, 0, -ROUND($B570 * (InterestRate / PaymentsPerYear), 2))</f>
        <v>0</v>
      </c>
      <c r="F570" s="5">
        <f>ROUND(IFERROR(IF(OR($B570 &lt;=0, $B570 = ExtraPayment),0,
MAX(-$B570, -(-PMT(InterestRate/PaymentsPerYear,LoanTerm*PaymentsPerYear,LoanAmount) + $E570))), 0), 2)</f>
        <v>0</v>
      </c>
      <c r="G570" s="5">
        <f t="shared" si="34"/>
        <v>0</v>
      </c>
      <c r="H570" s="5">
        <f t="shared" si="35"/>
        <v>0</v>
      </c>
    </row>
    <row r="571" spans="1:8" x14ac:dyDescent="0.2">
      <c r="A571" s="2">
        <v>570</v>
      </c>
      <c r="B571" s="5">
        <f t="shared" si="32"/>
        <v>0</v>
      </c>
      <c r="C571" s="5">
        <f t="shared" si="33"/>
        <v>0</v>
      </c>
      <c r="D571" s="5">
        <f>IF(ExtraPayment=0, 0, IF(AND($B571&lt;&gt;0,ExtraPayment&lt;=$B571),-ExtraPayment,-($F571)-$B571))</f>
        <v>0</v>
      </c>
      <c r="E571" s="5">
        <f>IF($B571 &lt;= 0, 0, -ROUND($B571 * (InterestRate / PaymentsPerYear), 2))</f>
        <v>0</v>
      </c>
      <c r="F571" s="5">
        <f>ROUND(IFERROR(IF(OR($B571 &lt;=0, $B571 = ExtraPayment),0,
MAX(-$B571, -(-PMT(InterestRate/PaymentsPerYear,LoanTerm*PaymentsPerYear,LoanAmount) + $E571))), 0), 2)</f>
        <v>0</v>
      </c>
      <c r="G571" s="5">
        <f t="shared" si="34"/>
        <v>0</v>
      </c>
      <c r="H571" s="5">
        <f t="shared" si="35"/>
        <v>0</v>
      </c>
    </row>
    <row r="572" spans="1:8" x14ac:dyDescent="0.2">
      <c r="A572" s="2">
        <v>571</v>
      </c>
      <c r="B572" s="5">
        <f t="shared" si="32"/>
        <v>0</v>
      </c>
      <c r="C572" s="5">
        <f t="shared" si="33"/>
        <v>0</v>
      </c>
      <c r="D572" s="5">
        <f>IF(ExtraPayment=0, 0, IF(AND($B572&lt;&gt;0,ExtraPayment&lt;=$B572),-ExtraPayment,-($F572)-$B572))</f>
        <v>0</v>
      </c>
      <c r="E572" s="5">
        <f>IF($B572 &lt;= 0, 0, -ROUND($B572 * (InterestRate / PaymentsPerYear), 2))</f>
        <v>0</v>
      </c>
      <c r="F572" s="5">
        <f>ROUND(IFERROR(IF(OR($B572 &lt;=0, $B572 = ExtraPayment),0,
MAX(-$B572, -(-PMT(InterestRate/PaymentsPerYear,LoanTerm*PaymentsPerYear,LoanAmount) + $E572))), 0), 2)</f>
        <v>0</v>
      </c>
      <c r="G572" s="5">
        <f t="shared" si="34"/>
        <v>0</v>
      </c>
      <c r="H572" s="5">
        <f t="shared" si="35"/>
        <v>0</v>
      </c>
    </row>
    <row r="573" spans="1:8" x14ac:dyDescent="0.2">
      <c r="A573" s="2">
        <v>572</v>
      </c>
      <c r="B573" s="5">
        <f t="shared" si="32"/>
        <v>0</v>
      </c>
      <c r="C573" s="5">
        <f t="shared" si="33"/>
        <v>0</v>
      </c>
      <c r="D573" s="5">
        <f>IF(ExtraPayment=0, 0, IF(AND($B573&lt;&gt;0,ExtraPayment&lt;=$B573),-ExtraPayment,-($F573)-$B573))</f>
        <v>0</v>
      </c>
      <c r="E573" s="5">
        <f>IF($B573 &lt;= 0, 0, -ROUND($B573 * (InterestRate / PaymentsPerYear), 2))</f>
        <v>0</v>
      </c>
      <c r="F573" s="5">
        <f>ROUND(IFERROR(IF(OR($B573 &lt;=0, $B573 = ExtraPayment),0,
MAX(-$B573, -(-PMT(InterestRate/PaymentsPerYear,LoanTerm*PaymentsPerYear,LoanAmount) + $E573))), 0), 2)</f>
        <v>0</v>
      </c>
      <c r="G573" s="5">
        <f t="shared" si="34"/>
        <v>0</v>
      </c>
      <c r="H573" s="5">
        <f t="shared" si="35"/>
        <v>0</v>
      </c>
    </row>
    <row r="574" spans="1:8" x14ac:dyDescent="0.2">
      <c r="A574" s="2">
        <v>573</v>
      </c>
      <c r="B574" s="5">
        <f t="shared" si="32"/>
        <v>0</v>
      </c>
      <c r="C574" s="5">
        <f t="shared" si="33"/>
        <v>0</v>
      </c>
      <c r="D574" s="5">
        <f>IF(ExtraPayment=0, 0, IF(AND($B574&lt;&gt;0,ExtraPayment&lt;=$B574),-ExtraPayment,-($F574)-$B574))</f>
        <v>0</v>
      </c>
      <c r="E574" s="5">
        <f>IF($B574 &lt;= 0, 0, -ROUND($B574 * (InterestRate / PaymentsPerYear), 2))</f>
        <v>0</v>
      </c>
      <c r="F574" s="5">
        <f>ROUND(IFERROR(IF(OR($B574 &lt;=0, $B574 = ExtraPayment),0,
MAX(-$B574, -(-PMT(InterestRate/PaymentsPerYear,LoanTerm*PaymentsPerYear,LoanAmount) + $E574))), 0), 2)</f>
        <v>0</v>
      </c>
      <c r="G574" s="5">
        <f t="shared" si="34"/>
        <v>0</v>
      </c>
      <c r="H574" s="5">
        <f t="shared" si="35"/>
        <v>0</v>
      </c>
    </row>
    <row r="575" spans="1:8" x14ac:dyDescent="0.2">
      <c r="A575" s="2">
        <v>574</v>
      </c>
      <c r="B575" s="5">
        <f t="shared" si="32"/>
        <v>0</v>
      </c>
      <c r="C575" s="5">
        <f t="shared" si="33"/>
        <v>0</v>
      </c>
      <c r="D575" s="5">
        <f>IF(ExtraPayment=0, 0, IF(AND($B575&lt;&gt;0,ExtraPayment&lt;=$B575),-ExtraPayment,-($F575)-$B575))</f>
        <v>0</v>
      </c>
      <c r="E575" s="5">
        <f>IF($B575 &lt;= 0, 0, -ROUND($B575 * (InterestRate / PaymentsPerYear), 2))</f>
        <v>0</v>
      </c>
      <c r="F575" s="5">
        <f>ROUND(IFERROR(IF(OR($B575 &lt;=0, $B575 = ExtraPayment),0,
MAX(-$B575, -(-PMT(InterestRate/PaymentsPerYear,LoanTerm*PaymentsPerYear,LoanAmount) + $E575))), 0), 2)</f>
        <v>0</v>
      </c>
      <c r="G575" s="5">
        <f t="shared" si="34"/>
        <v>0</v>
      </c>
      <c r="H575" s="5">
        <f t="shared" si="35"/>
        <v>0</v>
      </c>
    </row>
    <row r="576" spans="1:8" x14ac:dyDescent="0.2">
      <c r="A576" s="2">
        <v>575</v>
      </c>
      <c r="B576" s="5">
        <f t="shared" si="32"/>
        <v>0</v>
      </c>
      <c r="C576" s="5">
        <f t="shared" si="33"/>
        <v>0</v>
      </c>
      <c r="D576" s="5">
        <f>IF(ExtraPayment=0, 0, IF(AND($B576&lt;&gt;0,ExtraPayment&lt;=$B576),-ExtraPayment,-($F576)-$B576))</f>
        <v>0</v>
      </c>
      <c r="E576" s="5">
        <f>IF($B576 &lt;= 0, 0, -ROUND($B576 * (InterestRate / PaymentsPerYear), 2))</f>
        <v>0</v>
      </c>
      <c r="F576" s="5">
        <f>ROUND(IFERROR(IF(OR($B576 &lt;=0, $B576 = ExtraPayment),0,
MAX(-$B576, -(-PMT(InterestRate/PaymentsPerYear,LoanTerm*PaymentsPerYear,LoanAmount) + $E576))), 0), 2)</f>
        <v>0</v>
      </c>
      <c r="G576" s="5">
        <f t="shared" si="34"/>
        <v>0</v>
      </c>
      <c r="H576" s="5">
        <f t="shared" si="35"/>
        <v>0</v>
      </c>
    </row>
    <row r="577" spans="1:8" x14ac:dyDescent="0.2">
      <c r="A577" s="2">
        <v>576</v>
      </c>
      <c r="B577" s="5">
        <f t="shared" si="32"/>
        <v>0</v>
      </c>
      <c r="C577" s="5">
        <f t="shared" si="33"/>
        <v>0</v>
      </c>
      <c r="D577" s="5">
        <f>IF(ExtraPayment=0, 0, IF(AND($B577&lt;&gt;0,ExtraPayment&lt;=$B577),-ExtraPayment,-($F577)-$B577))</f>
        <v>0</v>
      </c>
      <c r="E577" s="5">
        <f>IF($B577 &lt;= 0, 0, -ROUND($B577 * (InterestRate / PaymentsPerYear), 2))</f>
        <v>0</v>
      </c>
      <c r="F577" s="5">
        <f>ROUND(IFERROR(IF(OR($B577 &lt;=0, $B577 = ExtraPayment),0,
MAX(-$B577, -(-PMT(InterestRate/PaymentsPerYear,LoanTerm*PaymentsPerYear,LoanAmount) + $E577))), 0), 2)</f>
        <v>0</v>
      </c>
      <c r="G577" s="5">
        <f t="shared" si="34"/>
        <v>0</v>
      </c>
      <c r="H577" s="5">
        <f t="shared" si="35"/>
        <v>0</v>
      </c>
    </row>
    <row r="578" spans="1:8" x14ac:dyDescent="0.2">
      <c r="A578" s="2">
        <v>577</v>
      </c>
      <c r="B578" s="5">
        <f t="shared" si="32"/>
        <v>0</v>
      </c>
      <c r="C578" s="5">
        <f t="shared" si="33"/>
        <v>0</v>
      </c>
      <c r="D578" s="5">
        <f>IF(ExtraPayment=0, 0, IF(AND($B578&lt;&gt;0,ExtraPayment&lt;=$B578),-ExtraPayment,-($F578)-$B578))</f>
        <v>0</v>
      </c>
      <c r="E578" s="5">
        <f>IF($B578 &lt;= 0, 0, -ROUND($B578 * (InterestRate / PaymentsPerYear), 2))</f>
        <v>0</v>
      </c>
      <c r="F578" s="5">
        <f>ROUND(IFERROR(IF(OR($B578 &lt;=0, $B578 = ExtraPayment),0,
MAX(-$B578, -(-PMT(InterestRate/PaymentsPerYear,LoanTerm*PaymentsPerYear,LoanAmount) + $E578))), 0), 2)</f>
        <v>0</v>
      </c>
      <c r="G578" s="5">
        <f t="shared" si="34"/>
        <v>0</v>
      </c>
      <c r="H578" s="5">
        <f t="shared" si="35"/>
        <v>0</v>
      </c>
    </row>
    <row r="579" spans="1:8" x14ac:dyDescent="0.2">
      <c r="A579" s="2">
        <v>578</v>
      </c>
      <c r="B579" s="5">
        <f t="shared" si="32"/>
        <v>0</v>
      </c>
      <c r="C579" s="5">
        <f t="shared" si="33"/>
        <v>0</v>
      </c>
      <c r="D579" s="5">
        <f>IF(ExtraPayment=0, 0, IF(AND($B579&lt;&gt;0,ExtraPayment&lt;=$B579),-ExtraPayment,-($F579)-$B579))</f>
        <v>0</v>
      </c>
      <c r="E579" s="5">
        <f>IF($B579 &lt;= 0, 0, -ROUND($B579 * (InterestRate / PaymentsPerYear), 2))</f>
        <v>0</v>
      </c>
      <c r="F579" s="5">
        <f>ROUND(IFERROR(IF(OR($B579 &lt;=0, $B579 = ExtraPayment),0,
MAX(-$B579, -(-PMT(InterestRate/PaymentsPerYear,LoanTerm*PaymentsPerYear,LoanAmount) + $E579))), 0), 2)</f>
        <v>0</v>
      </c>
      <c r="G579" s="5">
        <f t="shared" si="34"/>
        <v>0</v>
      </c>
      <c r="H579" s="5">
        <f t="shared" si="35"/>
        <v>0</v>
      </c>
    </row>
    <row r="580" spans="1:8" x14ac:dyDescent="0.2">
      <c r="A580" s="2">
        <v>579</v>
      </c>
      <c r="B580" s="5">
        <f t="shared" ref="B580:B643" si="36">ROUND(IF($H579 &gt;= 0, MAX($H579, $F579), 0), 2)</f>
        <v>0</v>
      </c>
      <c r="C580" s="5">
        <f t="shared" ref="C580:C643" si="37">IF($B580 &lt;= 0, 0, $D580+$E580+$F580)</f>
        <v>0</v>
      </c>
      <c r="D580" s="5">
        <f>IF(ExtraPayment=0, 0, IF(AND($B580&lt;&gt;0,ExtraPayment&lt;=$B580),-ExtraPayment,-($F580)-$B580))</f>
        <v>0</v>
      </c>
      <c r="E580" s="5">
        <f>IF($B580 &lt;= 0, 0, -ROUND($B580 * (InterestRate / PaymentsPerYear), 2))</f>
        <v>0</v>
      </c>
      <c r="F580" s="5">
        <f>ROUND(IFERROR(IF(OR($B580 &lt;=0, $B580 = ExtraPayment),0,
MAX(-$B580, -(-PMT(InterestRate/PaymentsPerYear,LoanTerm*PaymentsPerYear,LoanAmount) + $E580))), 0), 2)</f>
        <v>0</v>
      </c>
      <c r="G580" s="5">
        <f t="shared" ref="G580:G643" si="38">$D580+$F580</f>
        <v>0</v>
      </c>
      <c r="H580" s="5">
        <f t="shared" ref="H580:H643" si="39">ROUND(IF($B580 &lt;= 0, 0,MAX(0, $B580 + $G580)), 2)</f>
        <v>0</v>
      </c>
    </row>
    <row r="581" spans="1:8" x14ac:dyDescent="0.2">
      <c r="A581" s="2">
        <v>580</v>
      </c>
      <c r="B581" s="5">
        <f t="shared" si="36"/>
        <v>0</v>
      </c>
      <c r="C581" s="5">
        <f t="shared" si="37"/>
        <v>0</v>
      </c>
      <c r="D581" s="5">
        <f>IF(ExtraPayment=0, 0, IF(AND($B581&lt;&gt;0,ExtraPayment&lt;=$B581),-ExtraPayment,-($F581)-$B581))</f>
        <v>0</v>
      </c>
      <c r="E581" s="5">
        <f>IF($B581 &lt;= 0, 0, -ROUND($B581 * (InterestRate / PaymentsPerYear), 2))</f>
        <v>0</v>
      </c>
      <c r="F581" s="5">
        <f>ROUND(IFERROR(IF(OR($B581 &lt;=0, $B581 = ExtraPayment),0,
MAX(-$B581, -(-PMT(InterestRate/PaymentsPerYear,LoanTerm*PaymentsPerYear,LoanAmount) + $E581))), 0), 2)</f>
        <v>0</v>
      </c>
      <c r="G581" s="5">
        <f t="shared" si="38"/>
        <v>0</v>
      </c>
      <c r="H581" s="5">
        <f t="shared" si="39"/>
        <v>0</v>
      </c>
    </row>
    <row r="582" spans="1:8" x14ac:dyDescent="0.2">
      <c r="A582" s="2">
        <v>581</v>
      </c>
      <c r="B582" s="5">
        <f t="shared" si="36"/>
        <v>0</v>
      </c>
      <c r="C582" s="5">
        <f t="shared" si="37"/>
        <v>0</v>
      </c>
      <c r="D582" s="5">
        <f>IF(ExtraPayment=0, 0, IF(AND($B582&lt;&gt;0,ExtraPayment&lt;=$B582),-ExtraPayment,-($F582)-$B582))</f>
        <v>0</v>
      </c>
      <c r="E582" s="5">
        <f>IF($B582 &lt;= 0, 0, -ROUND($B582 * (InterestRate / PaymentsPerYear), 2))</f>
        <v>0</v>
      </c>
      <c r="F582" s="5">
        <f>ROUND(IFERROR(IF(OR($B582 &lt;=0, $B582 = ExtraPayment),0,
MAX(-$B582, -(-PMT(InterestRate/PaymentsPerYear,LoanTerm*PaymentsPerYear,LoanAmount) + $E582))), 0), 2)</f>
        <v>0</v>
      </c>
      <c r="G582" s="5">
        <f t="shared" si="38"/>
        <v>0</v>
      </c>
      <c r="H582" s="5">
        <f t="shared" si="39"/>
        <v>0</v>
      </c>
    </row>
    <row r="583" spans="1:8" x14ac:dyDescent="0.2">
      <c r="A583" s="2">
        <v>582</v>
      </c>
      <c r="B583" s="5">
        <f t="shared" si="36"/>
        <v>0</v>
      </c>
      <c r="C583" s="5">
        <f t="shared" si="37"/>
        <v>0</v>
      </c>
      <c r="D583" s="5">
        <f>IF(ExtraPayment=0, 0, IF(AND($B583&lt;&gt;0,ExtraPayment&lt;=$B583),-ExtraPayment,-($F583)-$B583))</f>
        <v>0</v>
      </c>
      <c r="E583" s="5">
        <f>IF($B583 &lt;= 0, 0, -ROUND($B583 * (InterestRate / PaymentsPerYear), 2))</f>
        <v>0</v>
      </c>
      <c r="F583" s="5">
        <f>ROUND(IFERROR(IF(OR($B583 &lt;=0, $B583 = ExtraPayment),0,
MAX(-$B583, -(-PMT(InterestRate/PaymentsPerYear,LoanTerm*PaymentsPerYear,LoanAmount) + $E583))), 0), 2)</f>
        <v>0</v>
      </c>
      <c r="G583" s="5">
        <f t="shared" si="38"/>
        <v>0</v>
      </c>
      <c r="H583" s="5">
        <f t="shared" si="39"/>
        <v>0</v>
      </c>
    </row>
    <row r="584" spans="1:8" x14ac:dyDescent="0.2">
      <c r="A584" s="2">
        <v>583</v>
      </c>
      <c r="B584" s="5">
        <f t="shared" si="36"/>
        <v>0</v>
      </c>
      <c r="C584" s="5">
        <f t="shared" si="37"/>
        <v>0</v>
      </c>
      <c r="D584" s="5">
        <f>IF(ExtraPayment=0, 0, IF(AND($B584&lt;&gt;0,ExtraPayment&lt;=$B584),-ExtraPayment,-($F584)-$B584))</f>
        <v>0</v>
      </c>
      <c r="E584" s="5">
        <f>IF($B584 &lt;= 0, 0, -ROUND($B584 * (InterestRate / PaymentsPerYear), 2))</f>
        <v>0</v>
      </c>
      <c r="F584" s="5">
        <f>ROUND(IFERROR(IF(OR($B584 &lt;=0, $B584 = ExtraPayment),0,
MAX(-$B584, -(-PMT(InterestRate/PaymentsPerYear,LoanTerm*PaymentsPerYear,LoanAmount) + $E584))), 0), 2)</f>
        <v>0</v>
      </c>
      <c r="G584" s="5">
        <f t="shared" si="38"/>
        <v>0</v>
      </c>
      <c r="H584" s="5">
        <f t="shared" si="39"/>
        <v>0</v>
      </c>
    </row>
    <row r="585" spans="1:8" x14ac:dyDescent="0.2">
      <c r="A585" s="2">
        <v>584</v>
      </c>
      <c r="B585" s="5">
        <f t="shared" si="36"/>
        <v>0</v>
      </c>
      <c r="C585" s="5">
        <f t="shared" si="37"/>
        <v>0</v>
      </c>
      <c r="D585" s="5">
        <f>IF(ExtraPayment=0, 0, IF(AND($B585&lt;&gt;0,ExtraPayment&lt;=$B585),-ExtraPayment,-($F585)-$B585))</f>
        <v>0</v>
      </c>
      <c r="E585" s="5">
        <f>IF($B585 &lt;= 0, 0, -ROUND($B585 * (InterestRate / PaymentsPerYear), 2))</f>
        <v>0</v>
      </c>
      <c r="F585" s="5">
        <f>ROUND(IFERROR(IF(OR($B585 &lt;=0, $B585 = ExtraPayment),0,
MAX(-$B585, -(-PMT(InterestRate/PaymentsPerYear,LoanTerm*PaymentsPerYear,LoanAmount) + $E585))), 0), 2)</f>
        <v>0</v>
      </c>
      <c r="G585" s="5">
        <f t="shared" si="38"/>
        <v>0</v>
      </c>
      <c r="H585" s="5">
        <f t="shared" si="39"/>
        <v>0</v>
      </c>
    </row>
    <row r="586" spans="1:8" x14ac:dyDescent="0.2">
      <c r="A586" s="2">
        <v>585</v>
      </c>
      <c r="B586" s="5">
        <f t="shared" si="36"/>
        <v>0</v>
      </c>
      <c r="C586" s="5">
        <f t="shared" si="37"/>
        <v>0</v>
      </c>
      <c r="D586" s="5">
        <f>IF(ExtraPayment=0, 0, IF(AND($B586&lt;&gt;0,ExtraPayment&lt;=$B586),-ExtraPayment,-($F586)-$B586))</f>
        <v>0</v>
      </c>
      <c r="E586" s="5">
        <f>IF($B586 &lt;= 0, 0, -ROUND($B586 * (InterestRate / PaymentsPerYear), 2))</f>
        <v>0</v>
      </c>
      <c r="F586" s="5">
        <f>ROUND(IFERROR(IF(OR($B586 &lt;=0, $B586 = ExtraPayment),0,
MAX(-$B586, -(-PMT(InterestRate/PaymentsPerYear,LoanTerm*PaymentsPerYear,LoanAmount) + $E586))), 0), 2)</f>
        <v>0</v>
      </c>
      <c r="G586" s="5">
        <f t="shared" si="38"/>
        <v>0</v>
      </c>
      <c r="H586" s="5">
        <f t="shared" si="39"/>
        <v>0</v>
      </c>
    </row>
    <row r="587" spans="1:8" x14ac:dyDescent="0.2">
      <c r="A587" s="2">
        <v>586</v>
      </c>
      <c r="B587" s="5">
        <f t="shared" si="36"/>
        <v>0</v>
      </c>
      <c r="C587" s="5">
        <f t="shared" si="37"/>
        <v>0</v>
      </c>
      <c r="D587" s="5">
        <f>IF(ExtraPayment=0, 0, IF(AND($B587&lt;&gt;0,ExtraPayment&lt;=$B587),-ExtraPayment,-($F587)-$B587))</f>
        <v>0</v>
      </c>
      <c r="E587" s="5">
        <f>IF($B587 &lt;= 0, 0, -ROUND($B587 * (InterestRate / PaymentsPerYear), 2))</f>
        <v>0</v>
      </c>
      <c r="F587" s="5">
        <f>ROUND(IFERROR(IF(OR($B587 &lt;=0, $B587 = ExtraPayment),0,
MAX(-$B587, -(-PMT(InterestRate/PaymentsPerYear,LoanTerm*PaymentsPerYear,LoanAmount) + $E587))), 0), 2)</f>
        <v>0</v>
      </c>
      <c r="G587" s="5">
        <f t="shared" si="38"/>
        <v>0</v>
      </c>
      <c r="H587" s="5">
        <f t="shared" si="39"/>
        <v>0</v>
      </c>
    </row>
    <row r="588" spans="1:8" x14ac:dyDescent="0.2">
      <c r="A588" s="2">
        <v>587</v>
      </c>
      <c r="B588" s="5">
        <f t="shared" si="36"/>
        <v>0</v>
      </c>
      <c r="C588" s="5">
        <f t="shared" si="37"/>
        <v>0</v>
      </c>
      <c r="D588" s="5">
        <f>IF(ExtraPayment=0, 0, IF(AND($B588&lt;&gt;0,ExtraPayment&lt;=$B588),-ExtraPayment,-($F588)-$B588))</f>
        <v>0</v>
      </c>
      <c r="E588" s="5">
        <f>IF($B588 &lt;= 0, 0, -ROUND($B588 * (InterestRate / PaymentsPerYear), 2))</f>
        <v>0</v>
      </c>
      <c r="F588" s="5">
        <f>ROUND(IFERROR(IF(OR($B588 &lt;=0, $B588 = ExtraPayment),0,
MAX(-$B588, -(-PMT(InterestRate/PaymentsPerYear,LoanTerm*PaymentsPerYear,LoanAmount) + $E588))), 0), 2)</f>
        <v>0</v>
      </c>
      <c r="G588" s="5">
        <f t="shared" si="38"/>
        <v>0</v>
      </c>
      <c r="H588" s="5">
        <f t="shared" si="39"/>
        <v>0</v>
      </c>
    </row>
    <row r="589" spans="1:8" x14ac:dyDescent="0.2">
      <c r="A589" s="2">
        <v>588</v>
      </c>
      <c r="B589" s="5">
        <f t="shared" si="36"/>
        <v>0</v>
      </c>
      <c r="C589" s="5">
        <f t="shared" si="37"/>
        <v>0</v>
      </c>
      <c r="D589" s="5">
        <f>IF(ExtraPayment=0, 0, IF(AND($B589&lt;&gt;0,ExtraPayment&lt;=$B589),-ExtraPayment,-($F589)-$B589))</f>
        <v>0</v>
      </c>
      <c r="E589" s="5">
        <f>IF($B589 &lt;= 0, 0, -ROUND($B589 * (InterestRate / PaymentsPerYear), 2))</f>
        <v>0</v>
      </c>
      <c r="F589" s="5">
        <f>ROUND(IFERROR(IF(OR($B589 &lt;=0, $B589 = ExtraPayment),0,
MAX(-$B589, -(-PMT(InterestRate/PaymentsPerYear,LoanTerm*PaymentsPerYear,LoanAmount) + $E589))), 0), 2)</f>
        <v>0</v>
      </c>
      <c r="G589" s="5">
        <f t="shared" si="38"/>
        <v>0</v>
      </c>
      <c r="H589" s="5">
        <f t="shared" si="39"/>
        <v>0</v>
      </c>
    </row>
    <row r="590" spans="1:8" x14ac:dyDescent="0.2">
      <c r="A590" s="2">
        <v>589</v>
      </c>
      <c r="B590" s="5">
        <f t="shared" si="36"/>
        <v>0</v>
      </c>
      <c r="C590" s="5">
        <f t="shared" si="37"/>
        <v>0</v>
      </c>
      <c r="D590" s="5">
        <f>IF(ExtraPayment=0, 0, IF(AND($B590&lt;&gt;0,ExtraPayment&lt;=$B590),-ExtraPayment,-($F590)-$B590))</f>
        <v>0</v>
      </c>
      <c r="E590" s="5">
        <f>IF($B590 &lt;= 0, 0, -ROUND($B590 * (InterestRate / PaymentsPerYear), 2))</f>
        <v>0</v>
      </c>
      <c r="F590" s="5">
        <f>ROUND(IFERROR(IF(OR($B590 &lt;=0, $B590 = ExtraPayment),0,
MAX(-$B590, -(-PMT(InterestRate/PaymentsPerYear,LoanTerm*PaymentsPerYear,LoanAmount) + $E590))), 0), 2)</f>
        <v>0</v>
      </c>
      <c r="G590" s="5">
        <f t="shared" si="38"/>
        <v>0</v>
      </c>
      <c r="H590" s="5">
        <f t="shared" si="39"/>
        <v>0</v>
      </c>
    </row>
    <row r="591" spans="1:8" x14ac:dyDescent="0.2">
      <c r="A591" s="2">
        <v>590</v>
      </c>
      <c r="B591" s="5">
        <f t="shared" si="36"/>
        <v>0</v>
      </c>
      <c r="C591" s="5">
        <f t="shared" si="37"/>
        <v>0</v>
      </c>
      <c r="D591" s="5">
        <f>IF(ExtraPayment=0, 0, IF(AND($B591&lt;&gt;0,ExtraPayment&lt;=$B591),-ExtraPayment,-($F591)-$B591))</f>
        <v>0</v>
      </c>
      <c r="E591" s="5">
        <f>IF($B591 &lt;= 0, 0, -ROUND($B591 * (InterestRate / PaymentsPerYear), 2))</f>
        <v>0</v>
      </c>
      <c r="F591" s="5">
        <f>ROUND(IFERROR(IF(OR($B591 &lt;=0, $B591 = ExtraPayment),0,
MAX(-$B591, -(-PMT(InterestRate/PaymentsPerYear,LoanTerm*PaymentsPerYear,LoanAmount) + $E591))), 0), 2)</f>
        <v>0</v>
      </c>
      <c r="G591" s="5">
        <f t="shared" si="38"/>
        <v>0</v>
      </c>
      <c r="H591" s="5">
        <f t="shared" si="39"/>
        <v>0</v>
      </c>
    </row>
    <row r="592" spans="1:8" x14ac:dyDescent="0.2">
      <c r="A592" s="2">
        <v>591</v>
      </c>
      <c r="B592" s="5">
        <f t="shared" si="36"/>
        <v>0</v>
      </c>
      <c r="C592" s="5">
        <f t="shared" si="37"/>
        <v>0</v>
      </c>
      <c r="D592" s="5">
        <f>IF(ExtraPayment=0, 0, IF(AND($B592&lt;&gt;0,ExtraPayment&lt;=$B592),-ExtraPayment,-($F592)-$B592))</f>
        <v>0</v>
      </c>
      <c r="E592" s="5">
        <f>IF($B592 &lt;= 0, 0, -ROUND($B592 * (InterestRate / PaymentsPerYear), 2))</f>
        <v>0</v>
      </c>
      <c r="F592" s="5">
        <f>ROUND(IFERROR(IF(OR($B592 &lt;=0, $B592 = ExtraPayment),0,
MAX(-$B592, -(-PMT(InterestRate/PaymentsPerYear,LoanTerm*PaymentsPerYear,LoanAmount) + $E592))), 0), 2)</f>
        <v>0</v>
      </c>
      <c r="G592" s="5">
        <f t="shared" si="38"/>
        <v>0</v>
      </c>
      <c r="H592" s="5">
        <f t="shared" si="39"/>
        <v>0</v>
      </c>
    </row>
    <row r="593" spans="1:8" x14ac:dyDescent="0.2">
      <c r="A593" s="2">
        <v>592</v>
      </c>
      <c r="B593" s="5">
        <f t="shared" si="36"/>
        <v>0</v>
      </c>
      <c r="C593" s="5">
        <f t="shared" si="37"/>
        <v>0</v>
      </c>
      <c r="D593" s="5">
        <f>IF(ExtraPayment=0, 0, IF(AND($B593&lt;&gt;0,ExtraPayment&lt;=$B593),-ExtraPayment,-($F593)-$B593))</f>
        <v>0</v>
      </c>
      <c r="E593" s="5">
        <f>IF($B593 &lt;= 0, 0, -ROUND($B593 * (InterestRate / PaymentsPerYear), 2))</f>
        <v>0</v>
      </c>
      <c r="F593" s="5">
        <f>ROUND(IFERROR(IF(OR($B593 &lt;=0, $B593 = ExtraPayment),0,
MAX(-$B593, -(-PMT(InterestRate/PaymentsPerYear,LoanTerm*PaymentsPerYear,LoanAmount) + $E593))), 0), 2)</f>
        <v>0</v>
      </c>
      <c r="G593" s="5">
        <f t="shared" si="38"/>
        <v>0</v>
      </c>
      <c r="H593" s="5">
        <f t="shared" si="39"/>
        <v>0</v>
      </c>
    </row>
    <row r="594" spans="1:8" x14ac:dyDescent="0.2">
      <c r="A594" s="2">
        <v>593</v>
      </c>
      <c r="B594" s="5">
        <f t="shared" si="36"/>
        <v>0</v>
      </c>
      <c r="C594" s="5">
        <f t="shared" si="37"/>
        <v>0</v>
      </c>
      <c r="D594" s="5">
        <f>IF(ExtraPayment=0, 0, IF(AND($B594&lt;&gt;0,ExtraPayment&lt;=$B594),-ExtraPayment,-($F594)-$B594))</f>
        <v>0</v>
      </c>
      <c r="E594" s="5">
        <f>IF($B594 &lt;= 0, 0, -ROUND($B594 * (InterestRate / PaymentsPerYear), 2))</f>
        <v>0</v>
      </c>
      <c r="F594" s="5">
        <f>ROUND(IFERROR(IF(OR($B594 &lt;=0, $B594 = ExtraPayment),0,
MAX(-$B594, -(-PMT(InterestRate/PaymentsPerYear,LoanTerm*PaymentsPerYear,LoanAmount) + $E594))), 0), 2)</f>
        <v>0</v>
      </c>
      <c r="G594" s="5">
        <f t="shared" si="38"/>
        <v>0</v>
      </c>
      <c r="H594" s="5">
        <f t="shared" si="39"/>
        <v>0</v>
      </c>
    </row>
    <row r="595" spans="1:8" x14ac:dyDescent="0.2">
      <c r="A595" s="2">
        <v>594</v>
      </c>
      <c r="B595" s="5">
        <f t="shared" si="36"/>
        <v>0</v>
      </c>
      <c r="C595" s="5">
        <f t="shared" si="37"/>
        <v>0</v>
      </c>
      <c r="D595" s="5">
        <f>IF(ExtraPayment=0, 0, IF(AND($B595&lt;&gt;0,ExtraPayment&lt;=$B595),-ExtraPayment,-($F595)-$B595))</f>
        <v>0</v>
      </c>
      <c r="E595" s="5">
        <f>IF($B595 &lt;= 0, 0, -ROUND($B595 * (InterestRate / PaymentsPerYear), 2))</f>
        <v>0</v>
      </c>
      <c r="F595" s="5">
        <f>ROUND(IFERROR(IF(OR($B595 &lt;=0, $B595 = ExtraPayment),0,
MAX(-$B595, -(-PMT(InterestRate/PaymentsPerYear,LoanTerm*PaymentsPerYear,LoanAmount) + $E595))), 0), 2)</f>
        <v>0</v>
      </c>
      <c r="G595" s="5">
        <f t="shared" si="38"/>
        <v>0</v>
      </c>
      <c r="H595" s="5">
        <f t="shared" si="39"/>
        <v>0</v>
      </c>
    </row>
    <row r="596" spans="1:8" x14ac:dyDescent="0.2">
      <c r="A596" s="2">
        <v>595</v>
      </c>
      <c r="B596" s="5">
        <f t="shared" si="36"/>
        <v>0</v>
      </c>
      <c r="C596" s="5">
        <f t="shared" si="37"/>
        <v>0</v>
      </c>
      <c r="D596" s="5">
        <f>IF(ExtraPayment=0, 0, IF(AND($B596&lt;&gt;0,ExtraPayment&lt;=$B596),-ExtraPayment,-($F596)-$B596))</f>
        <v>0</v>
      </c>
      <c r="E596" s="5">
        <f>IF($B596 &lt;= 0, 0, -ROUND($B596 * (InterestRate / PaymentsPerYear), 2))</f>
        <v>0</v>
      </c>
      <c r="F596" s="5">
        <f>ROUND(IFERROR(IF(OR($B596 &lt;=0, $B596 = ExtraPayment),0,
MAX(-$B596, -(-PMT(InterestRate/PaymentsPerYear,LoanTerm*PaymentsPerYear,LoanAmount) + $E596))), 0), 2)</f>
        <v>0</v>
      </c>
      <c r="G596" s="5">
        <f t="shared" si="38"/>
        <v>0</v>
      </c>
      <c r="H596" s="5">
        <f t="shared" si="39"/>
        <v>0</v>
      </c>
    </row>
    <row r="597" spans="1:8" x14ac:dyDescent="0.2">
      <c r="A597" s="2">
        <v>596</v>
      </c>
      <c r="B597" s="5">
        <f t="shared" si="36"/>
        <v>0</v>
      </c>
      <c r="C597" s="5">
        <f t="shared" si="37"/>
        <v>0</v>
      </c>
      <c r="D597" s="5">
        <f>IF(ExtraPayment=0, 0, IF(AND($B597&lt;&gt;0,ExtraPayment&lt;=$B597),-ExtraPayment,-($F597)-$B597))</f>
        <v>0</v>
      </c>
      <c r="E597" s="5">
        <f>IF($B597 &lt;= 0, 0, -ROUND($B597 * (InterestRate / PaymentsPerYear), 2))</f>
        <v>0</v>
      </c>
      <c r="F597" s="5">
        <f>ROUND(IFERROR(IF(OR($B597 &lt;=0, $B597 = ExtraPayment),0,
MAX(-$B597, -(-PMT(InterestRate/PaymentsPerYear,LoanTerm*PaymentsPerYear,LoanAmount) + $E597))), 0), 2)</f>
        <v>0</v>
      </c>
      <c r="G597" s="5">
        <f t="shared" si="38"/>
        <v>0</v>
      </c>
      <c r="H597" s="5">
        <f t="shared" si="39"/>
        <v>0</v>
      </c>
    </row>
    <row r="598" spans="1:8" x14ac:dyDescent="0.2">
      <c r="A598" s="2">
        <v>597</v>
      </c>
      <c r="B598" s="5">
        <f t="shared" si="36"/>
        <v>0</v>
      </c>
      <c r="C598" s="5">
        <f t="shared" si="37"/>
        <v>0</v>
      </c>
      <c r="D598" s="5">
        <f>IF(ExtraPayment=0, 0, IF(AND($B598&lt;&gt;0,ExtraPayment&lt;=$B598),-ExtraPayment,-($F598)-$B598))</f>
        <v>0</v>
      </c>
      <c r="E598" s="5">
        <f>IF($B598 &lt;= 0, 0, -ROUND($B598 * (InterestRate / PaymentsPerYear), 2))</f>
        <v>0</v>
      </c>
      <c r="F598" s="5">
        <f>ROUND(IFERROR(IF(OR($B598 &lt;=0, $B598 = ExtraPayment),0,
MAX(-$B598, -(-PMT(InterestRate/PaymentsPerYear,LoanTerm*PaymentsPerYear,LoanAmount) + $E598))), 0), 2)</f>
        <v>0</v>
      </c>
      <c r="G598" s="5">
        <f t="shared" si="38"/>
        <v>0</v>
      </c>
      <c r="H598" s="5">
        <f t="shared" si="39"/>
        <v>0</v>
      </c>
    </row>
    <row r="599" spans="1:8" x14ac:dyDescent="0.2">
      <c r="A599" s="2">
        <v>598</v>
      </c>
      <c r="B599" s="5">
        <f t="shared" si="36"/>
        <v>0</v>
      </c>
      <c r="C599" s="5">
        <f t="shared" si="37"/>
        <v>0</v>
      </c>
      <c r="D599" s="5">
        <f>IF(ExtraPayment=0, 0, IF(AND($B599&lt;&gt;0,ExtraPayment&lt;=$B599),-ExtraPayment,-($F599)-$B599))</f>
        <v>0</v>
      </c>
      <c r="E599" s="5">
        <f>IF($B599 &lt;= 0, 0, -ROUND($B599 * (InterestRate / PaymentsPerYear), 2))</f>
        <v>0</v>
      </c>
      <c r="F599" s="5">
        <f>ROUND(IFERROR(IF(OR($B599 &lt;=0, $B599 = ExtraPayment),0,
MAX(-$B599, -(-PMT(InterestRate/PaymentsPerYear,LoanTerm*PaymentsPerYear,LoanAmount) + $E599))), 0), 2)</f>
        <v>0</v>
      </c>
      <c r="G599" s="5">
        <f t="shared" si="38"/>
        <v>0</v>
      </c>
      <c r="H599" s="5">
        <f t="shared" si="39"/>
        <v>0</v>
      </c>
    </row>
    <row r="600" spans="1:8" x14ac:dyDescent="0.2">
      <c r="A600" s="2">
        <v>599</v>
      </c>
      <c r="B600" s="5">
        <f t="shared" si="36"/>
        <v>0</v>
      </c>
      <c r="C600" s="5">
        <f t="shared" si="37"/>
        <v>0</v>
      </c>
      <c r="D600" s="5">
        <f>IF(ExtraPayment=0, 0, IF(AND($B600&lt;&gt;0,ExtraPayment&lt;=$B600),-ExtraPayment,-($F600)-$B600))</f>
        <v>0</v>
      </c>
      <c r="E600" s="5">
        <f>IF($B600 &lt;= 0, 0, -ROUND($B600 * (InterestRate / PaymentsPerYear), 2))</f>
        <v>0</v>
      </c>
      <c r="F600" s="5">
        <f>ROUND(IFERROR(IF(OR($B600 &lt;=0, $B600 = ExtraPayment),0,
MAX(-$B600, -(-PMT(InterestRate/PaymentsPerYear,LoanTerm*PaymentsPerYear,LoanAmount) + $E600))), 0), 2)</f>
        <v>0</v>
      </c>
      <c r="G600" s="5">
        <f t="shared" si="38"/>
        <v>0</v>
      </c>
      <c r="H600" s="5">
        <f t="shared" si="39"/>
        <v>0</v>
      </c>
    </row>
    <row r="601" spans="1:8" x14ac:dyDescent="0.2">
      <c r="A601" s="2">
        <v>600</v>
      </c>
      <c r="B601" s="5">
        <f t="shared" si="36"/>
        <v>0</v>
      </c>
      <c r="C601" s="5">
        <f t="shared" si="37"/>
        <v>0</v>
      </c>
      <c r="D601" s="5">
        <f>IF(ExtraPayment=0, 0, IF(AND($B601&lt;&gt;0,ExtraPayment&lt;=$B601),-ExtraPayment,-($F601)-$B601))</f>
        <v>0</v>
      </c>
      <c r="E601" s="5">
        <f>IF($B601 &lt;= 0, 0, -ROUND($B601 * (InterestRate / PaymentsPerYear), 2))</f>
        <v>0</v>
      </c>
      <c r="F601" s="5">
        <f>ROUND(IFERROR(IF(OR($B601 &lt;=0, $B601 = ExtraPayment),0,
MAX(-$B601, -(-PMT(InterestRate/PaymentsPerYear,LoanTerm*PaymentsPerYear,LoanAmount) + $E601))), 0), 2)</f>
        <v>0</v>
      </c>
      <c r="G601" s="5">
        <f t="shared" si="38"/>
        <v>0</v>
      </c>
      <c r="H601" s="5">
        <f t="shared" si="39"/>
        <v>0</v>
      </c>
    </row>
    <row r="602" spans="1:8" x14ac:dyDescent="0.2">
      <c r="A602" s="2">
        <v>601</v>
      </c>
      <c r="B602" s="5">
        <f t="shared" si="36"/>
        <v>0</v>
      </c>
      <c r="C602" s="5">
        <f t="shared" si="37"/>
        <v>0</v>
      </c>
      <c r="D602" s="5">
        <f>IF(ExtraPayment=0, 0, IF(AND($B602&lt;&gt;0,ExtraPayment&lt;=$B602),-ExtraPayment,-($F602)-$B602))</f>
        <v>0</v>
      </c>
      <c r="E602" s="5">
        <f>IF($B602 &lt;= 0, 0, -ROUND($B602 * (InterestRate / PaymentsPerYear), 2))</f>
        <v>0</v>
      </c>
      <c r="F602" s="5">
        <f>ROUND(IFERROR(IF(OR($B602 &lt;=0, $B602 = ExtraPayment),0,
MAX(-$B602, -(-PMT(InterestRate/PaymentsPerYear,LoanTerm*PaymentsPerYear,LoanAmount) + $E602))), 0), 2)</f>
        <v>0</v>
      </c>
      <c r="G602" s="5">
        <f t="shared" si="38"/>
        <v>0</v>
      </c>
      <c r="H602" s="5">
        <f t="shared" si="39"/>
        <v>0</v>
      </c>
    </row>
    <row r="603" spans="1:8" x14ac:dyDescent="0.2">
      <c r="A603" s="2">
        <v>602</v>
      </c>
      <c r="B603" s="5">
        <f t="shared" si="36"/>
        <v>0</v>
      </c>
      <c r="C603" s="5">
        <f t="shared" si="37"/>
        <v>0</v>
      </c>
      <c r="D603" s="5">
        <f>IF(ExtraPayment=0, 0, IF(AND($B603&lt;&gt;0,ExtraPayment&lt;=$B603),-ExtraPayment,-($F603)-$B603))</f>
        <v>0</v>
      </c>
      <c r="E603" s="5">
        <f>IF($B603 &lt;= 0, 0, -ROUND($B603 * (InterestRate / PaymentsPerYear), 2))</f>
        <v>0</v>
      </c>
      <c r="F603" s="5">
        <f>ROUND(IFERROR(IF(OR($B603 &lt;=0, $B603 = ExtraPayment),0,
MAX(-$B603, -(-PMT(InterestRate/PaymentsPerYear,LoanTerm*PaymentsPerYear,LoanAmount) + $E603))), 0), 2)</f>
        <v>0</v>
      </c>
      <c r="G603" s="5">
        <f t="shared" si="38"/>
        <v>0</v>
      </c>
      <c r="H603" s="5">
        <f t="shared" si="39"/>
        <v>0</v>
      </c>
    </row>
    <row r="604" spans="1:8" x14ac:dyDescent="0.2">
      <c r="A604" s="2">
        <v>603</v>
      </c>
      <c r="B604" s="5">
        <f t="shared" si="36"/>
        <v>0</v>
      </c>
      <c r="C604" s="5">
        <f t="shared" si="37"/>
        <v>0</v>
      </c>
      <c r="D604" s="5">
        <f>IF(ExtraPayment=0, 0, IF(AND($B604&lt;&gt;0,ExtraPayment&lt;=$B604),-ExtraPayment,-($F604)-$B604))</f>
        <v>0</v>
      </c>
      <c r="E604" s="5">
        <f>IF($B604 &lt;= 0, 0, -ROUND($B604 * (InterestRate / PaymentsPerYear), 2))</f>
        <v>0</v>
      </c>
      <c r="F604" s="5">
        <f>ROUND(IFERROR(IF(OR($B604 &lt;=0, $B604 = ExtraPayment),0,
MAX(-$B604, -(-PMT(InterestRate/PaymentsPerYear,LoanTerm*PaymentsPerYear,LoanAmount) + $E604))), 0), 2)</f>
        <v>0</v>
      </c>
      <c r="G604" s="5">
        <f t="shared" si="38"/>
        <v>0</v>
      </c>
      <c r="H604" s="5">
        <f t="shared" si="39"/>
        <v>0</v>
      </c>
    </row>
    <row r="605" spans="1:8" x14ac:dyDescent="0.2">
      <c r="A605" s="2">
        <v>604</v>
      </c>
      <c r="B605" s="5">
        <f t="shared" si="36"/>
        <v>0</v>
      </c>
      <c r="C605" s="5">
        <f t="shared" si="37"/>
        <v>0</v>
      </c>
      <c r="D605" s="5">
        <f>IF(ExtraPayment=0, 0, IF(AND($B605&lt;&gt;0,ExtraPayment&lt;=$B605),-ExtraPayment,-($F605)-$B605))</f>
        <v>0</v>
      </c>
      <c r="E605" s="5">
        <f>IF($B605 &lt;= 0, 0, -ROUND($B605 * (InterestRate / PaymentsPerYear), 2))</f>
        <v>0</v>
      </c>
      <c r="F605" s="5">
        <f>ROUND(IFERROR(IF(OR($B605 &lt;=0, $B605 = ExtraPayment),0,
MAX(-$B605, -(-PMT(InterestRate/PaymentsPerYear,LoanTerm*PaymentsPerYear,LoanAmount) + $E605))), 0), 2)</f>
        <v>0</v>
      </c>
      <c r="G605" s="5">
        <f t="shared" si="38"/>
        <v>0</v>
      </c>
      <c r="H605" s="5">
        <f t="shared" si="39"/>
        <v>0</v>
      </c>
    </row>
    <row r="606" spans="1:8" x14ac:dyDescent="0.2">
      <c r="A606" s="2">
        <v>605</v>
      </c>
      <c r="B606" s="5">
        <f t="shared" si="36"/>
        <v>0</v>
      </c>
      <c r="C606" s="5">
        <f t="shared" si="37"/>
        <v>0</v>
      </c>
      <c r="D606" s="5">
        <f>IF(ExtraPayment=0, 0, IF(AND($B606&lt;&gt;0,ExtraPayment&lt;=$B606),-ExtraPayment,-($F606)-$B606))</f>
        <v>0</v>
      </c>
      <c r="E606" s="5">
        <f>IF($B606 &lt;= 0, 0, -ROUND($B606 * (InterestRate / PaymentsPerYear), 2))</f>
        <v>0</v>
      </c>
      <c r="F606" s="5">
        <f>ROUND(IFERROR(IF(OR($B606 &lt;=0, $B606 = ExtraPayment),0,
MAX(-$B606, -(-PMT(InterestRate/PaymentsPerYear,LoanTerm*PaymentsPerYear,LoanAmount) + $E606))), 0), 2)</f>
        <v>0</v>
      </c>
      <c r="G606" s="5">
        <f t="shared" si="38"/>
        <v>0</v>
      </c>
      <c r="H606" s="5">
        <f t="shared" si="39"/>
        <v>0</v>
      </c>
    </row>
    <row r="607" spans="1:8" x14ac:dyDescent="0.2">
      <c r="A607" s="2">
        <v>606</v>
      </c>
      <c r="B607" s="5">
        <f t="shared" si="36"/>
        <v>0</v>
      </c>
      <c r="C607" s="5">
        <f t="shared" si="37"/>
        <v>0</v>
      </c>
      <c r="D607" s="5">
        <f>IF(ExtraPayment=0, 0, IF(AND($B607&lt;&gt;0,ExtraPayment&lt;=$B607),-ExtraPayment,-($F607)-$B607))</f>
        <v>0</v>
      </c>
      <c r="E607" s="5">
        <f>IF($B607 &lt;= 0, 0, -ROUND($B607 * (InterestRate / PaymentsPerYear), 2))</f>
        <v>0</v>
      </c>
      <c r="F607" s="5">
        <f>ROUND(IFERROR(IF(OR($B607 &lt;=0, $B607 = ExtraPayment),0,
MAX(-$B607, -(-PMT(InterestRate/PaymentsPerYear,LoanTerm*PaymentsPerYear,LoanAmount) + $E607))), 0), 2)</f>
        <v>0</v>
      </c>
      <c r="G607" s="5">
        <f t="shared" si="38"/>
        <v>0</v>
      </c>
      <c r="H607" s="5">
        <f t="shared" si="39"/>
        <v>0</v>
      </c>
    </row>
    <row r="608" spans="1:8" x14ac:dyDescent="0.2">
      <c r="A608" s="2">
        <v>607</v>
      </c>
      <c r="B608" s="5">
        <f t="shared" si="36"/>
        <v>0</v>
      </c>
      <c r="C608" s="5">
        <f t="shared" si="37"/>
        <v>0</v>
      </c>
      <c r="D608" s="5">
        <f>IF(ExtraPayment=0, 0, IF(AND($B608&lt;&gt;0,ExtraPayment&lt;=$B608),-ExtraPayment,-($F608)-$B608))</f>
        <v>0</v>
      </c>
      <c r="E608" s="5">
        <f>IF($B608 &lt;= 0, 0, -ROUND($B608 * (InterestRate / PaymentsPerYear), 2))</f>
        <v>0</v>
      </c>
      <c r="F608" s="5">
        <f>ROUND(IFERROR(IF(OR($B608 &lt;=0, $B608 = ExtraPayment),0,
MAX(-$B608, -(-PMT(InterestRate/PaymentsPerYear,LoanTerm*PaymentsPerYear,LoanAmount) + $E608))), 0), 2)</f>
        <v>0</v>
      </c>
      <c r="G608" s="5">
        <f t="shared" si="38"/>
        <v>0</v>
      </c>
      <c r="H608" s="5">
        <f t="shared" si="39"/>
        <v>0</v>
      </c>
    </row>
    <row r="609" spans="1:8" x14ac:dyDescent="0.2">
      <c r="A609" s="2">
        <v>608</v>
      </c>
      <c r="B609" s="5">
        <f t="shared" si="36"/>
        <v>0</v>
      </c>
      <c r="C609" s="5">
        <f t="shared" si="37"/>
        <v>0</v>
      </c>
      <c r="D609" s="5">
        <f>IF(ExtraPayment=0, 0, IF(AND($B609&lt;&gt;0,ExtraPayment&lt;=$B609),-ExtraPayment,-($F609)-$B609))</f>
        <v>0</v>
      </c>
      <c r="E609" s="5">
        <f>IF($B609 &lt;= 0, 0, -ROUND($B609 * (InterestRate / PaymentsPerYear), 2))</f>
        <v>0</v>
      </c>
      <c r="F609" s="5">
        <f>ROUND(IFERROR(IF(OR($B609 &lt;=0, $B609 = ExtraPayment),0,
MAX(-$B609, -(-PMT(InterestRate/PaymentsPerYear,LoanTerm*PaymentsPerYear,LoanAmount) + $E609))), 0), 2)</f>
        <v>0</v>
      </c>
      <c r="G609" s="5">
        <f t="shared" si="38"/>
        <v>0</v>
      </c>
      <c r="H609" s="5">
        <f t="shared" si="39"/>
        <v>0</v>
      </c>
    </row>
    <row r="610" spans="1:8" x14ac:dyDescent="0.2">
      <c r="A610" s="2">
        <v>609</v>
      </c>
      <c r="B610" s="5">
        <f t="shared" si="36"/>
        <v>0</v>
      </c>
      <c r="C610" s="5">
        <f t="shared" si="37"/>
        <v>0</v>
      </c>
      <c r="D610" s="5">
        <f>IF(ExtraPayment=0, 0, IF(AND($B610&lt;&gt;0,ExtraPayment&lt;=$B610),-ExtraPayment,-($F610)-$B610))</f>
        <v>0</v>
      </c>
      <c r="E610" s="5">
        <f>IF($B610 &lt;= 0, 0, -ROUND($B610 * (InterestRate / PaymentsPerYear), 2))</f>
        <v>0</v>
      </c>
      <c r="F610" s="5">
        <f>ROUND(IFERROR(IF(OR($B610 &lt;=0, $B610 = ExtraPayment),0,
MAX(-$B610, -(-PMT(InterestRate/PaymentsPerYear,LoanTerm*PaymentsPerYear,LoanAmount) + $E610))), 0), 2)</f>
        <v>0</v>
      </c>
      <c r="G610" s="5">
        <f t="shared" si="38"/>
        <v>0</v>
      </c>
      <c r="H610" s="5">
        <f t="shared" si="39"/>
        <v>0</v>
      </c>
    </row>
    <row r="611" spans="1:8" x14ac:dyDescent="0.2">
      <c r="A611" s="2">
        <v>610</v>
      </c>
      <c r="B611" s="5">
        <f t="shared" si="36"/>
        <v>0</v>
      </c>
      <c r="C611" s="5">
        <f t="shared" si="37"/>
        <v>0</v>
      </c>
      <c r="D611" s="5">
        <f>IF(ExtraPayment=0, 0, IF(AND($B611&lt;&gt;0,ExtraPayment&lt;=$B611),-ExtraPayment,-($F611)-$B611))</f>
        <v>0</v>
      </c>
      <c r="E611" s="5">
        <f>IF($B611 &lt;= 0, 0, -ROUND($B611 * (InterestRate / PaymentsPerYear), 2))</f>
        <v>0</v>
      </c>
      <c r="F611" s="5">
        <f>ROUND(IFERROR(IF(OR($B611 &lt;=0, $B611 = ExtraPayment),0,
MAX(-$B611, -(-PMT(InterestRate/PaymentsPerYear,LoanTerm*PaymentsPerYear,LoanAmount) + $E611))), 0), 2)</f>
        <v>0</v>
      </c>
      <c r="G611" s="5">
        <f t="shared" si="38"/>
        <v>0</v>
      </c>
      <c r="H611" s="5">
        <f t="shared" si="39"/>
        <v>0</v>
      </c>
    </row>
    <row r="612" spans="1:8" x14ac:dyDescent="0.2">
      <c r="A612" s="2">
        <v>611</v>
      </c>
      <c r="B612" s="5">
        <f t="shared" si="36"/>
        <v>0</v>
      </c>
      <c r="C612" s="5">
        <f t="shared" si="37"/>
        <v>0</v>
      </c>
      <c r="D612" s="5">
        <f>IF(ExtraPayment=0, 0, IF(AND($B612&lt;&gt;0,ExtraPayment&lt;=$B612),-ExtraPayment,-($F612)-$B612))</f>
        <v>0</v>
      </c>
      <c r="E612" s="5">
        <f>IF($B612 &lt;= 0, 0, -ROUND($B612 * (InterestRate / PaymentsPerYear), 2))</f>
        <v>0</v>
      </c>
      <c r="F612" s="5">
        <f>ROUND(IFERROR(IF(OR($B612 &lt;=0, $B612 = ExtraPayment),0,
MAX(-$B612, -(-PMT(InterestRate/PaymentsPerYear,LoanTerm*PaymentsPerYear,LoanAmount) + $E612))), 0), 2)</f>
        <v>0</v>
      </c>
      <c r="G612" s="5">
        <f t="shared" si="38"/>
        <v>0</v>
      </c>
      <c r="H612" s="5">
        <f t="shared" si="39"/>
        <v>0</v>
      </c>
    </row>
    <row r="613" spans="1:8" x14ac:dyDescent="0.2">
      <c r="A613" s="2">
        <v>612</v>
      </c>
      <c r="B613" s="5">
        <f t="shared" si="36"/>
        <v>0</v>
      </c>
      <c r="C613" s="5">
        <f t="shared" si="37"/>
        <v>0</v>
      </c>
      <c r="D613" s="5">
        <f>IF(ExtraPayment=0, 0, IF(AND($B613&lt;&gt;0,ExtraPayment&lt;=$B613),-ExtraPayment,-($F613)-$B613))</f>
        <v>0</v>
      </c>
      <c r="E613" s="5">
        <f>IF($B613 &lt;= 0, 0, -ROUND($B613 * (InterestRate / PaymentsPerYear), 2))</f>
        <v>0</v>
      </c>
      <c r="F613" s="5">
        <f>ROUND(IFERROR(IF(OR($B613 &lt;=0, $B613 = ExtraPayment),0,
MAX(-$B613, -(-PMT(InterestRate/PaymentsPerYear,LoanTerm*PaymentsPerYear,LoanAmount) + $E613))), 0), 2)</f>
        <v>0</v>
      </c>
      <c r="G613" s="5">
        <f t="shared" si="38"/>
        <v>0</v>
      </c>
      <c r="H613" s="5">
        <f t="shared" si="39"/>
        <v>0</v>
      </c>
    </row>
    <row r="614" spans="1:8" x14ac:dyDescent="0.2">
      <c r="A614" s="2">
        <v>613</v>
      </c>
      <c r="B614" s="5">
        <f t="shared" si="36"/>
        <v>0</v>
      </c>
      <c r="C614" s="5">
        <f t="shared" si="37"/>
        <v>0</v>
      </c>
      <c r="D614" s="5">
        <f>IF(ExtraPayment=0, 0, IF(AND($B614&lt;&gt;0,ExtraPayment&lt;=$B614),-ExtraPayment,-($F614)-$B614))</f>
        <v>0</v>
      </c>
      <c r="E614" s="5">
        <f>IF($B614 &lt;= 0, 0, -ROUND($B614 * (InterestRate / PaymentsPerYear), 2))</f>
        <v>0</v>
      </c>
      <c r="F614" s="5">
        <f>ROUND(IFERROR(IF(OR($B614 &lt;=0, $B614 = ExtraPayment),0,
MAX(-$B614, -(-PMT(InterestRate/PaymentsPerYear,LoanTerm*PaymentsPerYear,LoanAmount) + $E614))), 0), 2)</f>
        <v>0</v>
      </c>
      <c r="G614" s="5">
        <f t="shared" si="38"/>
        <v>0</v>
      </c>
      <c r="H614" s="5">
        <f t="shared" si="39"/>
        <v>0</v>
      </c>
    </row>
    <row r="615" spans="1:8" x14ac:dyDescent="0.2">
      <c r="A615" s="2">
        <v>614</v>
      </c>
      <c r="B615" s="5">
        <f t="shared" si="36"/>
        <v>0</v>
      </c>
      <c r="C615" s="5">
        <f t="shared" si="37"/>
        <v>0</v>
      </c>
      <c r="D615" s="5">
        <f>IF(ExtraPayment=0, 0, IF(AND($B615&lt;&gt;0,ExtraPayment&lt;=$B615),-ExtraPayment,-($F615)-$B615))</f>
        <v>0</v>
      </c>
      <c r="E615" s="5">
        <f>IF($B615 &lt;= 0, 0, -ROUND($B615 * (InterestRate / PaymentsPerYear), 2))</f>
        <v>0</v>
      </c>
      <c r="F615" s="5">
        <f>ROUND(IFERROR(IF(OR($B615 &lt;=0, $B615 = ExtraPayment),0,
MAX(-$B615, -(-PMT(InterestRate/PaymentsPerYear,LoanTerm*PaymentsPerYear,LoanAmount) + $E615))), 0), 2)</f>
        <v>0</v>
      </c>
      <c r="G615" s="5">
        <f t="shared" si="38"/>
        <v>0</v>
      </c>
      <c r="H615" s="5">
        <f t="shared" si="39"/>
        <v>0</v>
      </c>
    </row>
    <row r="616" spans="1:8" x14ac:dyDescent="0.2">
      <c r="A616" s="2">
        <v>615</v>
      </c>
      <c r="B616" s="5">
        <f t="shared" si="36"/>
        <v>0</v>
      </c>
      <c r="C616" s="5">
        <f t="shared" si="37"/>
        <v>0</v>
      </c>
      <c r="D616" s="5">
        <f>IF(ExtraPayment=0, 0, IF(AND($B616&lt;&gt;0,ExtraPayment&lt;=$B616),-ExtraPayment,-($F616)-$B616))</f>
        <v>0</v>
      </c>
      <c r="E616" s="5">
        <f>IF($B616 &lt;= 0, 0, -ROUND($B616 * (InterestRate / PaymentsPerYear), 2))</f>
        <v>0</v>
      </c>
      <c r="F616" s="5">
        <f>ROUND(IFERROR(IF(OR($B616 &lt;=0, $B616 = ExtraPayment),0,
MAX(-$B616, -(-PMT(InterestRate/PaymentsPerYear,LoanTerm*PaymentsPerYear,LoanAmount) + $E616))), 0), 2)</f>
        <v>0</v>
      </c>
      <c r="G616" s="5">
        <f t="shared" si="38"/>
        <v>0</v>
      </c>
      <c r="H616" s="5">
        <f t="shared" si="39"/>
        <v>0</v>
      </c>
    </row>
    <row r="617" spans="1:8" x14ac:dyDescent="0.2">
      <c r="A617" s="2">
        <v>616</v>
      </c>
      <c r="B617" s="5">
        <f t="shared" si="36"/>
        <v>0</v>
      </c>
      <c r="C617" s="5">
        <f t="shared" si="37"/>
        <v>0</v>
      </c>
      <c r="D617" s="5">
        <f>IF(ExtraPayment=0, 0, IF(AND($B617&lt;&gt;0,ExtraPayment&lt;=$B617),-ExtraPayment,-($F617)-$B617))</f>
        <v>0</v>
      </c>
      <c r="E617" s="5">
        <f>IF($B617 &lt;= 0, 0, -ROUND($B617 * (InterestRate / PaymentsPerYear), 2))</f>
        <v>0</v>
      </c>
      <c r="F617" s="5">
        <f>ROUND(IFERROR(IF(OR($B617 &lt;=0, $B617 = ExtraPayment),0,
MAX(-$B617, -(-PMT(InterestRate/PaymentsPerYear,LoanTerm*PaymentsPerYear,LoanAmount) + $E617))), 0), 2)</f>
        <v>0</v>
      </c>
      <c r="G617" s="5">
        <f t="shared" si="38"/>
        <v>0</v>
      </c>
      <c r="H617" s="5">
        <f t="shared" si="39"/>
        <v>0</v>
      </c>
    </row>
    <row r="618" spans="1:8" x14ac:dyDescent="0.2">
      <c r="A618" s="2">
        <v>617</v>
      </c>
      <c r="B618" s="5">
        <f t="shared" si="36"/>
        <v>0</v>
      </c>
      <c r="C618" s="5">
        <f t="shared" si="37"/>
        <v>0</v>
      </c>
      <c r="D618" s="5">
        <f>IF(ExtraPayment=0, 0, IF(AND($B618&lt;&gt;0,ExtraPayment&lt;=$B618),-ExtraPayment,-($F618)-$B618))</f>
        <v>0</v>
      </c>
      <c r="E618" s="5">
        <f>IF($B618 &lt;= 0, 0, -ROUND($B618 * (InterestRate / PaymentsPerYear), 2))</f>
        <v>0</v>
      </c>
      <c r="F618" s="5">
        <f>ROUND(IFERROR(IF(OR($B618 &lt;=0, $B618 = ExtraPayment),0,
MAX(-$B618, -(-PMT(InterestRate/PaymentsPerYear,LoanTerm*PaymentsPerYear,LoanAmount) + $E618))), 0), 2)</f>
        <v>0</v>
      </c>
      <c r="G618" s="5">
        <f t="shared" si="38"/>
        <v>0</v>
      </c>
      <c r="H618" s="5">
        <f t="shared" si="39"/>
        <v>0</v>
      </c>
    </row>
    <row r="619" spans="1:8" x14ac:dyDescent="0.2">
      <c r="A619" s="2">
        <v>618</v>
      </c>
      <c r="B619" s="5">
        <f t="shared" si="36"/>
        <v>0</v>
      </c>
      <c r="C619" s="5">
        <f t="shared" si="37"/>
        <v>0</v>
      </c>
      <c r="D619" s="5">
        <f>IF(ExtraPayment=0, 0, IF(AND($B619&lt;&gt;0,ExtraPayment&lt;=$B619),-ExtraPayment,-($F619)-$B619))</f>
        <v>0</v>
      </c>
      <c r="E619" s="5">
        <f>IF($B619 &lt;= 0, 0, -ROUND($B619 * (InterestRate / PaymentsPerYear), 2))</f>
        <v>0</v>
      </c>
      <c r="F619" s="5">
        <f>ROUND(IFERROR(IF(OR($B619 &lt;=0, $B619 = ExtraPayment),0,
MAX(-$B619, -(-PMT(InterestRate/PaymentsPerYear,LoanTerm*PaymentsPerYear,LoanAmount) + $E619))), 0), 2)</f>
        <v>0</v>
      </c>
      <c r="G619" s="5">
        <f t="shared" si="38"/>
        <v>0</v>
      </c>
      <c r="H619" s="5">
        <f t="shared" si="39"/>
        <v>0</v>
      </c>
    </row>
    <row r="620" spans="1:8" x14ac:dyDescent="0.2">
      <c r="A620" s="2">
        <v>619</v>
      </c>
      <c r="B620" s="5">
        <f t="shared" si="36"/>
        <v>0</v>
      </c>
      <c r="C620" s="5">
        <f t="shared" si="37"/>
        <v>0</v>
      </c>
      <c r="D620" s="5">
        <f>IF(ExtraPayment=0, 0, IF(AND($B620&lt;&gt;0,ExtraPayment&lt;=$B620),-ExtraPayment,-($F620)-$B620))</f>
        <v>0</v>
      </c>
      <c r="E620" s="5">
        <f>IF($B620 &lt;= 0, 0, -ROUND($B620 * (InterestRate / PaymentsPerYear), 2))</f>
        <v>0</v>
      </c>
      <c r="F620" s="5">
        <f>ROUND(IFERROR(IF(OR($B620 &lt;=0, $B620 = ExtraPayment),0,
MAX(-$B620, -(-PMT(InterestRate/PaymentsPerYear,LoanTerm*PaymentsPerYear,LoanAmount) + $E620))), 0), 2)</f>
        <v>0</v>
      </c>
      <c r="G620" s="5">
        <f t="shared" si="38"/>
        <v>0</v>
      </c>
      <c r="H620" s="5">
        <f t="shared" si="39"/>
        <v>0</v>
      </c>
    </row>
    <row r="621" spans="1:8" x14ac:dyDescent="0.2">
      <c r="A621" s="2">
        <v>620</v>
      </c>
      <c r="B621" s="5">
        <f t="shared" si="36"/>
        <v>0</v>
      </c>
      <c r="C621" s="5">
        <f t="shared" si="37"/>
        <v>0</v>
      </c>
      <c r="D621" s="5">
        <f>IF(ExtraPayment=0, 0, IF(AND($B621&lt;&gt;0,ExtraPayment&lt;=$B621),-ExtraPayment,-($F621)-$B621))</f>
        <v>0</v>
      </c>
      <c r="E621" s="5">
        <f>IF($B621 &lt;= 0, 0, -ROUND($B621 * (InterestRate / PaymentsPerYear), 2))</f>
        <v>0</v>
      </c>
      <c r="F621" s="5">
        <f>ROUND(IFERROR(IF(OR($B621 &lt;=0, $B621 = ExtraPayment),0,
MAX(-$B621, -(-PMT(InterestRate/PaymentsPerYear,LoanTerm*PaymentsPerYear,LoanAmount) + $E621))), 0), 2)</f>
        <v>0</v>
      </c>
      <c r="G621" s="5">
        <f t="shared" si="38"/>
        <v>0</v>
      </c>
      <c r="H621" s="5">
        <f t="shared" si="39"/>
        <v>0</v>
      </c>
    </row>
    <row r="622" spans="1:8" x14ac:dyDescent="0.2">
      <c r="A622" s="2">
        <v>621</v>
      </c>
      <c r="B622" s="5">
        <f t="shared" si="36"/>
        <v>0</v>
      </c>
      <c r="C622" s="5">
        <f t="shared" si="37"/>
        <v>0</v>
      </c>
      <c r="D622" s="5">
        <f>IF(ExtraPayment=0, 0, IF(AND($B622&lt;&gt;0,ExtraPayment&lt;=$B622),-ExtraPayment,-($F622)-$B622))</f>
        <v>0</v>
      </c>
      <c r="E622" s="5">
        <f>IF($B622 &lt;= 0, 0, -ROUND($B622 * (InterestRate / PaymentsPerYear), 2))</f>
        <v>0</v>
      </c>
      <c r="F622" s="5">
        <f>ROUND(IFERROR(IF(OR($B622 &lt;=0, $B622 = ExtraPayment),0,
MAX(-$B622, -(-PMT(InterestRate/PaymentsPerYear,LoanTerm*PaymentsPerYear,LoanAmount) + $E622))), 0), 2)</f>
        <v>0</v>
      </c>
      <c r="G622" s="5">
        <f t="shared" si="38"/>
        <v>0</v>
      </c>
      <c r="H622" s="5">
        <f t="shared" si="39"/>
        <v>0</v>
      </c>
    </row>
    <row r="623" spans="1:8" x14ac:dyDescent="0.2">
      <c r="A623" s="2">
        <v>622</v>
      </c>
      <c r="B623" s="5">
        <f t="shared" si="36"/>
        <v>0</v>
      </c>
      <c r="C623" s="5">
        <f t="shared" si="37"/>
        <v>0</v>
      </c>
      <c r="D623" s="5">
        <f>IF(ExtraPayment=0, 0, IF(AND($B623&lt;&gt;0,ExtraPayment&lt;=$B623),-ExtraPayment,-($F623)-$B623))</f>
        <v>0</v>
      </c>
      <c r="E623" s="5">
        <f>IF($B623 &lt;= 0, 0, -ROUND($B623 * (InterestRate / PaymentsPerYear), 2))</f>
        <v>0</v>
      </c>
      <c r="F623" s="5">
        <f>ROUND(IFERROR(IF(OR($B623 &lt;=0, $B623 = ExtraPayment),0,
MAX(-$B623, -(-PMT(InterestRate/PaymentsPerYear,LoanTerm*PaymentsPerYear,LoanAmount) + $E623))), 0), 2)</f>
        <v>0</v>
      </c>
      <c r="G623" s="5">
        <f t="shared" si="38"/>
        <v>0</v>
      </c>
      <c r="H623" s="5">
        <f t="shared" si="39"/>
        <v>0</v>
      </c>
    </row>
    <row r="624" spans="1:8" x14ac:dyDescent="0.2">
      <c r="A624" s="2">
        <v>623</v>
      </c>
      <c r="B624" s="5">
        <f t="shared" si="36"/>
        <v>0</v>
      </c>
      <c r="C624" s="5">
        <f t="shared" si="37"/>
        <v>0</v>
      </c>
      <c r="D624" s="5">
        <f>IF(ExtraPayment=0, 0, IF(AND($B624&lt;&gt;0,ExtraPayment&lt;=$B624),-ExtraPayment,-($F624)-$B624))</f>
        <v>0</v>
      </c>
      <c r="E624" s="5">
        <f>IF($B624 &lt;= 0, 0, -ROUND($B624 * (InterestRate / PaymentsPerYear), 2))</f>
        <v>0</v>
      </c>
      <c r="F624" s="5">
        <f>ROUND(IFERROR(IF(OR($B624 &lt;=0, $B624 = ExtraPayment),0,
MAX(-$B624, -(-PMT(InterestRate/PaymentsPerYear,LoanTerm*PaymentsPerYear,LoanAmount) + $E624))), 0), 2)</f>
        <v>0</v>
      </c>
      <c r="G624" s="5">
        <f t="shared" si="38"/>
        <v>0</v>
      </c>
      <c r="H624" s="5">
        <f t="shared" si="39"/>
        <v>0</v>
      </c>
    </row>
    <row r="625" spans="1:8" x14ac:dyDescent="0.2">
      <c r="A625" s="2">
        <v>624</v>
      </c>
      <c r="B625" s="5">
        <f t="shared" si="36"/>
        <v>0</v>
      </c>
      <c r="C625" s="5">
        <f t="shared" si="37"/>
        <v>0</v>
      </c>
      <c r="D625" s="5">
        <f>IF(ExtraPayment=0, 0, IF(AND($B625&lt;&gt;0,ExtraPayment&lt;=$B625),-ExtraPayment,-($F625)-$B625))</f>
        <v>0</v>
      </c>
      <c r="E625" s="5">
        <f>IF($B625 &lt;= 0, 0, -ROUND($B625 * (InterestRate / PaymentsPerYear), 2))</f>
        <v>0</v>
      </c>
      <c r="F625" s="5">
        <f>ROUND(IFERROR(IF(OR($B625 &lt;=0, $B625 = ExtraPayment),0,
MAX(-$B625, -(-PMT(InterestRate/PaymentsPerYear,LoanTerm*PaymentsPerYear,LoanAmount) + $E625))), 0), 2)</f>
        <v>0</v>
      </c>
      <c r="G625" s="5">
        <f t="shared" si="38"/>
        <v>0</v>
      </c>
      <c r="H625" s="5">
        <f t="shared" si="39"/>
        <v>0</v>
      </c>
    </row>
    <row r="626" spans="1:8" x14ac:dyDescent="0.2">
      <c r="A626" s="2">
        <v>625</v>
      </c>
      <c r="B626" s="5">
        <f t="shared" si="36"/>
        <v>0</v>
      </c>
      <c r="C626" s="5">
        <f t="shared" si="37"/>
        <v>0</v>
      </c>
      <c r="D626" s="5">
        <f>IF(ExtraPayment=0, 0, IF(AND($B626&lt;&gt;0,ExtraPayment&lt;=$B626),-ExtraPayment,-($F626)-$B626))</f>
        <v>0</v>
      </c>
      <c r="E626" s="5">
        <f>IF($B626 &lt;= 0, 0, -ROUND($B626 * (InterestRate / PaymentsPerYear), 2))</f>
        <v>0</v>
      </c>
      <c r="F626" s="5">
        <f>ROUND(IFERROR(IF(OR($B626 &lt;=0, $B626 = ExtraPayment),0,
MAX(-$B626, -(-PMT(InterestRate/PaymentsPerYear,LoanTerm*PaymentsPerYear,LoanAmount) + $E626))), 0), 2)</f>
        <v>0</v>
      </c>
      <c r="G626" s="5">
        <f t="shared" si="38"/>
        <v>0</v>
      </c>
      <c r="H626" s="5">
        <f t="shared" si="39"/>
        <v>0</v>
      </c>
    </row>
    <row r="627" spans="1:8" x14ac:dyDescent="0.2">
      <c r="A627" s="2">
        <v>626</v>
      </c>
      <c r="B627" s="5">
        <f t="shared" si="36"/>
        <v>0</v>
      </c>
      <c r="C627" s="5">
        <f t="shared" si="37"/>
        <v>0</v>
      </c>
      <c r="D627" s="5">
        <f>IF(ExtraPayment=0, 0, IF(AND($B627&lt;&gt;0,ExtraPayment&lt;=$B627),-ExtraPayment,-($F627)-$B627))</f>
        <v>0</v>
      </c>
      <c r="E627" s="5">
        <f>IF($B627 &lt;= 0, 0, -ROUND($B627 * (InterestRate / PaymentsPerYear), 2))</f>
        <v>0</v>
      </c>
      <c r="F627" s="5">
        <f>ROUND(IFERROR(IF(OR($B627 &lt;=0, $B627 = ExtraPayment),0,
MAX(-$B627, -(-PMT(InterestRate/PaymentsPerYear,LoanTerm*PaymentsPerYear,LoanAmount) + $E627))), 0), 2)</f>
        <v>0</v>
      </c>
      <c r="G627" s="5">
        <f t="shared" si="38"/>
        <v>0</v>
      </c>
      <c r="H627" s="5">
        <f t="shared" si="39"/>
        <v>0</v>
      </c>
    </row>
    <row r="628" spans="1:8" x14ac:dyDescent="0.2">
      <c r="A628" s="2">
        <v>627</v>
      </c>
      <c r="B628" s="5">
        <f t="shared" si="36"/>
        <v>0</v>
      </c>
      <c r="C628" s="5">
        <f t="shared" si="37"/>
        <v>0</v>
      </c>
      <c r="D628" s="5">
        <f>IF(ExtraPayment=0, 0, IF(AND($B628&lt;&gt;0,ExtraPayment&lt;=$B628),-ExtraPayment,-($F628)-$B628))</f>
        <v>0</v>
      </c>
      <c r="E628" s="5">
        <f>IF($B628 &lt;= 0, 0, -ROUND($B628 * (InterestRate / PaymentsPerYear), 2))</f>
        <v>0</v>
      </c>
      <c r="F628" s="5">
        <f>ROUND(IFERROR(IF(OR($B628 &lt;=0, $B628 = ExtraPayment),0,
MAX(-$B628, -(-PMT(InterestRate/PaymentsPerYear,LoanTerm*PaymentsPerYear,LoanAmount) + $E628))), 0), 2)</f>
        <v>0</v>
      </c>
      <c r="G628" s="5">
        <f t="shared" si="38"/>
        <v>0</v>
      </c>
      <c r="H628" s="5">
        <f t="shared" si="39"/>
        <v>0</v>
      </c>
    </row>
    <row r="629" spans="1:8" x14ac:dyDescent="0.2">
      <c r="A629" s="2">
        <v>628</v>
      </c>
      <c r="B629" s="5">
        <f t="shared" si="36"/>
        <v>0</v>
      </c>
      <c r="C629" s="5">
        <f t="shared" si="37"/>
        <v>0</v>
      </c>
      <c r="D629" s="5">
        <f>IF(ExtraPayment=0, 0, IF(AND($B629&lt;&gt;0,ExtraPayment&lt;=$B629),-ExtraPayment,-($F629)-$B629))</f>
        <v>0</v>
      </c>
      <c r="E629" s="5">
        <f>IF($B629 &lt;= 0, 0, -ROUND($B629 * (InterestRate / PaymentsPerYear), 2))</f>
        <v>0</v>
      </c>
      <c r="F629" s="5">
        <f>ROUND(IFERROR(IF(OR($B629 &lt;=0, $B629 = ExtraPayment),0,
MAX(-$B629, -(-PMT(InterestRate/PaymentsPerYear,LoanTerm*PaymentsPerYear,LoanAmount) + $E629))), 0), 2)</f>
        <v>0</v>
      </c>
      <c r="G629" s="5">
        <f t="shared" si="38"/>
        <v>0</v>
      </c>
      <c r="H629" s="5">
        <f t="shared" si="39"/>
        <v>0</v>
      </c>
    </row>
    <row r="630" spans="1:8" x14ac:dyDescent="0.2">
      <c r="A630" s="2">
        <v>629</v>
      </c>
      <c r="B630" s="5">
        <f t="shared" si="36"/>
        <v>0</v>
      </c>
      <c r="C630" s="5">
        <f t="shared" si="37"/>
        <v>0</v>
      </c>
      <c r="D630" s="5">
        <f>IF(ExtraPayment=0, 0, IF(AND($B630&lt;&gt;0,ExtraPayment&lt;=$B630),-ExtraPayment,-($F630)-$B630))</f>
        <v>0</v>
      </c>
      <c r="E630" s="5">
        <f>IF($B630 &lt;= 0, 0, -ROUND($B630 * (InterestRate / PaymentsPerYear), 2))</f>
        <v>0</v>
      </c>
      <c r="F630" s="5">
        <f>ROUND(IFERROR(IF(OR($B630 &lt;=0, $B630 = ExtraPayment),0,
MAX(-$B630, -(-PMT(InterestRate/PaymentsPerYear,LoanTerm*PaymentsPerYear,LoanAmount) + $E630))), 0), 2)</f>
        <v>0</v>
      </c>
      <c r="G630" s="5">
        <f t="shared" si="38"/>
        <v>0</v>
      </c>
      <c r="H630" s="5">
        <f t="shared" si="39"/>
        <v>0</v>
      </c>
    </row>
    <row r="631" spans="1:8" x14ac:dyDescent="0.2">
      <c r="A631" s="2">
        <v>630</v>
      </c>
      <c r="B631" s="5">
        <f t="shared" si="36"/>
        <v>0</v>
      </c>
      <c r="C631" s="5">
        <f t="shared" si="37"/>
        <v>0</v>
      </c>
      <c r="D631" s="5">
        <f>IF(ExtraPayment=0, 0, IF(AND($B631&lt;&gt;0,ExtraPayment&lt;=$B631),-ExtraPayment,-($F631)-$B631))</f>
        <v>0</v>
      </c>
      <c r="E631" s="5">
        <f>IF($B631 &lt;= 0, 0, -ROUND($B631 * (InterestRate / PaymentsPerYear), 2))</f>
        <v>0</v>
      </c>
      <c r="F631" s="5">
        <f>ROUND(IFERROR(IF(OR($B631 &lt;=0, $B631 = ExtraPayment),0,
MAX(-$B631, -(-PMT(InterestRate/PaymentsPerYear,LoanTerm*PaymentsPerYear,LoanAmount) + $E631))), 0), 2)</f>
        <v>0</v>
      </c>
      <c r="G631" s="5">
        <f t="shared" si="38"/>
        <v>0</v>
      </c>
      <c r="H631" s="5">
        <f t="shared" si="39"/>
        <v>0</v>
      </c>
    </row>
    <row r="632" spans="1:8" x14ac:dyDescent="0.2">
      <c r="A632" s="2">
        <v>631</v>
      </c>
      <c r="B632" s="5">
        <f t="shared" si="36"/>
        <v>0</v>
      </c>
      <c r="C632" s="5">
        <f t="shared" si="37"/>
        <v>0</v>
      </c>
      <c r="D632" s="5">
        <f>IF(ExtraPayment=0, 0, IF(AND($B632&lt;&gt;0,ExtraPayment&lt;=$B632),-ExtraPayment,-($F632)-$B632))</f>
        <v>0</v>
      </c>
      <c r="E632" s="5">
        <f>IF($B632 &lt;= 0, 0, -ROUND($B632 * (InterestRate / PaymentsPerYear), 2))</f>
        <v>0</v>
      </c>
      <c r="F632" s="5">
        <f>ROUND(IFERROR(IF(OR($B632 &lt;=0, $B632 = ExtraPayment),0,
MAX(-$B632, -(-PMT(InterestRate/PaymentsPerYear,LoanTerm*PaymentsPerYear,LoanAmount) + $E632))), 0), 2)</f>
        <v>0</v>
      </c>
      <c r="G632" s="5">
        <f t="shared" si="38"/>
        <v>0</v>
      </c>
      <c r="H632" s="5">
        <f t="shared" si="39"/>
        <v>0</v>
      </c>
    </row>
    <row r="633" spans="1:8" x14ac:dyDescent="0.2">
      <c r="A633" s="2">
        <v>632</v>
      </c>
      <c r="B633" s="5">
        <f t="shared" si="36"/>
        <v>0</v>
      </c>
      <c r="C633" s="5">
        <f t="shared" si="37"/>
        <v>0</v>
      </c>
      <c r="D633" s="5">
        <f>IF(ExtraPayment=0, 0, IF(AND($B633&lt;&gt;0,ExtraPayment&lt;=$B633),-ExtraPayment,-($F633)-$B633))</f>
        <v>0</v>
      </c>
      <c r="E633" s="5">
        <f>IF($B633 &lt;= 0, 0, -ROUND($B633 * (InterestRate / PaymentsPerYear), 2))</f>
        <v>0</v>
      </c>
      <c r="F633" s="5">
        <f>ROUND(IFERROR(IF(OR($B633 &lt;=0, $B633 = ExtraPayment),0,
MAX(-$B633, -(-PMT(InterestRate/PaymentsPerYear,LoanTerm*PaymentsPerYear,LoanAmount) + $E633))), 0), 2)</f>
        <v>0</v>
      </c>
      <c r="G633" s="5">
        <f t="shared" si="38"/>
        <v>0</v>
      </c>
      <c r="H633" s="5">
        <f t="shared" si="39"/>
        <v>0</v>
      </c>
    </row>
    <row r="634" spans="1:8" x14ac:dyDescent="0.2">
      <c r="A634" s="2">
        <v>633</v>
      </c>
      <c r="B634" s="5">
        <f t="shared" si="36"/>
        <v>0</v>
      </c>
      <c r="C634" s="5">
        <f t="shared" si="37"/>
        <v>0</v>
      </c>
      <c r="D634" s="5">
        <f>IF(ExtraPayment=0, 0, IF(AND($B634&lt;&gt;0,ExtraPayment&lt;=$B634),-ExtraPayment,-($F634)-$B634))</f>
        <v>0</v>
      </c>
      <c r="E634" s="5">
        <f>IF($B634 &lt;= 0, 0, -ROUND($B634 * (InterestRate / PaymentsPerYear), 2))</f>
        <v>0</v>
      </c>
      <c r="F634" s="5">
        <f>ROUND(IFERROR(IF(OR($B634 &lt;=0, $B634 = ExtraPayment),0,
MAX(-$B634, -(-PMT(InterestRate/PaymentsPerYear,LoanTerm*PaymentsPerYear,LoanAmount) + $E634))), 0), 2)</f>
        <v>0</v>
      </c>
      <c r="G634" s="5">
        <f t="shared" si="38"/>
        <v>0</v>
      </c>
      <c r="H634" s="5">
        <f t="shared" si="39"/>
        <v>0</v>
      </c>
    </row>
    <row r="635" spans="1:8" x14ac:dyDescent="0.2">
      <c r="A635" s="2">
        <v>634</v>
      </c>
      <c r="B635" s="5">
        <f t="shared" si="36"/>
        <v>0</v>
      </c>
      <c r="C635" s="5">
        <f t="shared" si="37"/>
        <v>0</v>
      </c>
      <c r="D635" s="5">
        <f>IF(ExtraPayment=0, 0, IF(AND($B635&lt;&gt;0,ExtraPayment&lt;=$B635),-ExtraPayment,-($F635)-$B635))</f>
        <v>0</v>
      </c>
      <c r="E635" s="5">
        <f>IF($B635 &lt;= 0, 0, -ROUND($B635 * (InterestRate / PaymentsPerYear), 2))</f>
        <v>0</v>
      </c>
      <c r="F635" s="5">
        <f>ROUND(IFERROR(IF(OR($B635 &lt;=0, $B635 = ExtraPayment),0,
MAX(-$B635, -(-PMT(InterestRate/PaymentsPerYear,LoanTerm*PaymentsPerYear,LoanAmount) + $E635))), 0), 2)</f>
        <v>0</v>
      </c>
      <c r="G635" s="5">
        <f t="shared" si="38"/>
        <v>0</v>
      </c>
      <c r="H635" s="5">
        <f t="shared" si="39"/>
        <v>0</v>
      </c>
    </row>
    <row r="636" spans="1:8" x14ac:dyDescent="0.2">
      <c r="A636" s="2">
        <v>635</v>
      </c>
      <c r="B636" s="5">
        <f t="shared" si="36"/>
        <v>0</v>
      </c>
      <c r="C636" s="5">
        <f t="shared" si="37"/>
        <v>0</v>
      </c>
      <c r="D636" s="5">
        <f>IF(ExtraPayment=0, 0, IF(AND($B636&lt;&gt;0,ExtraPayment&lt;=$B636),-ExtraPayment,-($F636)-$B636))</f>
        <v>0</v>
      </c>
      <c r="E636" s="5">
        <f>IF($B636 &lt;= 0, 0, -ROUND($B636 * (InterestRate / PaymentsPerYear), 2))</f>
        <v>0</v>
      </c>
      <c r="F636" s="5">
        <f>ROUND(IFERROR(IF(OR($B636 &lt;=0, $B636 = ExtraPayment),0,
MAX(-$B636, -(-PMT(InterestRate/PaymentsPerYear,LoanTerm*PaymentsPerYear,LoanAmount) + $E636))), 0), 2)</f>
        <v>0</v>
      </c>
      <c r="G636" s="5">
        <f t="shared" si="38"/>
        <v>0</v>
      </c>
      <c r="H636" s="5">
        <f t="shared" si="39"/>
        <v>0</v>
      </c>
    </row>
    <row r="637" spans="1:8" x14ac:dyDescent="0.2">
      <c r="A637" s="2">
        <v>636</v>
      </c>
      <c r="B637" s="5">
        <f t="shared" si="36"/>
        <v>0</v>
      </c>
      <c r="C637" s="5">
        <f t="shared" si="37"/>
        <v>0</v>
      </c>
      <c r="D637" s="5">
        <f>IF(ExtraPayment=0, 0, IF(AND($B637&lt;&gt;0,ExtraPayment&lt;=$B637),-ExtraPayment,-($F637)-$B637))</f>
        <v>0</v>
      </c>
      <c r="E637" s="5">
        <f>IF($B637 &lt;= 0, 0, -ROUND($B637 * (InterestRate / PaymentsPerYear), 2))</f>
        <v>0</v>
      </c>
      <c r="F637" s="5">
        <f>ROUND(IFERROR(IF(OR($B637 &lt;=0, $B637 = ExtraPayment),0,
MAX(-$B637, -(-PMT(InterestRate/PaymentsPerYear,LoanTerm*PaymentsPerYear,LoanAmount) + $E637))), 0), 2)</f>
        <v>0</v>
      </c>
      <c r="G637" s="5">
        <f t="shared" si="38"/>
        <v>0</v>
      </c>
      <c r="H637" s="5">
        <f t="shared" si="39"/>
        <v>0</v>
      </c>
    </row>
    <row r="638" spans="1:8" x14ac:dyDescent="0.2">
      <c r="A638" s="2">
        <v>637</v>
      </c>
      <c r="B638" s="5">
        <f t="shared" si="36"/>
        <v>0</v>
      </c>
      <c r="C638" s="5">
        <f t="shared" si="37"/>
        <v>0</v>
      </c>
      <c r="D638" s="5">
        <f>IF(ExtraPayment=0, 0, IF(AND($B638&lt;&gt;0,ExtraPayment&lt;=$B638),-ExtraPayment,-($F638)-$B638))</f>
        <v>0</v>
      </c>
      <c r="E638" s="5">
        <f>IF($B638 &lt;= 0, 0, -ROUND($B638 * (InterestRate / PaymentsPerYear), 2))</f>
        <v>0</v>
      </c>
      <c r="F638" s="5">
        <f>ROUND(IFERROR(IF(OR($B638 &lt;=0, $B638 = ExtraPayment),0,
MAX(-$B638, -(-PMT(InterestRate/PaymentsPerYear,LoanTerm*PaymentsPerYear,LoanAmount) + $E638))), 0), 2)</f>
        <v>0</v>
      </c>
      <c r="G638" s="5">
        <f t="shared" si="38"/>
        <v>0</v>
      </c>
      <c r="H638" s="5">
        <f t="shared" si="39"/>
        <v>0</v>
      </c>
    </row>
    <row r="639" spans="1:8" x14ac:dyDescent="0.2">
      <c r="A639" s="2">
        <v>638</v>
      </c>
      <c r="B639" s="5">
        <f t="shared" si="36"/>
        <v>0</v>
      </c>
      <c r="C639" s="5">
        <f t="shared" si="37"/>
        <v>0</v>
      </c>
      <c r="D639" s="5">
        <f>IF(ExtraPayment=0, 0, IF(AND($B639&lt;&gt;0,ExtraPayment&lt;=$B639),-ExtraPayment,-($F639)-$B639))</f>
        <v>0</v>
      </c>
      <c r="E639" s="5">
        <f>IF($B639 &lt;= 0, 0, -ROUND($B639 * (InterestRate / PaymentsPerYear), 2))</f>
        <v>0</v>
      </c>
      <c r="F639" s="5">
        <f>ROUND(IFERROR(IF(OR($B639 &lt;=0, $B639 = ExtraPayment),0,
MAX(-$B639, -(-PMT(InterestRate/PaymentsPerYear,LoanTerm*PaymentsPerYear,LoanAmount) + $E639))), 0), 2)</f>
        <v>0</v>
      </c>
      <c r="G639" s="5">
        <f t="shared" si="38"/>
        <v>0</v>
      </c>
      <c r="H639" s="5">
        <f t="shared" si="39"/>
        <v>0</v>
      </c>
    </row>
    <row r="640" spans="1:8" x14ac:dyDescent="0.2">
      <c r="A640" s="2">
        <v>639</v>
      </c>
      <c r="B640" s="5">
        <f t="shared" si="36"/>
        <v>0</v>
      </c>
      <c r="C640" s="5">
        <f t="shared" si="37"/>
        <v>0</v>
      </c>
      <c r="D640" s="5">
        <f>IF(ExtraPayment=0, 0, IF(AND($B640&lt;&gt;0,ExtraPayment&lt;=$B640),-ExtraPayment,-($F640)-$B640))</f>
        <v>0</v>
      </c>
      <c r="E640" s="5">
        <f>IF($B640 &lt;= 0, 0, -ROUND($B640 * (InterestRate / PaymentsPerYear), 2))</f>
        <v>0</v>
      </c>
      <c r="F640" s="5">
        <f>ROUND(IFERROR(IF(OR($B640 &lt;=0, $B640 = ExtraPayment),0,
MAX(-$B640, -(-PMT(InterestRate/PaymentsPerYear,LoanTerm*PaymentsPerYear,LoanAmount) + $E640))), 0), 2)</f>
        <v>0</v>
      </c>
      <c r="G640" s="5">
        <f t="shared" si="38"/>
        <v>0</v>
      </c>
      <c r="H640" s="5">
        <f t="shared" si="39"/>
        <v>0</v>
      </c>
    </row>
    <row r="641" spans="1:8" x14ac:dyDescent="0.2">
      <c r="A641" s="2">
        <v>640</v>
      </c>
      <c r="B641" s="5">
        <f t="shared" si="36"/>
        <v>0</v>
      </c>
      <c r="C641" s="5">
        <f t="shared" si="37"/>
        <v>0</v>
      </c>
      <c r="D641" s="5">
        <f>IF(ExtraPayment=0, 0, IF(AND($B641&lt;&gt;0,ExtraPayment&lt;=$B641),-ExtraPayment,-($F641)-$B641))</f>
        <v>0</v>
      </c>
      <c r="E641" s="5">
        <f>IF($B641 &lt;= 0, 0, -ROUND($B641 * (InterestRate / PaymentsPerYear), 2))</f>
        <v>0</v>
      </c>
      <c r="F641" s="5">
        <f>ROUND(IFERROR(IF(OR($B641 &lt;=0, $B641 = ExtraPayment),0,
MAX(-$B641, -(-PMT(InterestRate/PaymentsPerYear,LoanTerm*PaymentsPerYear,LoanAmount) + $E641))), 0), 2)</f>
        <v>0</v>
      </c>
      <c r="G641" s="5">
        <f t="shared" si="38"/>
        <v>0</v>
      </c>
      <c r="H641" s="5">
        <f t="shared" si="39"/>
        <v>0</v>
      </c>
    </row>
    <row r="642" spans="1:8" x14ac:dyDescent="0.2">
      <c r="A642" s="2">
        <v>641</v>
      </c>
      <c r="B642" s="5">
        <f t="shared" si="36"/>
        <v>0</v>
      </c>
      <c r="C642" s="5">
        <f t="shared" si="37"/>
        <v>0</v>
      </c>
      <c r="D642" s="5">
        <f>IF(ExtraPayment=0, 0, IF(AND($B642&lt;&gt;0,ExtraPayment&lt;=$B642),-ExtraPayment,-($F642)-$B642))</f>
        <v>0</v>
      </c>
      <c r="E642" s="5">
        <f>IF($B642 &lt;= 0, 0, -ROUND($B642 * (InterestRate / PaymentsPerYear), 2))</f>
        <v>0</v>
      </c>
      <c r="F642" s="5">
        <f>ROUND(IFERROR(IF(OR($B642 &lt;=0, $B642 = ExtraPayment),0,
MAX(-$B642, -(-PMT(InterestRate/PaymentsPerYear,LoanTerm*PaymentsPerYear,LoanAmount) + $E642))), 0), 2)</f>
        <v>0</v>
      </c>
      <c r="G642" s="5">
        <f t="shared" si="38"/>
        <v>0</v>
      </c>
      <c r="H642" s="5">
        <f t="shared" si="39"/>
        <v>0</v>
      </c>
    </row>
    <row r="643" spans="1:8" x14ac:dyDescent="0.2">
      <c r="A643" s="2">
        <v>642</v>
      </c>
      <c r="B643" s="5">
        <f t="shared" si="36"/>
        <v>0</v>
      </c>
      <c r="C643" s="5">
        <f t="shared" si="37"/>
        <v>0</v>
      </c>
      <c r="D643" s="5">
        <f>IF(ExtraPayment=0, 0, IF(AND($B643&lt;&gt;0,ExtraPayment&lt;=$B643),-ExtraPayment,-($F643)-$B643))</f>
        <v>0</v>
      </c>
      <c r="E643" s="5">
        <f>IF($B643 &lt;= 0, 0, -ROUND($B643 * (InterestRate / PaymentsPerYear), 2))</f>
        <v>0</v>
      </c>
      <c r="F643" s="5">
        <f>ROUND(IFERROR(IF(OR($B643 &lt;=0, $B643 = ExtraPayment),0,
MAX(-$B643, -(-PMT(InterestRate/PaymentsPerYear,LoanTerm*PaymentsPerYear,LoanAmount) + $E643))), 0), 2)</f>
        <v>0</v>
      </c>
      <c r="G643" s="5">
        <f t="shared" si="38"/>
        <v>0</v>
      </c>
      <c r="H643" s="5">
        <f t="shared" si="39"/>
        <v>0</v>
      </c>
    </row>
    <row r="644" spans="1:8" x14ac:dyDescent="0.2">
      <c r="A644" s="2">
        <v>643</v>
      </c>
      <c r="B644" s="5">
        <f t="shared" ref="B644:B707" si="40">ROUND(IF($H643 &gt;= 0, MAX($H643, $F643), 0), 2)</f>
        <v>0</v>
      </c>
      <c r="C644" s="5">
        <f t="shared" ref="C644:C707" si="41">IF($B644 &lt;= 0, 0, $D644+$E644+$F644)</f>
        <v>0</v>
      </c>
      <c r="D644" s="5">
        <f>IF(ExtraPayment=0, 0, IF(AND($B644&lt;&gt;0,ExtraPayment&lt;=$B644),-ExtraPayment,-($F644)-$B644))</f>
        <v>0</v>
      </c>
      <c r="E644" s="5">
        <f>IF($B644 &lt;= 0, 0, -ROUND($B644 * (InterestRate / PaymentsPerYear), 2))</f>
        <v>0</v>
      </c>
      <c r="F644" s="5">
        <f>ROUND(IFERROR(IF(OR($B644 &lt;=0, $B644 = ExtraPayment),0,
MAX(-$B644, -(-PMT(InterestRate/PaymentsPerYear,LoanTerm*PaymentsPerYear,LoanAmount) + $E644))), 0), 2)</f>
        <v>0</v>
      </c>
      <c r="G644" s="5">
        <f t="shared" ref="G644:G707" si="42">$D644+$F644</f>
        <v>0</v>
      </c>
      <c r="H644" s="5">
        <f t="shared" ref="H644:H707" si="43">ROUND(IF($B644 &lt;= 0, 0,MAX(0, $B644 + $G644)), 2)</f>
        <v>0</v>
      </c>
    </row>
    <row r="645" spans="1:8" x14ac:dyDescent="0.2">
      <c r="A645" s="2">
        <v>644</v>
      </c>
      <c r="B645" s="5">
        <f t="shared" si="40"/>
        <v>0</v>
      </c>
      <c r="C645" s="5">
        <f t="shared" si="41"/>
        <v>0</v>
      </c>
      <c r="D645" s="5">
        <f>IF(ExtraPayment=0, 0, IF(AND($B645&lt;&gt;0,ExtraPayment&lt;=$B645),-ExtraPayment,-($F645)-$B645))</f>
        <v>0</v>
      </c>
      <c r="E645" s="5">
        <f>IF($B645 &lt;= 0, 0, -ROUND($B645 * (InterestRate / PaymentsPerYear), 2))</f>
        <v>0</v>
      </c>
      <c r="F645" s="5">
        <f>ROUND(IFERROR(IF(OR($B645 &lt;=0, $B645 = ExtraPayment),0,
MAX(-$B645, -(-PMT(InterestRate/PaymentsPerYear,LoanTerm*PaymentsPerYear,LoanAmount) + $E645))), 0), 2)</f>
        <v>0</v>
      </c>
      <c r="G645" s="5">
        <f t="shared" si="42"/>
        <v>0</v>
      </c>
      <c r="H645" s="5">
        <f t="shared" si="43"/>
        <v>0</v>
      </c>
    </row>
    <row r="646" spans="1:8" x14ac:dyDescent="0.2">
      <c r="A646" s="2">
        <v>645</v>
      </c>
      <c r="B646" s="5">
        <f t="shared" si="40"/>
        <v>0</v>
      </c>
      <c r="C646" s="5">
        <f t="shared" si="41"/>
        <v>0</v>
      </c>
      <c r="D646" s="5">
        <f>IF(ExtraPayment=0, 0, IF(AND($B646&lt;&gt;0,ExtraPayment&lt;=$B646),-ExtraPayment,-($F646)-$B646))</f>
        <v>0</v>
      </c>
      <c r="E646" s="5">
        <f>IF($B646 &lt;= 0, 0, -ROUND($B646 * (InterestRate / PaymentsPerYear), 2))</f>
        <v>0</v>
      </c>
      <c r="F646" s="5">
        <f>ROUND(IFERROR(IF(OR($B646 &lt;=0, $B646 = ExtraPayment),0,
MAX(-$B646, -(-PMT(InterestRate/PaymentsPerYear,LoanTerm*PaymentsPerYear,LoanAmount) + $E646))), 0), 2)</f>
        <v>0</v>
      </c>
      <c r="G646" s="5">
        <f t="shared" si="42"/>
        <v>0</v>
      </c>
      <c r="H646" s="5">
        <f t="shared" si="43"/>
        <v>0</v>
      </c>
    </row>
    <row r="647" spans="1:8" x14ac:dyDescent="0.2">
      <c r="A647" s="2">
        <v>646</v>
      </c>
      <c r="B647" s="5">
        <f t="shared" si="40"/>
        <v>0</v>
      </c>
      <c r="C647" s="5">
        <f t="shared" si="41"/>
        <v>0</v>
      </c>
      <c r="D647" s="5">
        <f>IF(ExtraPayment=0, 0, IF(AND($B647&lt;&gt;0,ExtraPayment&lt;=$B647),-ExtraPayment,-($F647)-$B647))</f>
        <v>0</v>
      </c>
      <c r="E647" s="5">
        <f>IF($B647 &lt;= 0, 0, -ROUND($B647 * (InterestRate / PaymentsPerYear), 2))</f>
        <v>0</v>
      </c>
      <c r="F647" s="5">
        <f>ROUND(IFERROR(IF(OR($B647 &lt;=0, $B647 = ExtraPayment),0,
MAX(-$B647, -(-PMT(InterestRate/PaymentsPerYear,LoanTerm*PaymentsPerYear,LoanAmount) + $E647))), 0), 2)</f>
        <v>0</v>
      </c>
      <c r="G647" s="5">
        <f t="shared" si="42"/>
        <v>0</v>
      </c>
      <c r="H647" s="5">
        <f t="shared" si="43"/>
        <v>0</v>
      </c>
    </row>
    <row r="648" spans="1:8" x14ac:dyDescent="0.2">
      <c r="A648" s="2">
        <v>647</v>
      </c>
      <c r="B648" s="5">
        <f t="shared" si="40"/>
        <v>0</v>
      </c>
      <c r="C648" s="5">
        <f t="shared" si="41"/>
        <v>0</v>
      </c>
      <c r="D648" s="5">
        <f>IF(ExtraPayment=0, 0, IF(AND($B648&lt;&gt;0,ExtraPayment&lt;=$B648),-ExtraPayment,-($F648)-$B648))</f>
        <v>0</v>
      </c>
      <c r="E648" s="5">
        <f>IF($B648 &lt;= 0, 0, -ROUND($B648 * (InterestRate / PaymentsPerYear), 2))</f>
        <v>0</v>
      </c>
      <c r="F648" s="5">
        <f>ROUND(IFERROR(IF(OR($B648 &lt;=0, $B648 = ExtraPayment),0,
MAX(-$B648, -(-PMT(InterestRate/PaymentsPerYear,LoanTerm*PaymentsPerYear,LoanAmount) + $E648))), 0), 2)</f>
        <v>0</v>
      </c>
      <c r="G648" s="5">
        <f t="shared" si="42"/>
        <v>0</v>
      </c>
      <c r="H648" s="5">
        <f t="shared" si="43"/>
        <v>0</v>
      </c>
    </row>
    <row r="649" spans="1:8" x14ac:dyDescent="0.2">
      <c r="A649" s="2">
        <v>648</v>
      </c>
      <c r="B649" s="5">
        <f t="shared" si="40"/>
        <v>0</v>
      </c>
      <c r="C649" s="5">
        <f t="shared" si="41"/>
        <v>0</v>
      </c>
      <c r="D649" s="5">
        <f>IF(ExtraPayment=0, 0, IF(AND($B649&lt;&gt;0,ExtraPayment&lt;=$B649),-ExtraPayment,-($F649)-$B649))</f>
        <v>0</v>
      </c>
      <c r="E649" s="5">
        <f>IF($B649 &lt;= 0, 0, -ROUND($B649 * (InterestRate / PaymentsPerYear), 2))</f>
        <v>0</v>
      </c>
      <c r="F649" s="5">
        <f>ROUND(IFERROR(IF(OR($B649 &lt;=0, $B649 = ExtraPayment),0,
MAX(-$B649, -(-PMT(InterestRate/PaymentsPerYear,LoanTerm*PaymentsPerYear,LoanAmount) + $E649))), 0), 2)</f>
        <v>0</v>
      </c>
      <c r="G649" s="5">
        <f t="shared" si="42"/>
        <v>0</v>
      </c>
      <c r="H649" s="5">
        <f t="shared" si="43"/>
        <v>0</v>
      </c>
    </row>
    <row r="650" spans="1:8" x14ac:dyDescent="0.2">
      <c r="A650" s="2">
        <v>649</v>
      </c>
      <c r="B650" s="5">
        <f t="shared" si="40"/>
        <v>0</v>
      </c>
      <c r="C650" s="5">
        <f t="shared" si="41"/>
        <v>0</v>
      </c>
      <c r="D650" s="5">
        <f>IF(ExtraPayment=0, 0, IF(AND($B650&lt;&gt;0,ExtraPayment&lt;=$B650),-ExtraPayment,-($F650)-$B650))</f>
        <v>0</v>
      </c>
      <c r="E650" s="5">
        <f>IF($B650 &lt;= 0, 0, -ROUND($B650 * (InterestRate / PaymentsPerYear), 2))</f>
        <v>0</v>
      </c>
      <c r="F650" s="5">
        <f>ROUND(IFERROR(IF(OR($B650 &lt;=0, $B650 = ExtraPayment),0,
MAX(-$B650, -(-PMT(InterestRate/PaymentsPerYear,LoanTerm*PaymentsPerYear,LoanAmount) + $E650))), 0), 2)</f>
        <v>0</v>
      </c>
      <c r="G650" s="5">
        <f t="shared" si="42"/>
        <v>0</v>
      </c>
      <c r="H650" s="5">
        <f t="shared" si="43"/>
        <v>0</v>
      </c>
    </row>
    <row r="651" spans="1:8" x14ac:dyDescent="0.2">
      <c r="A651" s="2">
        <v>650</v>
      </c>
      <c r="B651" s="5">
        <f t="shared" si="40"/>
        <v>0</v>
      </c>
      <c r="C651" s="5">
        <f t="shared" si="41"/>
        <v>0</v>
      </c>
      <c r="D651" s="5">
        <f>IF(ExtraPayment=0, 0, IF(AND($B651&lt;&gt;0,ExtraPayment&lt;=$B651),-ExtraPayment,-($F651)-$B651))</f>
        <v>0</v>
      </c>
      <c r="E651" s="5">
        <f>IF($B651 &lt;= 0, 0, -ROUND($B651 * (InterestRate / PaymentsPerYear), 2))</f>
        <v>0</v>
      </c>
      <c r="F651" s="5">
        <f>ROUND(IFERROR(IF(OR($B651 &lt;=0, $B651 = ExtraPayment),0,
MAX(-$B651, -(-PMT(InterestRate/PaymentsPerYear,LoanTerm*PaymentsPerYear,LoanAmount) + $E651))), 0), 2)</f>
        <v>0</v>
      </c>
      <c r="G651" s="5">
        <f t="shared" si="42"/>
        <v>0</v>
      </c>
      <c r="H651" s="5">
        <f t="shared" si="43"/>
        <v>0</v>
      </c>
    </row>
    <row r="652" spans="1:8" x14ac:dyDescent="0.2">
      <c r="A652" s="2">
        <v>651</v>
      </c>
      <c r="B652" s="5">
        <f t="shared" si="40"/>
        <v>0</v>
      </c>
      <c r="C652" s="5">
        <f t="shared" si="41"/>
        <v>0</v>
      </c>
      <c r="D652" s="5">
        <f>IF(ExtraPayment=0, 0, IF(AND($B652&lt;&gt;0,ExtraPayment&lt;=$B652),-ExtraPayment,-($F652)-$B652))</f>
        <v>0</v>
      </c>
      <c r="E652" s="5">
        <f>IF($B652 &lt;= 0, 0, -ROUND($B652 * (InterestRate / PaymentsPerYear), 2))</f>
        <v>0</v>
      </c>
      <c r="F652" s="5">
        <f>ROUND(IFERROR(IF(OR($B652 &lt;=0, $B652 = ExtraPayment),0,
MAX(-$B652, -(-PMT(InterestRate/PaymentsPerYear,LoanTerm*PaymentsPerYear,LoanAmount) + $E652))), 0), 2)</f>
        <v>0</v>
      </c>
      <c r="G652" s="5">
        <f t="shared" si="42"/>
        <v>0</v>
      </c>
      <c r="H652" s="5">
        <f t="shared" si="43"/>
        <v>0</v>
      </c>
    </row>
    <row r="653" spans="1:8" x14ac:dyDescent="0.2">
      <c r="A653" s="2">
        <v>652</v>
      </c>
      <c r="B653" s="5">
        <f t="shared" si="40"/>
        <v>0</v>
      </c>
      <c r="C653" s="5">
        <f t="shared" si="41"/>
        <v>0</v>
      </c>
      <c r="D653" s="5">
        <f>IF(ExtraPayment=0, 0, IF(AND($B653&lt;&gt;0,ExtraPayment&lt;=$B653),-ExtraPayment,-($F653)-$B653))</f>
        <v>0</v>
      </c>
      <c r="E653" s="5">
        <f>IF($B653 &lt;= 0, 0, -ROUND($B653 * (InterestRate / PaymentsPerYear), 2))</f>
        <v>0</v>
      </c>
      <c r="F653" s="5">
        <f>ROUND(IFERROR(IF(OR($B653 &lt;=0, $B653 = ExtraPayment),0,
MAX(-$B653, -(-PMT(InterestRate/PaymentsPerYear,LoanTerm*PaymentsPerYear,LoanAmount) + $E653))), 0), 2)</f>
        <v>0</v>
      </c>
      <c r="G653" s="5">
        <f t="shared" si="42"/>
        <v>0</v>
      </c>
      <c r="H653" s="5">
        <f t="shared" si="43"/>
        <v>0</v>
      </c>
    </row>
    <row r="654" spans="1:8" x14ac:dyDescent="0.2">
      <c r="A654" s="2">
        <v>653</v>
      </c>
      <c r="B654" s="5">
        <f t="shared" si="40"/>
        <v>0</v>
      </c>
      <c r="C654" s="5">
        <f t="shared" si="41"/>
        <v>0</v>
      </c>
      <c r="D654" s="5">
        <f>IF(ExtraPayment=0, 0, IF(AND($B654&lt;&gt;0,ExtraPayment&lt;=$B654),-ExtraPayment,-($F654)-$B654))</f>
        <v>0</v>
      </c>
      <c r="E654" s="5">
        <f>IF($B654 &lt;= 0, 0, -ROUND($B654 * (InterestRate / PaymentsPerYear), 2))</f>
        <v>0</v>
      </c>
      <c r="F654" s="5">
        <f>ROUND(IFERROR(IF(OR($B654 &lt;=0, $B654 = ExtraPayment),0,
MAX(-$B654, -(-PMT(InterestRate/PaymentsPerYear,LoanTerm*PaymentsPerYear,LoanAmount) + $E654))), 0), 2)</f>
        <v>0</v>
      </c>
      <c r="G654" s="5">
        <f t="shared" si="42"/>
        <v>0</v>
      </c>
      <c r="H654" s="5">
        <f t="shared" si="43"/>
        <v>0</v>
      </c>
    </row>
    <row r="655" spans="1:8" x14ac:dyDescent="0.2">
      <c r="A655" s="2">
        <v>654</v>
      </c>
      <c r="B655" s="5">
        <f t="shared" si="40"/>
        <v>0</v>
      </c>
      <c r="C655" s="5">
        <f t="shared" si="41"/>
        <v>0</v>
      </c>
      <c r="D655" s="5">
        <f>IF(ExtraPayment=0, 0, IF(AND($B655&lt;&gt;0,ExtraPayment&lt;=$B655),-ExtraPayment,-($F655)-$B655))</f>
        <v>0</v>
      </c>
      <c r="E655" s="5">
        <f>IF($B655 &lt;= 0, 0, -ROUND($B655 * (InterestRate / PaymentsPerYear), 2))</f>
        <v>0</v>
      </c>
      <c r="F655" s="5">
        <f>ROUND(IFERROR(IF(OR($B655 &lt;=0, $B655 = ExtraPayment),0,
MAX(-$B655, -(-PMT(InterestRate/PaymentsPerYear,LoanTerm*PaymentsPerYear,LoanAmount) + $E655))), 0), 2)</f>
        <v>0</v>
      </c>
      <c r="G655" s="5">
        <f t="shared" si="42"/>
        <v>0</v>
      </c>
      <c r="H655" s="5">
        <f t="shared" si="43"/>
        <v>0</v>
      </c>
    </row>
    <row r="656" spans="1:8" x14ac:dyDescent="0.2">
      <c r="A656" s="2">
        <v>655</v>
      </c>
      <c r="B656" s="5">
        <f t="shared" si="40"/>
        <v>0</v>
      </c>
      <c r="C656" s="5">
        <f t="shared" si="41"/>
        <v>0</v>
      </c>
      <c r="D656" s="5">
        <f>IF(ExtraPayment=0, 0, IF(AND($B656&lt;&gt;0,ExtraPayment&lt;=$B656),-ExtraPayment,-($F656)-$B656))</f>
        <v>0</v>
      </c>
      <c r="E656" s="5">
        <f>IF($B656 &lt;= 0, 0, -ROUND($B656 * (InterestRate / PaymentsPerYear), 2))</f>
        <v>0</v>
      </c>
      <c r="F656" s="5">
        <f>ROUND(IFERROR(IF(OR($B656 &lt;=0, $B656 = ExtraPayment),0,
MAX(-$B656, -(-PMT(InterestRate/PaymentsPerYear,LoanTerm*PaymentsPerYear,LoanAmount) + $E656))), 0), 2)</f>
        <v>0</v>
      </c>
      <c r="G656" s="5">
        <f t="shared" si="42"/>
        <v>0</v>
      </c>
      <c r="H656" s="5">
        <f t="shared" si="43"/>
        <v>0</v>
      </c>
    </row>
    <row r="657" spans="1:8" x14ac:dyDescent="0.2">
      <c r="A657" s="2">
        <v>656</v>
      </c>
      <c r="B657" s="5">
        <f t="shared" si="40"/>
        <v>0</v>
      </c>
      <c r="C657" s="5">
        <f t="shared" si="41"/>
        <v>0</v>
      </c>
      <c r="D657" s="5">
        <f>IF(ExtraPayment=0, 0, IF(AND($B657&lt;&gt;0,ExtraPayment&lt;=$B657),-ExtraPayment,-($F657)-$B657))</f>
        <v>0</v>
      </c>
      <c r="E657" s="5">
        <f>IF($B657 &lt;= 0, 0, -ROUND($B657 * (InterestRate / PaymentsPerYear), 2))</f>
        <v>0</v>
      </c>
      <c r="F657" s="5">
        <f>ROUND(IFERROR(IF(OR($B657 &lt;=0, $B657 = ExtraPayment),0,
MAX(-$B657, -(-PMT(InterestRate/PaymentsPerYear,LoanTerm*PaymentsPerYear,LoanAmount) + $E657))), 0), 2)</f>
        <v>0</v>
      </c>
      <c r="G657" s="5">
        <f t="shared" si="42"/>
        <v>0</v>
      </c>
      <c r="H657" s="5">
        <f t="shared" si="43"/>
        <v>0</v>
      </c>
    </row>
    <row r="658" spans="1:8" x14ac:dyDescent="0.2">
      <c r="A658" s="2">
        <v>657</v>
      </c>
      <c r="B658" s="5">
        <f t="shared" si="40"/>
        <v>0</v>
      </c>
      <c r="C658" s="5">
        <f t="shared" si="41"/>
        <v>0</v>
      </c>
      <c r="D658" s="5">
        <f>IF(ExtraPayment=0, 0, IF(AND($B658&lt;&gt;0,ExtraPayment&lt;=$B658),-ExtraPayment,-($F658)-$B658))</f>
        <v>0</v>
      </c>
      <c r="E658" s="5">
        <f>IF($B658 &lt;= 0, 0, -ROUND($B658 * (InterestRate / PaymentsPerYear), 2))</f>
        <v>0</v>
      </c>
      <c r="F658" s="5">
        <f>ROUND(IFERROR(IF(OR($B658 &lt;=0, $B658 = ExtraPayment),0,
MAX(-$B658, -(-PMT(InterestRate/PaymentsPerYear,LoanTerm*PaymentsPerYear,LoanAmount) + $E658))), 0), 2)</f>
        <v>0</v>
      </c>
      <c r="G658" s="5">
        <f t="shared" si="42"/>
        <v>0</v>
      </c>
      <c r="H658" s="5">
        <f t="shared" si="43"/>
        <v>0</v>
      </c>
    </row>
    <row r="659" spans="1:8" x14ac:dyDescent="0.2">
      <c r="A659" s="2">
        <v>658</v>
      </c>
      <c r="B659" s="5">
        <f t="shared" si="40"/>
        <v>0</v>
      </c>
      <c r="C659" s="5">
        <f t="shared" si="41"/>
        <v>0</v>
      </c>
      <c r="D659" s="5">
        <f>IF(ExtraPayment=0, 0, IF(AND($B659&lt;&gt;0,ExtraPayment&lt;=$B659),-ExtraPayment,-($F659)-$B659))</f>
        <v>0</v>
      </c>
      <c r="E659" s="5">
        <f>IF($B659 &lt;= 0, 0, -ROUND($B659 * (InterestRate / PaymentsPerYear), 2))</f>
        <v>0</v>
      </c>
      <c r="F659" s="5">
        <f>ROUND(IFERROR(IF(OR($B659 &lt;=0, $B659 = ExtraPayment),0,
MAX(-$B659, -(-PMT(InterestRate/PaymentsPerYear,LoanTerm*PaymentsPerYear,LoanAmount) + $E659))), 0), 2)</f>
        <v>0</v>
      </c>
      <c r="G659" s="5">
        <f t="shared" si="42"/>
        <v>0</v>
      </c>
      <c r="H659" s="5">
        <f t="shared" si="43"/>
        <v>0</v>
      </c>
    </row>
    <row r="660" spans="1:8" x14ac:dyDescent="0.2">
      <c r="A660" s="2">
        <v>659</v>
      </c>
      <c r="B660" s="5">
        <f t="shared" si="40"/>
        <v>0</v>
      </c>
      <c r="C660" s="5">
        <f t="shared" si="41"/>
        <v>0</v>
      </c>
      <c r="D660" s="5">
        <f>IF(ExtraPayment=0, 0, IF(AND($B660&lt;&gt;0,ExtraPayment&lt;=$B660),-ExtraPayment,-($F660)-$B660))</f>
        <v>0</v>
      </c>
      <c r="E660" s="5">
        <f>IF($B660 &lt;= 0, 0, -ROUND($B660 * (InterestRate / PaymentsPerYear), 2))</f>
        <v>0</v>
      </c>
      <c r="F660" s="5">
        <f>ROUND(IFERROR(IF(OR($B660 &lt;=0, $B660 = ExtraPayment),0,
MAX(-$B660, -(-PMT(InterestRate/PaymentsPerYear,LoanTerm*PaymentsPerYear,LoanAmount) + $E660))), 0), 2)</f>
        <v>0</v>
      </c>
      <c r="G660" s="5">
        <f t="shared" si="42"/>
        <v>0</v>
      </c>
      <c r="H660" s="5">
        <f t="shared" si="43"/>
        <v>0</v>
      </c>
    </row>
    <row r="661" spans="1:8" x14ac:dyDescent="0.2">
      <c r="A661" s="2">
        <v>660</v>
      </c>
      <c r="B661" s="5">
        <f t="shared" si="40"/>
        <v>0</v>
      </c>
      <c r="C661" s="5">
        <f t="shared" si="41"/>
        <v>0</v>
      </c>
      <c r="D661" s="5">
        <f>IF(ExtraPayment=0, 0, IF(AND($B661&lt;&gt;0,ExtraPayment&lt;=$B661),-ExtraPayment,-($F661)-$B661))</f>
        <v>0</v>
      </c>
      <c r="E661" s="5">
        <f>IF($B661 &lt;= 0, 0, -ROUND($B661 * (InterestRate / PaymentsPerYear), 2))</f>
        <v>0</v>
      </c>
      <c r="F661" s="5">
        <f>ROUND(IFERROR(IF(OR($B661 &lt;=0, $B661 = ExtraPayment),0,
MAX(-$B661, -(-PMT(InterestRate/PaymentsPerYear,LoanTerm*PaymentsPerYear,LoanAmount) + $E661))), 0), 2)</f>
        <v>0</v>
      </c>
      <c r="G661" s="5">
        <f t="shared" si="42"/>
        <v>0</v>
      </c>
      <c r="H661" s="5">
        <f t="shared" si="43"/>
        <v>0</v>
      </c>
    </row>
    <row r="662" spans="1:8" x14ac:dyDescent="0.2">
      <c r="A662" s="2">
        <v>661</v>
      </c>
      <c r="B662" s="5">
        <f t="shared" si="40"/>
        <v>0</v>
      </c>
      <c r="C662" s="5">
        <f t="shared" si="41"/>
        <v>0</v>
      </c>
      <c r="D662" s="5">
        <f>IF(ExtraPayment=0, 0, IF(AND($B662&lt;&gt;0,ExtraPayment&lt;=$B662),-ExtraPayment,-($F662)-$B662))</f>
        <v>0</v>
      </c>
      <c r="E662" s="5">
        <f>IF($B662 &lt;= 0, 0, -ROUND($B662 * (InterestRate / PaymentsPerYear), 2))</f>
        <v>0</v>
      </c>
      <c r="F662" s="5">
        <f>ROUND(IFERROR(IF(OR($B662 &lt;=0, $B662 = ExtraPayment),0,
MAX(-$B662, -(-PMT(InterestRate/PaymentsPerYear,LoanTerm*PaymentsPerYear,LoanAmount) + $E662))), 0), 2)</f>
        <v>0</v>
      </c>
      <c r="G662" s="5">
        <f t="shared" si="42"/>
        <v>0</v>
      </c>
      <c r="H662" s="5">
        <f t="shared" si="43"/>
        <v>0</v>
      </c>
    </row>
    <row r="663" spans="1:8" x14ac:dyDescent="0.2">
      <c r="A663" s="2">
        <v>662</v>
      </c>
      <c r="B663" s="5">
        <f t="shared" si="40"/>
        <v>0</v>
      </c>
      <c r="C663" s="5">
        <f t="shared" si="41"/>
        <v>0</v>
      </c>
      <c r="D663" s="5">
        <f>IF(ExtraPayment=0, 0, IF(AND($B663&lt;&gt;0,ExtraPayment&lt;=$B663),-ExtraPayment,-($F663)-$B663))</f>
        <v>0</v>
      </c>
      <c r="E663" s="5">
        <f>IF($B663 &lt;= 0, 0, -ROUND($B663 * (InterestRate / PaymentsPerYear), 2))</f>
        <v>0</v>
      </c>
      <c r="F663" s="5">
        <f>ROUND(IFERROR(IF(OR($B663 &lt;=0, $B663 = ExtraPayment),0,
MAX(-$B663, -(-PMT(InterestRate/PaymentsPerYear,LoanTerm*PaymentsPerYear,LoanAmount) + $E663))), 0), 2)</f>
        <v>0</v>
      </c>
      <c r="G663" s="5">
        <f t="shared" si="42"/>
        <v>0</v>
      </c>
      <c r="H663" s="5">
        <f t="shared" si="43"/>
        <v>0</v>
      </c>
    </row>
    <row r="664" spans="1:8" x14ac:dyDescent="0.2">
      <c r="A664" s="2">
        <v>663</v>
      </c>
      <c r="B664" s="5">
        <f t="shared" si="40"/>
        <v>0</v>
      </c>
      <c r="C664" s="5">
        <f t="shared" si="41"/>
        <v>0</v>
      </c>
      <c r="D664" s="5">
        <f>IF(ExtraPayment=0, 0, IF(AND($B664&lt;&gt;0,ExtraPayment&lt;=$B664),-ExtraPayment,-($F664)-$B664))</f>
        <v>0</v>
      </c>
      <c r="E664" s="5">
        <f>IF($B664 &lt;= 0, 0, -ROUND($B664 * (InterestRate / PaymentsPerYear), 2))</f>
        <v>0</v>
      </c>
      <c r="F664" s="5">
        <f>ROUND(IFERROR(IF(OR($B664 &lt;=0, $B664 = ExtraPayment),0,
MAX(-$B664, -(-PMT(InterestRate/PaymentsPerYear,LoanTerm*PaymentsPerYear,LoanAmount) + $E664))), 0), 2)</f>
        <v>0</v>
      </c>
      <c r="G664" s="5">
        <f t="shared" si="42"/>
        <v>0</v>
      </c>
      <c r="H664" s="5">
        <f t="shared" si="43"/>
        <v>0</v>
      </c>
    </row>
    <row r="665" spans="1:8" x14ac:dyDescent="0.2">
      <c r="A665" s="2">
        <v>664</v>
      </c>
      <c r="B665" s="5">
        <f t="shared" si="40"/>
        <v>0</v>
      </c>
      <c r="C665" s="5">
        <f t="shared" si="41"/>
        <v>0</v>
      </c>
      <c r="D665" s="5">
        <f>IF(ExtraPayment=0, 0, IF(AND($B665&lt;&gt;0,ExtraPayment&lt;=$B665),-ExtraPayment,-($F665)-$B665))</f>
        <v>0</v>
      </c>
      <c r="E665" s="5">
        <f>IF($B665 &lt;= 0, 0, -ROUND($B665 * (InterestRate / PaymentsPerYear), 2))</f>
        <v>0</v>
      </c>
      <c r="F665" s="5">
        <f>ROUND(IFERROR(IF(OR($B665 &lt;=0, $B665 = ExtraPayment),0,
MAX(-$B665, -(-PMT(InterestRate/PaymentsPerYear,LoanTerm*PaymentsPerYear,LoanAmount) + $E665))), 0), 2)</f>
        <v>0</v>
      </c>
      <c r="G665" s="5">
        <f t="shared" si="42"/>
        <v>0</v>
      </c>
      <c r="H665" s="5">
        <f t="shared" si="43"/>
        <v>0</v>
      </c>
    </row>
    <row r="666" spans="1:8" x14ac:dyDescent="0.2">
      <c r="A666" s="2">
        <v>665</v>
      </c>
      <c r="B666" s="5">
        <f t="shared" si="40"/>
        <v>0</v>
      </c>
      <c r="C666" s="5">
        <f t="shared" si="41"/>
        <v>0</v>
      </c>
      <c r="D666" s="5">
        <f>IF(ExtraPayment=0, 0, IF(AND($B666&lt;&gt;0,ExtraPayment&lt;=$B666),-ExtraPayment,-($F666)-$B666))</f>
        <v>0</v>
      </c>
      <c r="E666" s="5">
        <f>IF($B666 &lt;= 0, 0, -ROUND($B666 * (InterestRate / PaymentsPerYear), 2))</f>
        <v>0</v>
      </c>
      <c r="F666" s="5">
        <f>ROUND(IFERROR(IF(OR($B666 &lt;=0, $B666 = ExtraPayment),0,
MAX(-$B666, -(-PMT(InterestRate/PaymentsPerYear,LoanTerm*PaymentsPerYear,LoanAmount) + $E666))), 0), 2)</f>
        <v>0</v>
      </c>
      <c r="G666" s="5">
        <f t="shared" si="42"/>
        <v>0</v>
      </c>
      <c r="H666" s="5">
        <f t="shared" si="43"/>
        <v>0</v>
      </c>
    </row>
    <row r="667" spans="1:8" x14ac:dyDescent="0.2">
      <c r="A667" s="2">
        <v>666</v>
      </c>
      <c r="B667" s="5">
        <f t="shared" si="40"/>
        <v>0</v>
      </c>
      <c r="C667" s="5">
        <f t="shared" si="41"/>
        <v>0</v>
      </c>
      <c r="D667" s="5">
        <f>IF(ExtraPayment=0, 0, IF(AND($B667&lt;&gt;0,ExtraPayment&lt;=$B667),-ExtraPayment,-($F667)-$B667))</f>
        <v>0</v>
      </c>
      <c r="E667" s="5">
        <f>IF($B667 &lt;= 0, 0, -ROUND($B667 * (InterestRate / PaymentsPerYear), 2))</f>
        <v>0</v>
      </c>
      <c r="F667" s="5">
        <f>ROUND(IFERROR(IF(OR($B667 &lt;=0, $B667 = ExtraPayment),0,
MAX(-$B667, -(-PMT(InterestRate/PaymentsPerYear,LoanTerm*PaymentsPerYear,LoanAmount) + $E667))), 0), 2)</f>
        <v>0</v>
      </c>
      <c r="G667" s="5">
        <f t="shared" si="42"/>
        <v>0</v>
      </c>
      <c r="H667" s="5">
        <f t="shared" si="43"/>
        <v>0</v>
      </c>
    </row>
    <row r="668" spans="1:8" x14ac:dyDescent="0.2">
      <c r="A668" s="2">
        <v>667</v>
      </c>
      <c r="B668" s="5">
        <f t="shared" si="40"/>
        <v>0</v>
      </c>
      <c r="C668" s="5">
        <f t="shared" si="41"/>
        <v>0</v>
      </c>
      <c r="D668" s="5">
        <f>IF(ExtraPayment=0, 0, IF(AND($B668&lt;&gt;0,ExtraPayment&lt;=$B668),-ExtraPayment,-($F668)-$B668))</f>
        <v>0</v>
      </c>
      <c r="E668" s="5">
        <f>IF($B668 &lt;= 0, 0, -ROUND($B668 * (InterestRate / PaymentsPerYear), 2))</f>
        <v>0</v>
      </c>
      <c r="F668" s="5">
        <f>ROUND(IFERROR(IF(OR($B668 &lt;=0, $B668 = ExtraPayment),0,
MAX(-$B668, -(-PMT(InterestRate/PaymentsPerYear,LoanTerm*PaymentsPerYear,LoanAmount) + $E668))), 0), 2)</f>
        <v>0</v>
      </c>
      <c r="G668" s="5">
        <f t="shared" si="42"/>
        <v>0</v>
      </c>
      <c r="H668" s="5">
        <f t="shared" si="43"/>
        <v>0</v>
      </c>
    </row>
    <row r="669" spans="1:8" x14ac:dyDescent="0.2">
      <c r="A669" s="2">
        <v>668</v>
      </c>
      <c r="B669" s="5">
        <f t="shared" si="40"/>
        <v>0</v>
      </c>
      <c r="C669" s="5">
        <f t="shared" si="41"/>
        <v>0</v>
      </c>
      <c r="D669" s="5">
        <f>IF(ExtraPayment=0, 0, IF(AND($B669&lt;&gt;0,ExtraPayment&lt;=$B669),-ExtraPayment,-($F669)-$B669))</f>
        <v>0</v>
      </c>
      <c r="E669" s="5">
        <f>IF($B669 &lt;= 0, 0, -ROUND($B669 * (InterestRate / PaymentsPerYear), 2))</f>
        <v>0</v>
      </c>
      <c r="F669" s="5">
        <f>ROUND(IFERROR(IF(OR($B669 &lt;=0, $B669 = ExtraPayment),0,
MAX(-$B669, -(-PMT(InterestRate/PaymentsPerYear,LoanTerm*PaymentsPerYear,LoanAmount) + $E669))), 0), 2)</f>
        <v>0</v>
      </c>
      <c r="G669" s="5">
        <f t="shared" si="42"/>
        <v>0</v>
      </c>
      <c r="H669" s="5">
        <f t="shared" si="43"/>
        <v>0</v>
      </c>
    </row>
    <row r="670" spans="1:8" x14ac:dyDescent="0.2">
      <c r="A670" s="2">
        <v>669</v>
      </c>
      <c r="B670" s="5">
        <f t="shared" si="40"/>
        <v>0</v>
      </c>
      <c r="C670" s="5">
        <f t="shared" si="41"/>
        <v>0</v>
      </c>
      <c r="D670" s="5">
        <f>IF(ExtraPayment=0, 0, IF(AND($B670&lt;&gt;0,ExtraPayment&lt;=$B670),-ExtraPayment,-($F670)-$B670))</f>
        <v>0</v>
      </c>
      <c r="E670" s="5">
        <f>IF($B670 &lt;= 0, 0, -ROUND($B670 * (InterestRate / PaymentsPerYear), 2))</f>
        <v>0</v>
      </c>
      <c r="F670" s="5">
        <f>ROUND(IFERROR(IF(OR($B670 &lt;=0, $B670 = ExtraPayment),0,
MAX(-$B670, -(-PMT(InterestRate/PaymentsPerYear,LoanTerm*PaymentsPerYear,LoanAmount) + $E670))), 0), 2)</f>
        <v>0</v>
      </c>
      <c r="G670" s="5">
        <f t="shared" si="42"/>
        <v>0</v>
      </c>
      <c r="H670" s="5">
        <f t="shared" si="43"/>
        <v>0</v>
      </c>
    </row>
    <row r="671" spans="1:8" x14ac:dyDescent="0.2">
      <c r="A671" s="2">
        <v>670</v>
      </c>
      <c r="B671" s="5">
        <f t="shared" si="40"/>
        <v>0</v>
      </c>
      <c r="C671" s="5">
        <f t="shared" si="41"/>
        <v>0</v>
      </c>
      <c r="D671" s="5">
        <f>IF(ExtraPayment=0, 0, IF(AND($B671&lt;&gt;0,ExtraPayment&lt;=$B671),-ExtraPayment,-($F671)-$B671))</f>
        <v>0</v>
      </c>
      <c r="E671" s="5">
        <f>IF($B671 &lt;= 0, 0, -ROUND($B671 * (InterestRate / PaymentsPerYear), 2))</f>
        <v>0</v>
      </c>
      <c r="F671" s="5">
        <f>ROUND(IFERROR(IF(OR($B671 &lt;=0, $B671 = ExtraPayment),0,
MAX(-$B671, -(-PMT(InterestRate/PaymentsPerYear,LoanTerm*PaymentsPerYear,LoanAmount) + $E671))), 0), 2)</f>
        <v>0</v>
      </c>
      <c r="G671" s="5">
        <f t="shared" si="42"/>
        <v>0</v>
      </c>
      <c r="H671" s="5">
        <f t="shared" si="43"/>
        <v>0</v>
      </c>
    </row>
    <row r="672" spans="1:8" x14ac:dyDescent="0.2">
      <c r="A672" s="2">
        <v>671</v>
      </c>
      <c r="B672" s="5">
        <f t="shared" si="40"/>
        <v>0</v>
      </c>
      <c r="C672" s="5">
        <f t="shared" si="41"/>
        <v>0</v>
      </c>
      <c r="D672" s="5">
        <f>IF(ExtraPayment=0, 0, IF(AND($B672&lt;&gt;0,ExtraPayment&lt;=$B672),-ExtraPayment,-($F672)-$B672))</f>
        <v>0</v>
      </c>
      <c r="E672" s="5">
        <f>IF($B672 &lt;= 0, 0, -ROUND($B672 * (InterestRate / PaymentsPerYear), 2))</f>
        <v>0</v>
      </c>
      <c r="F672" s="5">
        <f>ROUND(IFERROR(IF(OR($B672 &lt;=0, $B672 = ExtraPayment),0,
MAX(-$B672, -(-PMT(InterestRate/PaymentsPerYear,LoanTerm*PaymentsPerYear,LoanAmount) + $E672))), 0), 2)</f>
        <v>0</v>
      </c>
      <c r="G672" s="5">
        <f t="shared" si="42"/>
        <v>0</v>
      </c>
      <c r="H672" s="5">
        <f t="shared" si="43"/>
        <v>0</v>
      </c>
    </row>
    <row r="673" spans="1:8" x14ac:dyDescent="0.2">
      <c r="A673" s="2">
        <v>672</v>
      </c>
      <c r="B673" s="5">
        <f t="shared" si="40"/>
        <v>0</v>
      </c>
      <c r="C673" s="5">
        <f t="shared" si="41"/>
        <v>0</v>
      </c>
      <c r="D673" s="5">
        <f>IF(ExtraPayment=0, 0, IF(AND($B673&lt;&gt;0,ExtraPayment&lt;=$B673),-ExtraPayment,-($F673)-$B673))</f>
        <v>0</v>
      </c>
      <c r="E673" s="5">
        <f>IF($B673 &lt;= 0, 0, -ROUND($B673 * (InterestRate / PaymentsPerYear), 2))</f>
        <v>0</v>
      </c>
      <c r="F673" s="5">
        <f>ROUND(IFERROR(IF(OR($B673 &lt;=0, $B673 = ExtraPayment),0,
MAX(-$B673, -(-PMT(InterestRate/PaymentsPerYear,LoanTerm*PaymentsPerYear,LoanAmount) + $E673))), 0), 2)</f>
        <v>0</v>
      </c>
      <c r="G673" s="5">
        <f t="shared" si="42"/>
        <v>0</v>
      </c>
      <c r="H673" s="5">
        <f t="shared" si="43"/>
        <v>0</v>
      </c>
    </row>
    <row r="674" spans="1:8" x14ac:dyDescent="0.2">
      <c r="A674" s="2">
        <v>673</v>
      </c>
      <c r="B674" s="5">
        <f t="shared" si="40"/>
        <v>0</v>
      </c>
      <c r="C674" s="5">
        <f t="shared" si="41"/>
        <v>0</v>
      </c>
      <c r="D674" s="5">
        <f>IF(ExtraPayment=0, 0, IF(AND($B674&lt;&gt;0,ExtraPayment&lt;=$B674),-ExtraPayment,-($F674)-$B674))</f>
        <v>0</v>
      </c>
      <c r="E674" s="5">
        <f>IF($B674 &lt;= 0, 0, -ROUND($B674 * (InterestRate / PaymentsPerYear), 2))</f>
        <v>0</v>
      </c>
      <c r="F674" s="5">
        <f>ROUND(IFERROR(IF(OR($B674 &lt;=0, $B674 = ExtraPayment),0,
MAX(-$B674, -(-PMT(InterestRate/PaymentsPerYear,LoanTerm*PaymentsPerYear,LoanAmount) + $E674))), 0), 2)</f>
        <v>0</v>
      </c>
      <c r="G674" s="5">
        <f t="shared" si="42"/>
        <v>0</v>
      </c>
      <c r="H674" s="5">
        <f t="shared" si="43"/>
        <v>0</v>
      </c>
    </row>
    <row r="675" spans="1:8" x14ac:dyDescent="0.2">
      <c r="A675" s="2">
        <v>674</v>
      </c>
      <c r="B675" s="5">
        <f t="shared" si="40"/>
        <v>0</v>
      </c>
      <c r="C675" s="5">
        <f t="shared" si="41"/>
        <v>0</v>
      </c>
      <c r="D675" s="5">
        <f>IF(ExtraPayment=0, 0, IF(AND($B675&lt;&gt;0,ExtraPayment&lt;=$B675),-ExtraPayment,-($F675)-$B675))</f>
        <v>0</v>
      </c>
      <c r="E675" s="5">
        <f>IF($B675 &lt;= 0, 0, -ROUND($B675 * (InterestRate / PaymentsPerYear), 2))</f>
        <v>0</v>
      </c>
      <c r="F675" s="5">
        <f>ROUND(IFERROR(IF(OR($B675 &lt;=0, $B675 = ExtraPayment),0,
MAX(-$B675, -(-PMT(InterestRate/PaymentsPerYear,LoanTerm*PaymentsPerYear,LoanAmount) + $E675))), 0), 2)</f>
        <v>0</v>
      </c>
      <c r="G675" s="5">
        <f t="shared" si="42"/>
        <v>0</v>
      </c>
      <c r="H675" s="5">
        <f t="shared" si="43"/>
        <v>0</v>
      </c>
    </row>
    <row r="676" spans="1:8" x14ac:dyDescent="0.2">
      <c r="A676" s="2">
        <v>675</v>
      </c>
      <c r="B676" s="5">
        <f t="shared" si="40"/>
        <v>0</v>
      </c>
      <c r="C676" s="5">
        <f t="shared" si="41"/>
        <v>0</v>
      </c>
      <c r="D676" s="5">
        <f>IF(ExtraPayment=0, 0, IF(AND($B676&lt;&gt;0,ExtraPayment&lt;=$B676),-ExtraPayment,-($F676)-$B676))</f>
        <v>0</v>
      </c>
      <c r="E676" s="5">
        <f>IF($B676 &lt;= 0, 0, -ROUND($B676 * (InterestRate / PaymentsPerYear), 2))</f>
        <v>0</v>
      </c>
      <c r="F676" s="5">
        <f>ROUND(IFERROR(IF(OR($B676 &lt;=0, $B676 = ExtraPayment),0,
MAX(-$B676, -(-PMT(InterestRate/PaymentsPerYear,LoanTerm*PaymentsPerYear,LoanAmount) + $E676))), 0), 2)</f>
        <v>0</v>
      </c>
      <c r="G676" s="5">
        <f t="shared" si="42"/>
        <v>0</v>
      </c>
      <c r="H676" s="5">
        <f t="shared" si="43"/>
        <v>0</v>
      </c>
    </row>
    <row r="677" spans="1:8" x14ac:dyDescent="0.2">
      <c r="A677" s="2">
        <v>676</v>
      </c>
      <c r="B677" s="5">
        <f t="shared" si="40"/>
        <v>0</v>
      </c>
      <c r="C677" s="5">
        <f t="shared" si="41"/>
        <v>0</v>
      </c>
      <c r="D677" s="5">
        <f>IF(ExtraPayment=0, 0, IF(AND($B677&lt;&gt;0,ExtraPayment&lt;=$B677),-ExtraPayment,-($F677)-$B677))</f>
        <v>0</v>
      </c>
      <c r="E677" s="5">
        <f>IF($B677 &lt;= 0, 0, -ROUND($B677 * (InterestRate / PaymentsPerYear), 2))</f>
        <v>0</v>
      </c>
      <c r="F677" s="5">
        <f>ROUND(IFERROR(IF(OR($B677 &lt;=0, $B677 = ExtraPayment),0,
MAX(-$B677, -(-PMT(InterestRate/PaymentsPerYear,LoanTerm*PaymentsPerYear,LoanAmount) + $E677))), 0), 2)</f>
        <v>0</v>
      </c>
      <c r="G677" s="5">
        <f t="shared" si="42"/>
        <v>0</v>
      </c>
      <c r="H677" s="5">
        <f t="shared" si="43"/>
        <v>0</v>
      </c>
    </row>
    <row r="678" spans="1:8" x14ac:dyDescent="0.2">
      <c r="A678" s="2">
        <v>677</v>
      </c>
      <c r="B678" s="5">
        <f t="shared" si="40"/>
        <v>0</v>
      </c>
      <c r="C678" s="5">
        <f t="shared" si="41"/>
        <v>0</v>
      </c>
      <c r="D678" s="5">
        <f>IF(ExtraPayment=0, 0, IF(AND($B678&lt;&gt;0,ExtraPayment&lt;=$B678),-ExtraPayment,-($F678)-$B678))</f>
        <v>0</v>
      </c>
      <c r="E678" s="5">
        <f>IF($B678 &lt;= 0, 0, -ROUND($B678 * (InterestRate / PaymentsPerYear), 2))</f>
        <v>0</v>
      </c>
      <c r="F678" s="5">
        <f>ROUND(IFERROR(IF(OR($B678 &lt;=0, $B678 = ExtraPayment),0,
MAX(-$B678, -(-PMT(InterestRate/PaymentsPerYear,LoanTerm*PaymentsPerYear,LoanAmount) + $E678))), 0), 2)</f>
        <v>0</v>
      </c>
      <c r="G678" s="5">
        <f t="shared" si="42"/>
        <v>0</v>
      </c>
      <c r="H678" s="5">
        <f t="shared" si="43"/>
        <v>0</v>
      </c>
    </row>
    <row r="679" spans="1:8" x14ac:dyDescent="0.2">
      <c r="A679" s="2">
        <v>678</v>
      </c>
      <c r="B679" s="5">
        <f t="shared" si="40"/>
        <v>0</v>
      </c>
      <c r="C679" s="5">
        <f t="shared" si="41"/>
        <v>0</v>
      </c>
      <c r="D679" s="5">
        <f>IF(ExtraPayment=0, 0, IF(AND($B679&lt;&gt;0,ExtraPayment&lt;=$B679),-ExtraPayment,-($F679)-$B679))</f>
        <v>0</v>
      </c>
      <c r="E679" s="5">
        <f>IF($B679 &lt;= 0, 0, -ROUND($B679 * (InterestRate / PaymentsPerYear), 2))</f>
        <v>0</v>
      </c>
      <c r="F679" s="5">
        <f>ROUND(IFERROR(IF(OR($B679 &lt;=0, $B679 = ExtraPayment),0,
MAX(-$B679, -(-PMT(InterestRate/PaymentsPerYear,LoanTerm*PaymentsPerYear,LoanAmount) + $E679))), 0), 2)</f>
        <v>0</v>
      </c>
      <c r="G679" s="5">
        <f t="shared" si="42"/>
        <v>0</v>
      </c>
      <c r="H679" s="5">
        <f t="shared" si="43"/>
        <v>0</v>
      </c>
    </row>
    <row r="680" spans="1:8" x14ac:dyDescent="0.2">
      <c r="A680" s="2">
        <v>679</v>
      </c>
      <c r="B680" s="5">
        <f t="shared" si="40"/>
        <v>0</v>
      </c>
      <c r="C680" s="5">
        <f t="shared" si="41"/>
        <v>0</v>
      </c>
      <c r="D680" s="5">
        <f>IF(ExtraPayment=0, 0, IF(AND($B680&lt;&gt;0,ExtraPayment&lt;=$B680),-ExtraPayment,-($F680)-$B680))</f>
        <v>0</v>
      </c>
      <c r="E680" s="5">
        <f>IF($B680 &lt;= 0, 0, -ROUND($B680 * (InterestRate / PaymentsPerYear), 2))</f>
        <v>0</v>
      </c>
      <c r="F680" s="5">
        <f>ROUND(IFERROR(IF(OR($B680 &lt;=0, $B680 = ExtraPayment),0,
MAX(-$B680, -(-PMT(InterestRate/PaymentsPerYear,LoanTerm*PaymentsPerYear,LoanAmount) + $E680))), 0), 2)</f>
        <v>0</v>
      </c>
      <c r="G680" s="5">
        <f t="shared" si="42"/>
        <v>0</v>
      </c>
      <c r="H680" s="5">
        <f t="shared" si="43"/>
        <v>0</v>
      </c>
    </row>
    <row r="681" spans="1:8" x14ac:dyDescent="0.2">
      <c r="A681" s="2">
        <v>680</v>
      </c>
      <c r="B681" s="5">
        <f t="shared" si="40"/>
        <v>0</v>
      </c>
      <c r="C681" s="5">
        <f t="shared" si="41"/>
        <v>0</v>
      </c>
      <c r="D681" s="5">
        <f>IF(ExtraPayment=0, 0, IF(AND($B681&lt;&gt;0,ExtraPayment&lt;=$B681),-ExtraPayment,-($F681)-$B681))</f>
        <v>0</v>
      </c>
      <c r="E681" s="5">
        <f>IF($B681 &lt;= 0, 0, -ROUND($B681 * (InterestRate / PaymentsPerYear), 2))</f>
        <v>0</v>
      </c>
      <c r="F681" s="5">
        <f>ROUND(IFERROR(IF(OR($B681 &lt;=0, $B681 = ExtraPayment),0,
MAX(-$B681, -(-PMT(InterestRate/PaymentsPerYear,LoanTerm*PaymentsPerYear,LoanAmount) + $E681))), 0), 2)</f>
        <v>0</v>
      </c>
      <c r="G681" s="5">
        <f t="shared" si="42"/>
        <v>0</v>
      </c>
      <c r="H681" s="5">
        <f t="shared" si="43"/>
        <v>0</v>
      </c>
    </row>
    <row r="682" spans="1:8" x14ac:dyDescent="0.2">
      <c r="A682" s="2">
        <v>681</v>
      </c>
      <c r="B682" s="5">
        <f t="shared" si="40"/>
        <v>0</v>
      </c>
      <c r="C682" s="5">
        <f t="shared" si="41"/>
        <v>0</v>
      </c>
      <c r="D682" s="5">
        <f>IF(ExtraPayment=0, 0, IF(AND($B682&lt;&gt;0,ExtraPayment&lt;=$B682),-ExtraPayment,-($F682)-$B682))</f>
        <v>0</v>
      </c>
      <c r="E682" s="5">
        <f>IF($B682 &lt;= 0, 0, -ROUND($B682 * (InterestRate / PaymentsPerYear), 2))</f>
        <v>0</v>
      </c>
      <c r="F682" s="5">
        <f>ROUND(IFERROR(IF(OR($B682 &lt;=0, $B682 = ExtraPayment),0,
MAX(-$B682, -(-PMT(InterestRate/PaymentsPerYear,LoanTerm*PaymentsPerYear,LoanAmount) + $E682))), 0), 2)</f>
        <v>0</v>
      </c>
      <c r="G682" s="5">
        <f t="shared" si="42"/>
        <v>0</v>
      </c>
      <c r="H682" s="5">
        <f t="shared" si="43"/>
        <v>0</v>
      </c>
    </row>
    <row r="683" spans="1:8" x14ac:dyDescent="0.2">
      <c r="A683" s="2">
        <v>682</v>
      </c>
      <c r="B683" s="5">
        <f t="shared" si="40"/>
        <v>0</v>
      </c>
      <c r="C683" s="5">
        <f t="shared" si="41"/>
        <v>0</v>
      </c>
      <c r="D683" s="5">
        <f>IF(ExtraPayment=0, 0, IF(AND($B683&lt;&gt;0,ExtraPayment&lt;=$B683),-ExtraPayment,-($F683)-$B683))</f>
        <v>0</v>
      </c>
      <c r="E683" s="5">
        <f>IF($B683 &lt;= 0, 0, -ROUND($B683 * (InterestRate / PaymentsPerYear), 2))</f>
        <v>0</v>
      </c>
      <c r="F683" s="5">
        <f>ROUND(IFERROR(IF(OR($B683 &lt;=0, $B683 = ExtraPayment),0,
MAX(-$B683, -(-PMT(InterestRate/PaymentsPerYear,LoanTerm*PaymentsPerYear,LoanAmount) + $E683))), 0), 2)</f>
        <v>0</v>
      </c>
      <c r="G683" s="5">
        <f t="shared" si="42"/>
        <v>0</v>
      </c>
      <c r="H683" s="5">
        <f t="shared" si="43"/>
        <v>0</v>
      </c>
    </row>
    <row r="684" spans="1:8" x14ac:dyDescent="0.2">
      <c r="A684" s="2">
        <v>683</v>
      </c>
      <c r="B684" s="5">
        <f t="shared" si="40"/>
        <v>0</v>
      </c>
      <c r="C684" s="5">
        <f t="shared" si="41"/>
        <v>0</v>
      </c>
      <c r="D684" s="5">
        <f>IF(ExtraPayment=0, 0, IF(AND($B684&lt;&gt;0,ExtraPayment&lt;=$B684),-ExtraPayment,-($F684)-$B684))</f>
        <v>0</v>
      </c>
      <c r="E684" s="5">
        <f>IF($B684 &lt;= 0, 0, -ROUND($B684 * (InterestRate / PaymentsPerYear), 2))</f>
        <v>0</v>
      </c>
      <c r="F684" s="5">
        <f>ROUND(IFERROR(IF(OR($B684 &lt;=0, $B684 = ExtraPayment),0,
MAX(-$B684, -(-PMT(InterestRate/PaymentsPerYear,LoanTerm*PaymentsPerYear,LoanAmount) + $E684))), 0), 2)</f>
        <v>0</v>
      </c>
      <c r="G684" s="5">
        <f t="shared" si="42"/>
        <v>0</v>
      </c>
      <c r="H684" s="5">
        <f t="shared" si="43"/>
        <v>0</v>
      </c>
    </row>
    <row r="685" spans="1:8" x14ac:dyDescent="0.2">
      <c r="A685" s="2">
        <v>684</v>
      </c>
      <c r="B685" s="5">
        <f t="shared" si="40"/>
        <v>0</v>
      </c>
      <c r="C685" s="5">
        <f t="shared" si="41"/>
        <v>0</v>
      </c>
      <c r="D685" s="5">
        <f>IF(ExtraPayment=0, 0, IF(AND($B685&lt;&gt;0,ExtraPayment&lt;=$B685),-ExtraPayment,-($F685)-$B685))</f>
        <v>0</v>
      </c>
      <c r="E685" s="5">
        <f>IF($B685 &lt;= 0, 0, -ROUND($B685 * (InterestRate / PaymentsPerYear), 2))</f>
        <v>0</v>
      </c>
      <c r="F685" s="5">
        <f>ROUND(IFERROR(IF(OR($B685 &lt;=0, $B685 = ExtraPayment),0,
MAX(-$B685, -(-PMT(InterestRate/PaymentsPerYear,LoanTerm*PaymentsPerYear,LoanAmount) + $E685))), 0), 2)</f>
        <v>0</v>
      </c>
      <c r="G685" s="5">
        <f t="shared" si="42"/>
        <v>0</v>
      </c>
      <c r="H685" s="5">
        <f t="shared" si="43"/>
        <v>0</v>
      </c>
    </row>
    <row r="686" spans="1:8" x14ac:dyDescent="0.2">
      <c r="A686" s="2">
        <v>685</v>
      </c>
      <c r="B686" s="5">
        <f t="shared" si="40"/>
        <v>0</v>
      </c>
      <c r="C686" s="5">
        <f t="shared" si="41"/>
        <v>0</v>
      </c>
      <c r="D686" s="5">
        <f>IF(ExtraPayment=0, 0, IF(AND($B686&lt;&gt;0,ExtraPayment&lt;=$B686),-ExtraPayment,-($F686)-$B686))</f>
        <v>0</v>
      </c>
      <c r="E686" s="5">
        <f>IF($B686 &lt;= 0, 0, -ROUND($B686 * (InterestRate / PaymentsPerYear), 2))</f>
        <v>0</v>
      </c>
      <c r="F686" s="5">
        <f>ROUND(IFERROR(IF(OR($B686 &lt;=0, $B686 = ExtraPayment),0,
MAX(-$B686, -(-PMT(InterestRate/PaymentsPerYear,LoanTerm*PaymentsPerYear,LoanAmount) + $E686))), 0), 2)</f>
        <v>0</v>
      </c>
      <c r="G686" s="5">
        <f t="shared" si="42"/>
        <v>0</v>
      </c>
      <c r="H686" s="5">
        <f t="shared" si="43"/>
        <v>0</v>
      </c>
    </row>
    <row r="687" spans="1:8" x14ac:dyDescent="0.2">
      <c r="A687" s="2">
        <v>686</v>
      </c>
      <c r="B687" s="5">
        <f t="shared" si="40"/>
        <v>0</v>
      </c>
      <c r="C687" s="5">
        <f t="shared" si="41"/>
        <v>0</v>
      </c>
      <c r="D687" s="5">
        <f>IF(ExtraPayment=0, 0, IF(AND($B687&lt;&gt;0,ExtraPayment&lt;=$B687),-ExtraPayment,-($F687)-$B687))</f>
        <v>0</v>
      </c>
      <c r="E687" s="5">
        <f>IF($B687 &lt;= 0, 0, -ROUND($B687 * (InterestRate / PaymentsPerYear), 2))</f>
        <v>0</v>
      </c>
      <c r="F687" s="5">
        <f>ROUND(IFERROR(IF(OR($B687 &lt;=0, $B687 = ExtraPayment),0,
MAX(-$B687, -(-PMT(InterestRate/PaymentsPerYear,LoanTerm*PaymentsPerYear,LoanAmount) + $E687))), 0), 2)</f>
        <v>0</v>
      </c>
      <c r="G687" s="5">
        <f t="shared" si="42"/>
        <v>0</v>
      </c>
      <c r="H687" s="5">
        <f t="shared" si="43"/>
        <v>0</v>
      </c>
    </row>
    <row r="688" spans="1:8" x14ac:dyDescent="0.2">
      <c r="A688" s="2">
        <v>687</v>
      </c>
      <c r="B688" s="5">
        <f t="shared" si="40"/>
        <v>0</v>
      </c>
      <c r="C688" s="5">
        <f t="shared" si="41"/>
        <v>0</v>
      </c>
      <c r="D688" s="5">
        <f>IF(ExtraPayment=0, 0, IF(AND($B688&lt;&gt;0,ExtraPayment&lt;=$B688),-ExtraPayment,-($F688)-$B688))</f>
        <v>0</v>
      </c>
      <c r="E688" s="5">
        <f>IF($B688 &lt;= 0, 0, -ROUND($B688 * (InterestRate / PaymentsPerYear), 2))</f>
        <v>0</v>
      </c>
      <c r="F688" s="5">
        <f>ROUND(IFERROR(IF(OR($B688 &lt;=0, $B688 = ExtraPayment),0,
MAX(-$B688, -(-PMT(InterestRate/PaymentsPerYear,LoanTerm*PaymentsPerYear,LoanAmount) + $E688))), 0), 2)</f>
        <v>0</v>
      </c>
      <c r="G688" s="5">
        <f t="shared" si="42"/>
        <v>0</v>
      </c>
      <c r="H688" s="5">
        <f t="shared" si="43"/>
        <v>0</v>
      </c>
    </row>
    <row r="689" spans="1:8" x14ac:dyDescent="0.2">
      <c r="A689" s="2">
        <v>688</v>
      </c>
      <c r="B689" s="5">
        <f t="shared" si="40"/>
        <v>0</v>
      </c>
      <c r="C689" s="5">
        <f t="shared" si="41"/>
        <v>0</v>
      </c>
      <c r="D689" s="5">
        <f>IF(ExtraPayment=0, 0, IF(AND($B689&lt;&gt;0,ExtraPayment&lt;=$B689),-ExtraPayment,-($F689)-$B689))</f>
        <v>0</v>
      </c>
      <c r="E689" s="5">
        <f>IF($B689 &lt;= 0, 0, -ROUND($B689 * (InterestRate / PaymentsPerYear), 2))</f>
        <v>0</v>
      </c>
      <c r="F689" s="5">
        <f>ROUND(IFERROR(IF(OR($B689 &lt;=0, $B689 = ExtraPayment),0,
MAX(-$B689, -(-PMT(InterestRate/PaymentsPerYear,LoanTerm*PaymentsPerYear,LoanAmount) + $E689))), 0), 2)</f>
        <v>0</v>
      </c>
      <c r="G689" s="5">
        <f t="shared" si="42"/>
        <v>0</v>
      </c>
      <c r="H689" s="5">
        <f t="shared" si="43"/>
        <v>0</v>
      </c>
    </row>
    <row r="690" spans="1:8" x14ac:dyDescent="0.2">
      <c r="A690" s="2">
        <v>689</v>
      </c>
      <c r="B690" s="5">
        <f t="shared" si="40"/>
        <v>0</v>
      </c>
      <c r="C690" s="5">
        <f t="shared" si="41"/>
        <v>0</v>
      </c>
      <c r="D690" s="5">
        <f>IF(ExtraPayment=0, 0, IF(AND($B690&lt;&gt;0,ExtraPayment&lt;=$B690),-ExtraPayment,-($F690)-$B690))</f>
        <v>0</v>
      </c>
      <c r="E690" s="5">
        <f>IF($B690 &lt;= 0, 0, -ROUND($B690 * (InterestRate / PaymentsPerYear), 2))</f>
        <v>0</v>
      </c>
      <c r="F690" s="5">
        <f>ROUND(IFERROR(IF(OR($B690 &lt;=0, $B690 = ExtraPayment),0,
MAX(-$B690, -(-PMT(InterestRate/PaymentsPerYear,LoanTerm*PaymentsPerYear,LoanAmount) + $E690))), 0), 2)</f>
        <v>0</v>
      </c>
      <c r="G690" s="5">
        <f t="shared" si="42"/>
        <v>0</v>
      </c>
      <c r="H690" s="5">
        <f t="shared" si="43"/>
        <v>0</v>
      </c>
    </row>
    <row r="691" spans="1:8" x14ac:dyDescent="0.2">
      <c r="A691" s="2">
        <v>690</v>
      </c>
      <c r="B691" s="5">
        <f t="shared" si="40"/>
        <v>0</v>
      </c>
      <c r="C691" s="5">
        <f t="shared" si="41"/>
        <v>0</v>
      </c>
      <c r="D691" s="5">
        <f>IF(ExtraPayment=0, 0, IF(AND($B691&lt;&gt;0,ExtraPayment&lt;=$B691),-ExtraPayment,-($F691)-$B691))</f>
        <v>0</v>
      </c>
      <c r="E691" s="5">
        <f>IF($B691 &lt;= 0, 0, -ROUND($B691 * (InterestRate / PaymentsPerYear), 2))</f>
        <v>0</v>
      </c>
      <c r="F691" s="5">
        <f>ROUND(IFERROR(IF(OR($B691 &lt;=0, $B691 = ExtraPayment),0,
MAX(-$B691, -(-PMT(InterestRate/PaymentsPerYear,LoanTerm*PaymentsPerYear,LoanAmount) + $E691))), 0), 2)</f>
        <v>0</v>
      </c>
      <c r="G691" s="5">
        <f t="shared" si="42"/>
        <v>0</v>
      </c>
      <c r="H691" s="5">
        <f t="shared" si="43"/>
        <v>0</v>
      </c>
    </row>
    <row r="692" spans="1:8" x14ac:dyDescent="0.2">
      <c r="A692" s="2">
        <v>691</v>
      </c>
      <c r="B692" s="5">
        <f t="shared" si="40"/>
        <v>0</v>
      </c>
      <c r="C692" s="5">
        <f t="shared" si="41"/>
        <v>0</v>
      </c>
      <c r="D692" s="5">
        <f>IF(ExtraPayment=0, 0, IF(AND($B692&lt;&gt;0,ExtraPayment&lt;=$B692),-ExtraPayment,-($F692)-$B692))</f>
        <v>0</v>
      </c>
      <c r="E692" s="5">
        <f>IF($B692 &lt;= 0, 0, -ROUND($B692 * (InterestRate / PaymentsPerYear), 2))</f>
        <v>0</v>
      </c>
      <c r="F692" s="5">
        <f>ROUND(IFERROR(IF(OR($B692 &lt;=0, $B692 = ExtraPayment),0,
MAX(-$B692, -(-PMT(InterestRate/PaymentsPerYear,LoanTerm*PaymentsPerYear,LoanAmount) + $E692))), 0), 2)</f>
        <v>0</v>
      </c>
      <c r="G692" s="5">
        <f t="shared" si="42"/>
        <v>0</v>
      </c>
      <c r="H692" s="5">
        <f t="shared" si="43"/>
        <v>0</v>
      </c>
    </row>
    <row r="693" spans="1:8" x14ac:dyDescent="0.2">
      <c r="A693" s="2">
        <v>692</v>
      </c>
      <c r="B693" s="5">
        <f t="shared" si="40"/>
        <v>0</v>
      </c>
      <c r="C693" s="5">
        <f t="shared" si="41"/>
        <v>0</v>
      </c>
      <c r="D693" s="5">
        <f>IF(ExtraPayment=0, 0, IF(AND($B693&lt;&gt;0,ExtraPayment&lt;=$B693),-ExtraPayment,-($F693)-$B693))</f>
        <v>0</v>
      </c>
      <c r="E693" s="5">
        <f>IF($B693 &lt;= 0, 0, -ROUND($B693 * (InterestRate / PaymentsPerYear), 2))</f>
        <v>0</v>
      </c>
      <c r="F693" s="5">
        <f>ROUND(IFERROR(IF(OR($B693 &lt;=0, $B693 = ExtraPayment),0,
MAX(-$B693, -(-PMT(InterestRate/PaymentsPerYear,LoanTerm*PaymentsPerYear,LoanAmount) + $E693))), 0), 2)</f>
        <v>0</v>
      </c>
      <c r="G693" s="5">
        <f t="shared" si="42"/>
        <v>0</v>
      </c>
      <c r="H693" s="5">
        <f t="shared" si="43"/>
        <v>0</v>
      </c>
    </row>
    <row r="694" spans="1:8" x14ac:dyDescent="0.2">
      <c r="A694" s="2">
        <v>693</v>
      </c>
      <c r="B694" s="5">
        <f t="shared" si="40"/>
        <v>0</v>
      </c>
      <c r="C694" s="5">
        <f t="shared" si="41"/>
        <v>0</v>
      </c>
      <c r="D694" s="5">
        <f>IF(ExtraPayment=0, 0, IF(AND($B694&lt;&gt;0,ExtraPayment&lt;=$B694),-ExtraPayment,-($F694)-$B694))</f>
        <v>0</v>
      </c>
      <c r="E694" s="5">
        <f>IF($B694 &lt;= 0, 0, -ROUND($B694 * (InterestRate / PaymentsPerYear), 2))</f>
        <v>0</v>
      </c>
      <c r="F694" s="5">
        <f>ROUND(IFERROR(IF(OR($B694 &lt;=0, $B694 = ExtraPayment),0,
MAX(-$B694, -(-PMT(InterestRate/PaymentsPerYear,LoanTerm*PaymentsPerYear,LoanAmount) + $E694))), 0), 2)</f>
        <v>0</v>
      </c>
      <c r="G694" s="5">
        <f t="shared" si="42"/>
        <v>0</v>
      </c>
      <c r="H694" s="5">
        <f t="shared" si="43"/>
        <v>0</v>
      </c>
    </row>
    <row r="695" spans="1:8" x14ac:dyDescent="0.2">
      <c r="A695" s="2">
        <v>694</v>
      </c>
      <c r="B695" s="5">
        <f t="shared" si="40"/>
        <v>0</v>
      </c>
      <c r="C695" s="5">
        <f t="shared" si="41"/>
        <v>0</v>
      </c>
      <c r="D695" s="5">
        <f>IF(ExtraPayment=0, 0, IF(AND($B695&lt;&gt;0,ExtraPayment&lt;=$B695),-ExtraPayment,-($F695)-$B695))</f>
        <v>0</v>
      </c>
      <c r="E695" s="5">
        <f>IF($B695 &lt;= 0, 0, -ROUND($B695 * (InterestRate / PaymentsPerYear), 2))</f>
        <v>0</v>
      </c>
      <c r="F695" s="5">
        <f>ROUND(IFERROR(IF(OR($B695 &lt;=0, $B695 = ExtraPayment),0,
MAX(-$B695, -(-PMT(InterestRate/PaymentsPerYear,LoanTerm*PaymentsPerYear,LoanAmount) + $E695))), 0), 2)</f>
        <v>0</v>
      </c>
      <c r="G695" s="5">
        <f t="shared" si="42"/>
        <v>0</v>
      </c>
      <c r="H695" s="5">
        <f t="shared" si="43"/>
        <v>0</v>
      </c>
    </row>
    <row r="696" spans="1:8" x14ac:dyDescent="0.2">
      <c r="A696" s="2">
        <v>695</v>
      </c>
      <c r="B696" s="5">
        <f t="shared" si="40"/>
        <v>0</v>
      </c>
      <c r="C696" s="5">
        <f t="shared" si="41"/>
        <v>0</v>
      </c>
      <c r="D696" s="5">
        <f>IF(ExtraPayment=0, 0, IF(AND($B696&lt;&gt;0,ExtraPayment&lt;=$B696),-ExtraPayment,-($F696)-$B696))</f>
        <v>0</v>
      </c>
      <c r="E696" s="5">
        <f>IF($B696 &lt;= 0, 0, -ROUND($B696 * (InterestRate / PaymentsPerYear), 2))</f>
        <v>0</v>
      </c>
      <c r="F696" s="5">
        <f>ROUND(IFERROR(IF(OR($B696 &lt;=0, $B696 = ExtraPayment),0,
MAX(-$B696, -(-PMT(InterestRate/PaymentsPerYear,LoanTerm*PaymentsPerYear,LoanAmount) + $E696))), 0), 2)</f>
        <v>0</v>
      </c>
      <c r="G696" s="5">
        <f t="shared" si="42"/>
        <v>0</v>
      </c>
      <c r="H696" s="5">
        <f t="shared" si="43"/>
        <v>0</v>
      </c>
    </row>
    <row r="697" spans="1:8" x14ac:dyDescent="0.2">
      <c r="A697" s="2">
        <v>696</v>
      </c>
      <c r="B697" s="5">
        <f t="shared" si="40"/>
        <v>0</v>
      </c>
      <c r="C697" s="5">
        <f t="shared" si="41"/>
        <v>0</v>
      </c>
      <c r="D697" s="5">
        <f>IF(ExtraPayment=0, 0, IF(AND($B697&lt;&gt;0,ExtraPayment&lt;=$B697),-ExtraPayment,-($F697)-$B697))</f>
        <v>0</v>
      </c>
      <c r="E697" s="5">
        <f>IF($B697 &lt;= 0, 0, -ROUND($B697 * (InterestRate / PaymentsPerYear), 2))</f>
        <v>0</v>
      </c>
      <c r="F697" s="5">
        <f>ROUND(IFERROR(IF(OR($B697 &lt;=0, $B697 = ExtraPayment),0,
MAX(-$B697, -(-PMT(InterestRate/PaymentsPerYear,LoanTerm*PaymentsPerYear,LoanAmount) + $E697))), 0), 2)</f>
        <v>0</v>
      </c>
      <c r="G697" s="5">
        <f t="shared" si="42"/>
        <v>0</v>
      </c>
      <c r="H697" s="5">
        <f t="shared" si="43"/>
        <v>0</v>
      </c>
    </row>
    <row r="698" spans="1:8" x14ac:dyDescent="0.2">
      <c r="A698" s="2">
        <v>697</v>
      </c>
      <c r="B698" s="5">
        <f t="shared" si="40"/>
        <v>0</v>
      </c>
      <c r="C698" s="5">
        <f t="shared" si="41"/>
        <v>0</v>
      </c>
      <c r="D698" s="5">
        <f>IF(ExtraPayment=0, 0, IF(AND($B698&lt;&gt;0,ExtraPayment&lt;=$B698),-ExtraPayment,-($F698)-$B698))</f>
        <v>0</v>
      </c>
      <c r="E698" s="5">
        <f>IF($B698 &lt;= 0, 0, -ROUND($B698 * (InterestRate / PaymentsPerYear), 2))</f>
        <v>0</v>
      </c>
      <c r="F698" s="5">
        <f>ROUND(IFERROR(IF(OR($B698 &lt;=0, $B698 = ExtraPayment),0,
MAX(-$B698, -(-PMT(InterestRate/PaymentsPerYear,LoanTerm*PaymentsPerYear,LoanAmount) + $E698))), 0), 2)</f>
        <v>0</v>
      </c>
      <c r="G698" s="5">
        <f t="shared" si="42"/>
        <v>0</v>
      </c>
      <c r="H698" s="5">
        <f t="shared" si="43"/>
        <v>0</v>
      </c>
    </row>
    <row r="699" spans="1:8" x14ac:dyDescent="0.2">
      <c r="A699" s="2">
        <v>698</v>
      </c>
      <c r="B699" s="5">
        <f t="shared" si="40"/>
        <v>0</v>
      </c>
      <c r="C699" s="5">
        <f t="shared" si="41"/>
        <v>0</v>
      </c>
      <c r="D699" s="5">
        <f>IF(ExtraPayment=0, 0, IF(AND($B699&lt;&gt;0,ExtraPayment&lt;=$B699),-ExtraPayment,-($F699)-$B699))</f>
        <v>0</v>
      </c>
      <c r="E699" s="5">
        <f>IF($B699 &lt;= 0, 0, -ROUND($B699 * (InterestRate / PaymentsPerYear), 2))</f>
        <v>0</v>
      </c>
      <c r="F699" s="5">
        <f>ROUND(IFERROR(IF(OR($B699 &lt;=0, $B699 = ExtraPayment),0,
MAX(-$B699, -(-PMT(InterestRate/PaymentsPerYear,LoanTerm*PaymentsPerYear,LoanAmount) + $E699))), 0), 2)</f>
        <v>0</v>
      </c>
      <c r="G699" s="5">
        <f t="shared" si="42"/>
        <v>0</v>
      </c>
      <c r="H699" s="5">
        <f t="shared" si="43"/>
        <v>0</v>
      </c>
    </row>
    <row r="700" spans="1:8" x14ac:dyDescent="0.2">
      <c r="A700" s="2">
        <v>699</v>
      </c>
      <c r="B700" s="5">
        <f t="shared" si="40"/>
        <v>0</v>
      </c>
      <c r="C700" s="5">
        <f t="shared" si="41"/>
        <v>0</v>
      </c>
      <c r="D700" s="5">
        <f>IF(ExtraPayment=0, 0, IF(AND($B700&lt;&gt;0,ExtraPayment&lt;=$B700),-ExtraPayment,-($F700)-$B700))</f>
        <v>0</v>
      </c>
      <c r="E700" s="5">
        <f>IF($B700 &lt;= 0, 0, -ROUND($B700 * (InterestRate / PaymentsPerYear), 2))</f>
        <v>0</v>
      </c>
      <c r="F700" s="5">
        <f>ROUND(IFERROR(IF(OR($B700 &lt;=0, $B700 = ExtraPayment),0,
MAX(-$B700, -(-PMT(InterestRate/PaymentsPerYear,LoanTerm*PaymentsPerYear,LoanAmount) + $E700))), 0), 2)</f>
        <v>0</v>
      </c>
      <c r="G700" s="5">
        <f t="shared" si="42"/>
        <v>0</v>
      </c>
      <c r="H700" s="5">
        <f t="shared" si="43"/>
        <v>0</v>
      </c>
    </row>
    <row r="701" spans="1:8" x14ac:dyDescent="0.2">
      <c r="A701" s="2">
        <v>700</v>
      </c>
      <c r="B701" s="5">
        <f t="shared" si="40"/>
        <v>0</v>
      </c>
      <c r="C701" s="5">
        <f t="shared" si="41"/>
        <v>0</v>
      </c>
      <c r="D701" s="5">
        <f>IF(ExtraPayment=0, 0, IF(AND($B701&lt;&gt;0,ExtraPayment&lt;=$B701),-ExtraPayment,-($F701)-$B701))</f>
        <v>0</v>
      </c>
      <c r="E701" s="5">
        <f>IF($B701 &lt;= 0, 0, -ROUND($B701 * (InterestRate / PaymentsPerYear), 2))</f>
        <v>0</v>
      </c>
      <c r="F701" s="5">
        <f>ROUND(IFERROR(IF(OR($B701 &lt;=0, $B701 = ExtraPayment),0,
MAX(-$B701, -(-PMT(InterestRate/PaymentsPerYear,LoanTerm*PaymentsPerYear,LoanAmount) + $E701))), 0), 2)</f>
        <v>0</v>
      </c>
      <c r="G701" s="5">
        <f t="shared" si="42"/>
        <v>0</v>
      </c>
      <c r="H701" s="5">
        <f t="shared" si="43"/>
        <v>0</v>
      </c>
    </row>
    <row r="702" spans="1:8" x14ac:dyDescent="0.2">
      <c r="A702" s="2">
        <v>701</v>
      </c>
      <c r="B702" s="5">
        <f t="shared" si="40"/>
        <v>0</v>
      </c>
      <c r="C702" s="5">
        <f t="shared" si="41"/>
        <v>0</v>
      </c>
      <c r="D702" s="5">
        <f>IF(ExtraPayment=0, 0, IF(AND($B702&lt;&gt;0,ExtraPayment&lt;=$B702),-ExtraPayment,-($F702)-$B702))</f>
        <v>0</v>
      </c>
      <c r="E702" s="5">
        <f>IF($B702 &lt;= 0, 0, -ROUND($B702 * (InterestRate / PaymentsPerYear), 2))</f>
        <v>0</v>
      </c>
      <c r="F702" s="5">
        <f>ROUND(IFERROR(IF(OR($B702 &lt;=0, $B702 = ExtraPayment),0,
MAX(-$B702, -(-PMT(InterestRate/PaymentsPerYear,LoanTerm*PaymentsPerYear,LoanAmount) + $E702))), 0), 2)</f>
        <v>0</v>
      </c>
      <c r="G702" s="5">
        <f t="shared" si="42"/>
        <v>0</v>
      </c>
      <c r="H702" s="5">
        <f t="shared" si="43"/>
        <v>0</v>
      </c>
    </row>
    <row r="703" spans="1:8" x14ac:dyDescent="0.2">
      <c r="A703" s="2">
        <v>702</v>
      </c>
      <c r="B703" s="5">
        <f t="shared" si="40"/>
        <v>0</v>
      </c>
      <c r="C703" s="5">
        <f t="shared" si="41"/>
        <v>0</v>
      </c>
      <c r="D703" s="5">
        <f>IF(ExtraPayment=0, 0, IF(AND($B703&lt;&gt;0,ExtraPayment&lt;=$B703),-ExtraPayment,-($F703)-$B703))</f>
        <v>0</v>
      </c>
      <c r="E703" s="5">
        <f>IF($B703 &lt;= 0, 0, -ROUND($B703 * (InterestRate / PaymentsPerYear), 2))</f>
        <v>0</v>
      </c>
      <c r="F703" s="5">
        <f>ROUND(IFERROR(IF(OR($B703 &lt;=0, $B703 = ExtraPayment),0,
MAX(-$B703, -(-PMT(InterestRate/PaymentsPerYear,LoanTerm*PaymentsPerYear,LoanAmount) + $E703))), 0), 2)</f>
        <v>0</v>
      </c>
      <c r="G703" s="5">
        <f t="shared" si="42"/>
        <v>0</v>
      </c>
      <c r="H703" s="5">
        <f t="shared" si="43"/>
        <v>0</v>
      </c>
    </row>
    <row r="704" spans="1:8" x14ac:dyDescent="0.2">
      <c r="A704" s="2">
        <v>703</v>
      </c>
      <c r="B704" s="5">
        <f t="shared" si="40"/>
        <v>0</v>
      </c>
      <c r="C704" s="5">
        <f t="shared" si="41"/>
        <v>0</v>
      </c>
      <c r="D704" s="5">
        <f>IF(ExtraPayment=0, 0, IF(AND($B704&lt;&gt;0,ExtraPayment&lt;=$B704),-ExtraPayment,-($F704)-$B704))</f>
        <v>0</v>
      </c>
      <c r="E704" s="5">
        <f>IF($B704 &lt;= 0, 0, -ROUND($B704 * (InterestRate / PaymentsPerYear), 2))</f>
        <v>0</v>
      </c>
      <c r="F704" s="5">
        <f>ROUND(IFERROR(IF(OR($B704 &lt;=0, $B704 = ExtraPayment),0,
MAX(-$B704, -(-PMT(InterestRate/PaymentsPerYear,LoanTerm*PaymentsPerYear,LoanAmount) + $E704))), 0), 2)</f>
        <v>0</v>
      </c>
      <c r="G704" s="5">
        <f t="shared" si="42"/>
        <v>0</v>
      </c>
      <c r="H704" s="5">
        <f t="shared" si="43"/>
        <v>0</v>
      </c>
    </row>
    <row r="705" spans="1:8" x14ac:dyDescent="0.2">
      <c r="A705" s="2">
        <v>704</v>
      </c>
      <c r="B705" s="5">
        <f t="shared" si="40"/>
        <v>0</v>
      </c>
      <c r="C705" s="5">
        <f t="shared" si="41"/>
        <v>0</v>
      </c>
      <c r="D705" s="5">
        <f>IF(ExtraPayment=0, 0, IF(AND($B705&lt;&gt;0,ExtraPayment&lt;=$B705),-ExtraPayment,-($F705)-$B705))</f>
        <v>0</v>
      </c>
      <c r="E705" s="5">
        <f>IF($B705 &lt;= 0, 0, -ROUND($B705 * (InterestRate / PaymentsPerYear), 2))</f>
        <v>0</v>
      </c>
      <c r="F705" s="5">
        <f>ROUND(IFERROR(IF(OR($B705 &lt;=0, $B705 = ExtraPayment),0,
MAX(-$B705, -(-PMT(InterestRate/PaymentsPerYear,LoanTerm*PaymentsPerYear,LoanAmount) + $E705))), 0), 2)</f>
        <v>0</v>
      </c>
      <c r="G705" s="5">
        <f t="shared" si="42"/>
        <v>0</v>
      </c>
      <c r="H705" s="5">
        <f t="shared" si="43"/>
        <v>0</v>
      </c>
    </row>
    <row r="706" spans="1:8" x14ac:dyDescent="0.2">
      <c r="A706" s="2">
        <v>705</v>
      </c>
      <c r="B706" s="5">
        <f t="shared" si="40"/>
        <v>0</v>
      </c>
      <c r="C706" s="5">
        <f t="shared" si="41"/>
        <v>0</v>
      </c>
      <c r="D706" s="5">
        <f>IF(ExtraPayment=0, 0, IF(AND($B706&lt;&gt;0,ExtraPayment&lt;=$B706),-ExtraPayment,-($F706)-$B706))</f>
        <v>0</v>
      </c>
      <c r="E706" s="5">
        <f>IF($B706 &lt;= 0, 0, -ROUND($B706 * (InterestRate / PaymentsPerYear), 2))</f>
        <v>0</v>
      </c>
      <c r="F706" s="5">
        <f>ROUND(IFERROR(IF(OR($B706 &lt;=0, $B706 = ExtraPayment),0,
MAX(-$B706, -(-PMT(InterestRate/PaymentsPerYear,LoanTerm*PaymentsPerYear,LoanAmount) + $E706))), 0), 2)</f>
        <v>0</v>
      </c>
      <c r="G706" s="5">
        <f t="shared" si="42"/>
        <v>0</v>
      </c>
      <c r="H706" s="5">
        <f t="shared" si="43"/>
        <v>0</v>
      </c>
    </row>
    <row r="707" spans="1:8" x14ac:dyDescent="0.2">
      <c r="A707" s="2">
        <v>706</v>
      </c>
      <c r="B707" s="5">
        <f t="shared" si="40"/>
        <v>0</v>
      </c>
      <c r="C707" s="5">
        <f t="shared" si="41"/>
        <v>0</v>
      </c>
      <c r="D707" s="5">
        <f>IF(ExtraPayment=0, 0, IF(AND($B707&lt;&gt;0,ExtraPayment&lt;=$B707),-ExtraPayment,-($F707)-$B707))</f>
        <v>0</v>
      </c>
      <c r="E707" s="5">
        <f>IF($B707 &lt;= 0, 0, -ROUND($B707 * (InterestRate / PaymentsPerYear), 2))</f>
        <v>0</v>
      </c>
      <c r="F707" s="5">
        <f>ROUND(IFERROR(IF(OR($B707 &lt;=0, $B707 = ExtraPayment),0,
MAX(-$B707, -(-PMT(InterestRate/PaymentsPerYear,LoanTerm*PaymentsPerYear,LoanAmount) + $E707))), 0), 2)</f>
        <v>0</v>
      </c>
      <c r="G707" s="5">
        <f t="shared" si="42"/>
        <v>0</v>
      </c>
      <c r="H707" s="5">
        <f t="shared" si="43"/>
        <v>0</v>
      </c>
    </row>
    <row r="708" spans="1:8" x14ac:dyDescent="0.2">
      <c r="A708" s="2">
        <v>707</v>
      </c>
      <c r="B708" s="5">
        <f t="shared" ref="B708:B771" si="44">ROUND(IF($H707 &gt;= 0, MAX($H707, $F707), 0), 2)</f>
        <v>0</v>
      </c>
      <c r="C708" s="5">
        <f t="shared" ref="C708:C771" si="45">IF($B708 &lt;= 0, 0, $D708+$E708+$F708)</f>
        <v>0</v>
      </c>
      <c r="D708" s="5">
        <f>IF(ExtraPayment=0, 0, IF(AND($B708&lt;&gt;0,ExtraPayment&lt;=$B708),-ExtraPayment,-($F708)-$B708))</f>
        <v>0</v>
      </c>
      <c r="E708" s="5">
        <f>IF($B708 &lt;= 0, 0, -ROUND($B708 * (InterestRate / PaymentsPerYear), 2))</f>
        <v>0</v>
      </c>
      <c r="F708" s="5">
        <f>ROUND(IFERROR(IF(OR($B708 &lt;=0, $B708 = ExtraPayment),0,
MAX(-$B708, -(-PMT(InterestRate/PaymentsPerYear,LoanTerm*PaymentsPerYear,LoanAmount) + $E708))), 0), 2)</f>
        <v>0</v>
      </c>
      <c r="G708" s="5">
        <f t="shared" ref="G708:G771" si="46">$D708+$F708</f>
        <v>0</v>
      </c>
      <c r="H708" s="5">
        <f t="shared" ref="H708:H771" si="47">ROUND(IF($B708 &lt;= 0, 0,MAX(0, $B708 + $G708)), 2)</f>
        <v>0</v>
      </c>
    </row>
    <row r="709" spans="1:8" x14ac:dyDescent="0.2">
      <c r="A709" s="2">
        <v>708</v>
      </c>
      <c r="B709" s="5">
        <f t="shared" si="44"/>
        <v>0</v>
      </c>
      <c r="C709" s="5">
        <f t="shared" si="45"/>
        <v>0</v>
      </c>
      <c r="D709" s="5">
        <f>IF(ExtraPayment=0, 0, IF(AND($B709&lt;&gt;0,ExtraPayment&lt;=$B709),-ExtraPayment,-($F709)-$B709))</f>
        <v>0</v>
      </c>
      <c r="E709" s="5">
        <f>IF($B709 &lt;= 0, 0, -ROUND($B709 * (InterestRate / PaymentsPerYear), 2))</f>
        <v>0</v>
      </c>
      <c r="F709" s="5">
        <f>ROUND(IFERROR(IF(OR($B709 &lt;=0, $B709 = ExtraPayment),0,
MAX(-$B709, -(-PMT(InterestRate/PaymentsPerYear,LoanTerm*PaymentsPerYear,LoanAmount) + $E709))), 0), 2)</f>
        <v>0</v>
      </c>
      <c r="G709" s="5">
        <f t="shared" si="46"/>
        <v>0</v>
      </c>
      <c r="H709" s="5">
        <f t="shared" si="47"/>
        <v>0</v>
      </c>
    </row>
    <row r="710" spans="1:8" x14ac:dyDescent="0.2">
      <c r="A710" s="2">
        <v>709</v>
      </c>
      <c r="B710" s="5">
        <f t="shared" si="44"/>
        <v>0</v>
      </c>
      <c r="C710" s="5">
        <f t="shared" si="45"/>
        <v>0</v>
      </c>
      <c r="D710" s="5">
        <f>IF(ExtraPayment=0, 0, IF(AND($B710&lt;&gt;0,ExtraPayment&lt;=$B710),-ExtraPayment,-($F710)-$B710))</f>
        <v>0</v>
      </c>
      <c r="E710" s="5">
        <f>IF($B710 &lt;= 0, 0, -ROUND($B710 * (InterestRate / PaymentsPerYear), 2))</f>
        <v>0</v>
      </c>
      <c r="F710" s="5">
        <f>ROUND(IFERROR(IF(OR($B710 &lt;=0, $B710 = ExtraPayment),0,
MAX(-$B710, -(-PMT(InterestRate/PaymentsPerYear,LoanTerm*PaymentsPerYear,LoanAmount) + $E710))), 0), 2)</f>
        <v>0</v>
      </c>
      <c r="G710" s="5">
        <f t="shared" si="46"/>
        <v>0</v>
      </c>
      <c r="H710" s="5">
        <f t="shared" si="47"/>
        <v>0</v>
      </c>
    </row>
    <row r="711" spans="1:8" x14ac:dyDescent="0.2">
      <c r="A711" s="2">
        <v>710</v>
      </c>
      <c r="B711" s="5">
        <f t="shared" si="44"/>
        <v>0</v>
      </c>
      <c r="C711" s="5">
        <f t="shared" si="45"/>
        <v>0</v>
      </c>
      <c r="D711" s="5">
        <f>IF(ExtraPayment=0, 0, IF(AND($B711&lt;&gt;0,ExtraPayment&lt;=$B711),-ExtraPayment,-($F711)-$B711))</f>
        <v>0</v>
      </c>
      <c r="E711" s="5">
        <f>IF($B711 &lt;= 0, 0, -ROUND($B711 * (InterestRate / PaymentsPerYear), 2))</f>
        <v>0</v>
      </c>
      <c r="F711" s="5">
        <f>ROUND(IFERROR(IF(OR($B711 &lt;=0, $B711 = ExtraPayment),0,
MAX(-$B711, -(-PMT(InterestRate/PaymentsPerYear,LoanTerm*PaymentsPerYear,LoanAmount) + $E711))), 0), 2)</f>
        <v>0</v>
      </c>
      <c r="G711" s="5">
        <f t="shared" si="46"/>
        <v>0</v>
      </c>
      <c r="H711" s="5">
        <f t="shared" si="47"/>
        <v>0</v>
      </c>
    </row>
    <row r="712" spans="1:8" x14ac:dyDescent="0.2">
      <c r="A712" s="2">
        <v>711</v>
      </c>
      <c r="B712" s="5">
        <f t="shared" si="44"/>
        <v>0</v>
      </c>
      <c r="C712" s="5">
        <f t="shared" si="45"/>
        <v>0</v>
      </c>
      <c r="D712" s="5">
        <f>IF(ExtraPayment=0, 0, IF(AND($B712&lt;&gt;0,ExtraPayment&lt;=$B712),-ExtraPayment,-($F712)-$B712))</f>
        <v>0</v>
      </c>
      <c r="E712" s="5">
        <f>IF($B712 &lt;= 0, 0, -ROUND($B712 * (InterestRate / PaymentsPerYear), 2))</f>
        <v>0</v>
      </c>
      <c r="F712" s="5">
        <f>ROUND(IFERROR(IF(OR($B712 &lt;=0, $B712 = ExtraPayment),0,
MAX(-$B712, -(-PMT(InterestRate/PaymentsPerYear,LoanTerm*PaymentsPerYear,LoanAmount) + $E712))), 0), 2)</f>
        <v>0</v>
      </c>
      <c r="G712" s="5">
        <f t="shared" si="46"/>
        <v>0</v>
      </c>
      <c r="H712" s="5">
        <f t="shared" si="47"/>
        <v>0</v>
      </c>
    </row>
    <row r="713" spans="1:8" x14ac:dyDescent="0.2">
      <c r="A713" s="2">
        <v>712</v>
      </c>
      <c r="B713" s="5">
        <f t="shared" si="44"/>
        <v>0</v>
      </c>
      <c r="C713" s="5">
        <f t="shared" si="45"/>
        <v>0</v>
      </c>
      <c r="D713" s="5">
        <f>IF(ExtraPayment=0, 0, IF(AND($B713&lt;&gt;0,ExtraPayment&lt;=$B713),-ExtraPayment,-($F713)-$B713))</f>
        <v>0</v>
      </c>
      <c r="E713" s="5">
        <f>IF($B713 &lt;= 0, 0, -ROUND($B713 * (InterestRate / PaymentsPerYear), 2))</f>
        <v>0</v>
      </c>
      <c r="F713" s="5">
        <f>ROUND(IFERROR(IF(OR($B713 &lt;=0, $B713 = ExtraPayment),0,
MAX(-$B713, -(-PMT(InterestRate/PaymentsPerYear,LoanTerm*PaymentsPerYear,LoanAmount) + $E713))), 0), 2)</f>
        <v>0</v>
      </c>
      <c r="G713" s="5">
        <f t="shared" si="46"/>
        <v>0</v>
      </c>
      <c r="H713" s="5">
        <f t="shared" si="47"/>
        <v>0</v>
      </c>
    </row>
    <row r="714" spans="1:8" x14ac:dyDescent="0.2">
      <c r="A714" s="2">
        <v>713</v>
      </c>
      <c r="B714" s="5">
        <f t="shared" si="44"/>
        <v>0</v>
      </c>
      <c r="C714" s="5">
        <f t="shared" si="45"/>
        <v>0</v>
      </c>
      <c r="D714" s="5">
        <f>IF(ExtraPayment=0, 0, IF(AND($B714&lt;&gt;0,ExtraPayment&lt;=$B714),-ExtraPayment,-($F714)-$B714))</f>
        <v>0</v>
      </c>
      <c r="E714" s="5">
        <f>IF($B714 &lt;= 0, 0, -ROUND($B714 * (InterestRate / PaymentsPerYear), 2))</f>
        <v>0</v>
      </c>
      <c r="F714" s="5">
        <f>ROUND(IFERROR(IF(OR($B714 &lt;=0, $B714 = ExtraPayment),0,
MAX(-$B714, -(-PMT(InterestRate/PaymentsPerYear,LoanTerm*PaymentsPerYear,LoanAmount) + $E714))), 0), 2)</f>
        <v>0</v>
      </c>
      <c r="G714" s="5">
        <f t="shared" si="46"/>
        <v>0</v>
      </c>
      <c r="H714" s="5">
        <f t="shared" si="47"/>
        <v>0</v>
      </c>
    </row>
    <row r="715" spans="1:8" x14ac:dyDescent="0.2">
      <c r="A715" s="2">
        <v>714</v>
      </c>
      <c r="B715" s="5">
        <f t="shared" si="44"/>
        <v>0</v>
      </c>
      <c r="C715" s="5">
        <f t="shared" si="45"/>
        <v>0</v>
      </c>
      <c r="D715" s="5">
        <f>IF(ExtraPayment=0, 0, IF(AND($B715&lt;&gt;0,ExtraPayment&lt;=$B715),-ExtraPayment,-($F715)-$B715))</f>
        <v>0</v>
      </c>
      <c r="E715" s="5">
        <f>IF($B715 &lt;= 0, 0, -ROUND($B715 * (InterestRate / PaymentsPerYear), 2))</f>
        <v>0</v>
      </c>
      <c r="F715" s="5">
        <f>ROUND(IFERROR(IF(OR($B715 &lt;=0, $B715 = ExtraPayment),0,
MAX(-$B715, -(-PMT(InterestRate/PaymentsPerYear,LoanTerm*PaymentsPerYear,LoanAmount) + $E715))), 0), 2)</f>
        <v>0</v>
      </c>
      <c r="G715" s="5">
        <f t="shared" si="46"/>
        <v>0</v>
      </c>
      <c r="H715" s="5">
        <f t="shared" si="47"/>
        <v>0</v>
      </c>
    </row>
    <row r="716" spans="1:8" x14ac:dyDescent="0.2">
      <c r="A716" s="2">
        <v>715</v>
      </c>
      <c r="B716" s="5">
        <f t="shared" si="44"/>
        <v>0</v>
      </c>
      <c r="C716" s="5">
        <f t="shared" si="45"/>
        <v>0</v>
      </c>
      <c r="D716" s="5">
        <f>IF(ExtraPayment=0, 0, IF(AND($B716&lt;&gt;0,ExtraPayment&lt;=$B716),-ExtraPayment,-($F716)-$B716))</f>
        <v>0</v>
      </c>
      <c r="E716" s="5">
        <f>IF($B716 &lt;= 0, 0, -ROUND($B716 * (InterestRate / PaymentsPerYear), 2))</f>
        <v>0</v>
      </c>
      <c r="F716" s="5">
        <f>ROUND(IFERROR(IF(OR($B716 &lt;=0, $B716 = ExtraPayment),0,
MAX(-$B716, -(-PMT(InterestRate/PaymentsPerYear,LoanTerm*PaymentsPerYear,LoanAmount) + $E716))), 0), 2)</f>
        <v>0</v>
      </c>
      <c r="G716" s="5">
        <f t="shared" si="46"/>
        <v>0</v>
      </c>
      <c r="H716" s="5">
        <f t="shared" si="47"/>
        <v>0</v>
      </c>
    </row>
    <row r="717" spans="1:8" x14ac:dyDescent="0.2">
      <c r="A717" s="2">
        <v>716</v>
      </c>
      <c r="B717" s="5">
        <f t="shared" si="44"/>
        <v>0</v>
      </c>
      <c r="C717" s="5">
        <f t="shared" si="45"/>
        <v>0</v>
      </c>
      <c r="D717" s="5">
        <f>IF(ExtraPayment=0, 0, IF(AND($B717&lt;&gt;0,ExtraPayment&lt;=$B717),-ExtraPayment,-($F717)-$B717))</f>
        <v>0</v>
      </c>
      <c r="E717" s="5">
        <f>IF($B717 &lt;= 0, 0, -ROUND($B717 * (InterestRate / PaymentsPerYear), 2))</f>
        <v>0</v>
      </c>
      <c r="F717" s="5">
        <f>ROUND(IFERROR(IF(OR($B717 &lt;=0, $B717 = ExtraPayment),0,
MAX(-$B717, -(-PMT(InterestRate/PaymentsPerYear,LoanTerm*PaymentsPerYear,LoanAmount) + $E717))), 0), 2)</f>
        <v>0</v>
      </c>
      <c r="G717" s="5">
        <f t="shared" si="46"/>
        <v>0</v>
      </c>
      <c r="H717" s="5">
        <f t="shared" si="47"/>
        <v>0</v>
      </c>
    </row>
    <row r="718" spans="1:8" x14ac:dyDescent="0.2">
      <c r="A718" s="2">
        <v>717</v>
      </c>
      <c r="B718" s="5">
        <f t="shared" si="44"/>
        <v>0</v>
      </c>
      <c r="C718" s="5">
        <f t="shared" si="45"/>
        <v>0</v>
      </c>
      <c r="D718" s="5">
        <f>IF(ExtraPayment=0, 0, IF(AND($B718&lt;&gt;0,ExtraPayment&lt;=$B718),-ExtraPayment,-($F718)-$B718))</f>
        <v>0</v>
      </c>
      <c r="E718" s="5">
        <f>IF($B718 &lt;= 0, 0, -ROUND($B718 * (InterestRate / PaymentsPerYear), 2))</f>
        <v>0</v>
      </c>
      <c r="F718" s="5">
        <f>ROUND(IFERROR(IF(OR($B718 &lt;=0, $B718 = ExtraPayment),0,
MAX(-$B718, -(-PMT(InterestRate/PaymentsPerYear,LoanTerm*PaymentsPerYear,LoanAmount) + $E718))), 0), 2)</f>
        <v>0</v>
      </c>
      <c r="G718" s="5">
        <f t="shared" si="46"/>
        <v>0</v>
      </c>
      <c r="H718" s="5">
        <f t="shared" si="47"/>
        <v>0</v>
      </c>
    </row>
    <row r="719" spans="1:8" x14ac:dyDescent="0.2">
      <c r="A719" s="2">
        <v>718</v>
      </c>
      <c r="B719" s="5">
        <f t="shared" si="44"/>
        <v>0</v>
      </c>
      <c r="C719" s="5">
        <f t="shared" si="45"/>
        <v>0</v>
      </c>
      <c r="D719" s="5">
        <f>IF(ExtraPayment=0, 0, IF(AND($B719&lt;&gt;0,ExtraPayment&lt;=$B719),-ExtraPayment,-($F719)-$B719))</f>
        <v>0</v>
      </c>
      <c r="E719" s="5">
        <f>IF($B719 &lt;= 0, 0, -ROUND($B719 * (InterestRate / PaymentsPerYear), 2))</f>
        <v>0</v>
      </c>
      <c r="F719" s="5">
        <f>ROUND(IFERROR(IF(OR($B719 &lt;=0, $B719 = ExtraPayment),0,
MAX(-$B719, -(-PMT(InterestRate/PaymentsPerYear,LoanTerm*PaymentsPerYear,LoanAmount) + $E719))), 0), 2)</f>
        <v>0</v>
      </c>
      <c r="G719" s="5">
        <f t="shared" si="46"/>
        <v>0</v>
      </c>
      <c r="H719" s="5">
        <f t="shared" si="47"/>
        <v>0</v>
      </c>
    </row>
    <row r="720" spans="1:8" x14ac:dyDescent="0.2">
      <c r="A720" s="2">
        <v>719</v>
      </c>
      <c r="B720" s="5">
        <f t="shared" si="44"/>
        <v>0</v>
      </c>
      <c r="C720" s="5">
        <f t="shared" si="45"/>
        <v>0</v>
      </c>
      <c r="D720" s="5">
        <f>IF(ExtraPayment=0, 0, IF(AND($B720&lt;&gt;0,ExtraPayment&lt;=$B720),-ExtraPayment,-($F720)-$B720))</f>
        <v>0</v>
      </c>
      <c r="E720" s="5">
        <f>IF($B720 &lt;= 0, 0, -ROUND($B720 * (InterestRate / PaymentsPerYear), 2))</f>
        <v>0</v>
      </c>
      <c r="F720" s="5">
        <f>ROUND(IFERROR(IF(OR($B720 &lt;=0, $B720 = ExtraPayment),0,
MAX(-$B720, -(-PMT(InterestRate/PaymentsPerYear,LoanTerm*PaymentsPerYear,LoanAmount) + $E720))), 0), 2)</f>
        <v>0</v>
      </c>
      <c r="G720" s="5">
        <f t="shared" si="46"/>
        <v>0</v>
      </c>
      <c r="H720" s="5">
        <f t="shared" si="47"/>
        <v>0</v>
      </c>
    </row>
    <row r="721" spans="1:8" x14ac:dyDescent="0.2">
      <c r="A721" s="2">
        <v>720</v>
      </c>
      <c r="B721" s="5">
        <f t="shared" si="44"/>
        <v>0</v>
      </c>
      <c r="C721" s="5">
        <f t="shared" si="45"/>
        <v>0</v>
      </c>
      <c r="D721" s="5">
        <f>IF(ExtraPayment=0, 0, IF(AND($B721&lt;&gt;0,ExtraPayment&lt;=$B721),-ExtraPayment,-($F721)-$B721))</f>
        <v>0</v>
      </c>
      <c r="E721" s="5">
        <f>IF($B721 &lt;= 0, 0, -ROUND($B721 * (InterestRate / PaymentsPerYear), 2))</f>
        <v>0</v>
      </c>
      <c r="F721" s="5">
        <f>ROUND(IFERROR(IF(OR($B721 &lt;=0, $B721 = ExtraPayment),0,
MAX(-$B721, -(-PMT(InterestRate/PaymentsPerYear,LoanTerm*PaymentsPerYear,LoanAmount) + $E721))), 0), 2)</f>
        <v>0</v>
      </c>
      <c r="G721" s="5">
        <f t="shared" si="46"/>
        <v>0</v>
      </c>
      <c r="H721" s="5">
        <f t="shared" si="47"/>
        <v>0</v>
      </c>
    </row>
    <row r="722" spans="1:8" x14ac:dyDescent="0.2">
      <c r="A722" s="2">
        <v>721</v>
      </c>
      <c r="B722" s="5">
        <f t="shared" si="44"/>
        <v>0</v>
      </c>
      <c r="C722" s="5">
        <f t="shared" si="45"/>
        <v>0</v>
      </c>
      <c r="D722" s="5">
        <f>IF(ExtraPayment=0, 0, IF(AND($B722&lt;&gt;0,ExtraPayment&lt;=$B722),-ExtraPayment,-($F722)-$B722))</f>
        <v>0</v>
      </c>
      <c r="E722" s="5">
        <f>IF($B722 &lt;= 0, 0, -ROUND($B722 * (InterestRate / PaymentsPerYear), 2))</f>
        <v>0</v>
      </c>
      <c r="F722" s="5">
        <f>ROUND(IFERROR(IF(OR($B722 &lt;=0, $B722 = ExtraPayment),0,
MAX(-$B722, -(-PMT(InterestRate/PaymentsPerYear,LoanTerm*PaymentsPerYear,LoanAmount) + $E722))), 0), 2)</f>
        <v>0</v>
      </c>
      <c r="G722" s="5">
        <f t="shared" si="46"/>
        <v>0</v>
      </c>
      <c r="H722" s="5">
        <f t="shared" si="47"/>
        <v>0</v>
      </c>
    </row>
    <row r="723" spans="1:8" x14ac:dyDescent="0.2">
      <c r="A723" s="2">
        <v>722</v>
      </c>
      <c r="B723" s="5">
        <f t="shared" si="44"/>
        <v>0</v>
      </c>
      <c r="C723" s="5">
        <f t="shared" si="45"/>
        <v>0</v>
      </c>
      <c r="D723" s="5">
        <f>IF(ExtraPayment=0, 0, IF(AND($B723&lt;&gt;0,ExtraPayment&lt;=$B723),-ExtraPayment,-($F723)-$B723))</f>
        <v>0</v>
      </c>
      <c r="E723" s="5">
        <f>IF($B723 &lt;= 0, 0, -ROUND($B723 * (InterestRate / PaymentsPerYear), 2))</f>
        <v>0</v>
      </c>
      <c r="F723" s="5">
        <f>ROUND(IFERROR(IF(OR($B723 &lt;=0, $B723 = ExtraPayment),0,
MAX(-$B723, -(-PMT(InterestRate/PaymentsPerYear,LoanTerm*PaymentsPerYear,LoanAmount) + $E723))), 0), 2)</f>
        <v>0</v>
      </c>
      <c r="G723" s="5">
        <f t="shared" si="46"/>
        <v>0</v>
      </c>
      <c r="H723" s="5">
        <f t="shared" si="47"/>
        <v>0</v>
      </c>
    </row>
    <row r="724" spans="1:8" x14ac:dyDescent="0.2">
      <c r="A724" s="2">
        <v>723</v>
      </c>
      <c r="B724" s="5">
        <f t="shared" si="44"/>
        <v>0</v>
      </c>
      <c r="C724" s="5">
        <f t="shared" si="45"/>
        <v>0</v>
      </c>
      <c r="D724" s="5">
        <f>IF(ExtraPayment=0, 0, IF(AND($B724&lt;&gt;0,ExtraPayment&lt;=$B724),-ExtraPayment,-($F724)-$B724))</f>
        <v>0</v>
      </c>
      <c r="E724" s="5">
        <f>IF($B724 &lt;= 0, 0, -ROUND($B724 * (InterestRate / PaymentsPerYear), 2))</f>
        <v>0</v>
      </c>
      <c r="F724" s="5">
        <f>ROUND(IFERROR(IF(OR($B724 &lt;=0, $B724 = ExtraPayment),0,
MAX(-$B724, -(-PMT(InterestRate/PaymentsPerYear,LoanTerm*PaymentsPerYear,LoanAmount) + $E724))), 0), 2)</f>
        <v>0</v>
      </c>
      <c r="G724" s="5">
        <f t="shared" si="46"/>
        <v>0</v>
      </c>
      <c r="H724" s="5">
        <f t="shared" si="47"/>
        <v>0</v>
      </c>
    </row>
    <row r="725" spans="1:8" x14ac:dyDescent="0.2">
      <c r="A725" s="2">
        <v>724</v>
      </c>
      <c r="B725" s="5">
        <f t="shared" si="44"/>
        <v>0</v>
      </c>
      <c r="C725" s="5">
        <f t="shared" si="45"/>
        <v>0</v>
      </c>
      <c r="D725" s="5">
        <f>IF(ExtraPayment=0, 0, IF(AND($B725&lt;&gt;0,ExtraPayment&lt;=$B725),-ExtraPayment,-($F725)-$B725))</f>
        <v>0</v>
      </c>
      <c r="E725" s="5">
        <f>IF($B725 &lt;= 0, 0, -ROUND($B725 * (InterestRate / PaymentsPerYear), 2))</f>
        <v>0</v>
      </c>
      <c r="F725" s="5">
        <f>ROUND(IFERROR(IF(OR($B725 &lt;=0, $B725 = ExtraPayment),0,
MAX(-$B725, -(-PMT(InterestRate/PaymentsPerYear,LoanTerm*PaymentsPerYear,LoanAmount) + $E725))), 0), 2)</f>
        <v>0</v>
      </c>
      <c r="G725" s="5">
        <f t="shared" si="46"/>
        <v>0</v>
      </c>
      <c r="H725" s="5">
        <f t="shared" si="47"/>
        <v>0</v>
      </c>
    </row>
    <row r="726" spans="1:8" x14ac:dyDescent="0.2">
      <c r="A726" s="2">
        <v>725</v>
      </c>
      <c r="B726" s="5">
        <f t="shared" si="44"/>
        <v>0</v>
      </c>
      <c r="C726" s="5">
        <f t="shared" si="45"/>
        <v>0</v>
      </c>
      <c r="D726" s="5">
        <f>IF(ExtraPayment=0, 0, IF(AND($B726&lt;&gt;0,ExtraPayment&lt;=$B726),-ExtraPayment,-($F726)-$B726))</f>
        <v>0</v>
      </c>
      <c r="E726" s="5">
        <f>IF($B726 &lt;= 0, 0, -ROUND($B726 * (InterestRate / PaymentsPerYear), 2))</f>
        <v>0</v>
      </c>
      <c r="F726" s="5">
        <f>ROUND(IFERROR(IF(OR($B726 &lt;=0, $B726 = ExtraPayment),0,
MAX(-$B726, -(-PMT(InterestRate/PaymentsPerYear,LoanTerm*PaymentsPerYear,LoanAmount) + $E726))), 0), 2)</f>
        <v>0</v>
      </c>
      <c r="G726" s="5">
        <f t="shared" si="46"/>
        <v>0</v>
      </c>
      <c r="H726" s="5">
        <f t="shared" si="47"/>
        <v>0</v>
      </c>
    </row>
    <row r="727" spans="1:8" x14ac:dyDescent="0.2">
      <c r="A727" s="2">
        <v>726</v>
      </c>
      <c r="B727" s="5">
        <f t="shared" si="44"/>
        <v>0</v>
      </c>
      <c r="C727" s="5">
        <f t="shared" si="45"/>
        <v>0</v>
      </c>
      <c r="D727" s="5">
        <f>IF(ExtraPayment=0, 0, IF(AND($B727&lt;&gt;0,ExtraPayment&lt;=$B727),-ExtraPayment,-($F727)-$B727))</f>
        <v>0</v>
      </c>
      <c r="E727" s="5">
        <f>IF($B727 &lt;= 0, 0, -ROUND($B727 * (InterestRate / PaymentsPerYear), 2))</f>
        <v>0</v>
      </c>
      <c r="F727" s="5">
        <f>ROUND(IFERROR(IF(OR($B727 &lt;=0, $B727 = ExtraPayment),0,
MAX(-$B727, -(-PMT(InterestRate/PaymentsPerYear,LoanTerm*PaymentsPerYear,LoanAmount) + $E727))), 0), 2)</f>
        <v>0</v>
      </c>
      <c r="G727" s="5">
        <f t="shared" si="46"/>
        <v>0</v>
      </c>
      <c r="H727" s="5">
        <f t="shared" si="47"/>
        <v>0</v>
      </c>
    </row>
    <row r="728" spans="1:8" x14ac:dyDescent="0.2">
      <c r="A728" s="2">
        <v>727</v>
      </c>
      <c r="B728" s="5">
        <f t="shared" si="44"/>
        <v>0</v>
      </c>
      <c r="C728" s="5">
        <f t="shared" si="45"/>
        <v>0</v>
      </c>
      <c r="D728" s="5">
        <f>IF(ExtraPayment=0, 0, IF(AND($B728&lt;&gt;0,ExtraPayment&lt;=$B728),-ExtraPayment,-($F728)-$B728))</f>
        <v>0</v>
      </c>
      <c r="E728" s="5">
        <f>IF($B728 &lt;= 0, 0, -ROUND($B728 * (InterestRate / PaymentsPerYear), 2))</f>
        <v>0</v>
      </c>
      <c r="F728" s="5">
        <f>ROUND(IFERROR(IF(OR($B728 &lt;=0, $B728 = ExtraPayment),0,
MAX(-$B728, -(-PMT(InterestRate/PaymentsPerYear,LoanTerm*PaymentsPerYear,LoanAmount) + $E728))), 0), 2)</f>
        <v>0</v>
      </c>
      <c r="G728" s="5">
        <f t="shared" si="46"/>
        <v>0</v>
      </c>
      <c r="H728" s="5">
        <f t="shared" si="47"/>
        <v>0</v>
      </c>
    </row>
    <row r="729" spans="1:8" x14ac:dyDescent="0.2">
      <c r="A729" s="2">
        <v>728</v>
      </c>
      <c r="B729" s="5">
        <f t="shared" si="44"/>
        <v>0</v>
      </c>
      <c r="C729" s="5">
        <f t="shared" si="45"/>
        <v>0</v>
      </c>
      <c r="D729" s="5">
        <f>IF(ExtraPayment=0, 0, IF(AND($B729&lt;&gt;0,ExtraPayment&lt;=$B729),-ExtraPayment,-($F729)-$B729))</f>
        <v>0</v>
      </c>
      <c r="E729" s="5">
        <f>IF($B729 &lt;= 0, 0, -ROUND($B729 * (InterestRate / PaymentsPerYear), 2))</f>
        <v>0</v>
      </c>
      <c r="F729" s="5">
        <f>ROUND(IFERROR(IF(OR($B729 &lt;=0, $B729 = ExtraPayment),0,
MAX(-$B729, -(-PMT(InterestRate/PaymentsPerYear,LoanTerm*PaymentsPerYear,LoanAmount) + $E729))), 0), 2)</f>
        <v>0</v>
      </c>
      <c r="G729" s="5">
        <f t="shared" si="46"/>
        <v>0</v>
      </c>
      <c r="H729" s="5">
        <f t="shared" si="47"/>
        <v>0</v>
      </c>
    </row>
    <row r="730" spans="1:8" x14ac:dyDescent="0.2">
      <c r="A730" s="2">
        <v>729</v>
      </c>
      <c r="B730" s="5">
        <f t="shared" si="44"/>
        <v>0</v>
      </c>
      <c r="C730" s="5">
        <f t="shared" si="45"/>
        <v>0</v>
      </c>
      <c r="D730" s="5">
        <f>IF(ExtraPayment=0, 0, IF(AND($B730&lt;&gt;0,ExtraPayment&lt;=$B730),-ExtraPayment,-($F730)-$B730))</f>
        <v>0</v>
      </c>
      <c r="E730" s="5">
        <f>IF($B730 &lt;= 0, 0, -ROUND($B730 * (InterestRate / PaymentsPerYear), 2))</f>
        <v>0</v>
      </c>
      <c r="F730" s="5">
        <f>ROUND(IFERROR(IF(OR($B730 &lt;=0, $B730 = ExtraPayment),0,
MAX(-$B730, -(-PMT(InterestRate/PaymentsPerYear,LoanTerm*PaymentsPerYear,LoanAmount) + $E730))), 0), 2)</f>
        <v>0</v>
      </c>
      <c r="G730" s="5">
        <f t="shared" si="46"/>
        <v>0</v>
      </c>
      <c r="H730" s="5">
        <f t="shared" si="47"/>
        <v>0</v>
      </c>
    </row>
    <row r="731" spans="1:8" x14ac:dyDescent="0.2">
      <c r="A731" s="2">
        <v>730</v>
      </c>
      <c r="B731" s="5">
        <f t="shared" si="44"/>
        <v>0</v>
      </c>
      <c r="C731" s="5">
        <f t="shared" si="45"/>
        <v>0</v>
      </c>
      <c r="D731" s="5">
        <f>IF(ExtraPayment=0, 0, IF(AND($B731&lt;&gt;0,ExtraPayment&lt;=$B731),-ExtraPayment,-($F731)-$B731))</f>
        <v>0</v>
      </c>
      <c r="E731" s="5">
        <f>IF($B731 &lt;= 0, 0, -ROUND($B731 * (InterestRate / PaymentsPerYear), 2))</f>
        <v>0</v>
      </c>
      <c r="F731" s="5">
        <f>ROUND(IFERROR(IF(OR($B731 &lt;=0, $B731 = ExtraPayment),0,
MAX(-$B731, -(-PMT(InterestRate/PaymentsPerYear,LoanTerm*PaymentsPerYear,LoanAmount) + $E731))), 0), 2)</f>
        <v>0</v>
      </c>
      <c r="G731" s="5">
        <f t="shared" si="46"/>
        <v>0</v>
      </c>
      <c r="H731" s="5">
        <f t="shared" si="47"/>
        <v>0</v>
      </c>
    </row>
    <row r="732" spans="1:8" x14ac:dyDescent="0.2">
      <c r="A732" s="2">
        <v>731</v>
      </c>
      <c r="B732" s="5">
        <f t="shared" si="44"/>
        <v>0</v>
      </c>
      <c r="C732" s="5">
        <f t="shared" si="45"/>
        <v>0</v>
      </c>
      <c r="D732" s="5">
        <f>IF(ExtraPayment=0, 0, IF(AND($B732&lt;&gt;0,ExtraPayment&lt;=$B732),-ExtraPayment,-($F732)-$B732))</f>
        <v>0</v>
      </c>
      <c r="E732" s="5">
        <f>IF($B732 &lt;= 0, 0, -ROUND($B732 * (InterestRate / PaymentsPerYear), 2))</f>
        <v>0</v>
      </c>
      <c r="F732" s="5">
        <f>ROUND(IFERROR(IF(OR($B732 &lt;=0, $B732 = ExtraPayment),0,
MAX(-$B732, -(-PMT(InterestRate/PaymentsPerYear,LoanTerm*PaymentsPerYear,LoanAmount) + $E732))), 0), 2)</f>
        <v>0</v>
      </c>
      <c r="G732" s="5">
        <f t="shared" si="46"/>
        <v>0</v>
      </c>
      <c r="H732" s="5">
        <f t="shared" si="47"/>
        <v>0</v>
      </c>
    </row>
    <row r="733" spans="1:8" x14ac:dyDescent="0.2">
      <c r="A733" s="2">
        <v>732</v>
      </c>
      <c r="B733" s="5">
        <f t="shared" si="44"/>
        <v>0</v>
      </c>
      <c r="C733" s="5">
        <f t="shared" si="45"/>
        <v>0</v>
      </c>
      <c r="D733" s="5">
        <f>IF(ExtraPayment=0, 0, IF(AND($B733&lt;&gt;0,ExtraPayment&lt;=$B733),-ExtraPayment,-($F733)-$B733))</f>
        <v>0</v>
      </c>
      <c r="E733" s="5">
        <f>IF($B733 &lt;= 0, 0, -ROUND($B733 * (InterestRate / PaymentsPerYear), 2))</f>
        <v>0</v>
      </c>
      <c r="F733" s="5">
        <f>ROUND(IFERROR(IF(OR($B733 &lt;=0, $B733 = ExtraPayment),0,
MAX(-$B733, -(-PMT(InterestRate/PaymentsPerYear,LoanTerm*PaymentsPerYear,LoanAmount) + $E733))), 0), 2)</f>
        <v>0</v>
      </c>
      <c r="G733" s="5">
        <f t="shared" si="46"/>
        <v>0</v>
      </c>
      <c r="H733" s="5">
        <f t="shared" si="47"/>
        <v>0</v>
      </c>
    </row>
    <row r="734" spans="1:8" x14ac:dyDescent="0.2">
      <c r="A734" s="2">
        <v>733</v>
      </c>
      <c r="B734" s="5">
        <f t="shared" si="44"/>
        <v>0</v>
      </c>
      <c r="C734" s="5">
        <f t="shared" si="45"/>
        <v>0</v>
      </c>
      <c r="D734" s="5">
        <f>IF(ExtraPayment=0, 0, IF(AND($B734&lt;&gt;0,ExtraPayment&lt;=$B734),-ExtraPayment,-($F734)-$B734))</f>
        <v>0</v>
      </c>
      <c r="E734" s="5">
        <f>IF($B734 &lt;= 0, 0, -ROUND($B734 * (InterestRate / PaymentsPerYear), 2))</f>
        <v>0</v>
      </c>
      <c r="F734" s="5">
        <f>ROUND(IFERROR(IF(OR($B734 &lt;=0, $B734 = ExtraPayment),0,
MAX(-$B734, -(-PMT(InterestRate/PaymentsPerYear,LoanTerm*PaymentsPerYear,LoanAmount) + $E734))), 0), 2)</f>
        <v>0</v>
      </c>
      <c r="G734" s="5">
        <f t="shared" si="46"/>
        <v>0</v>
      </c>
      <c r="H734" s="5">
        <f t="shared" si="47"/>
        <v>0</v>
      </c>
    </row>
    <row r="735" spans="1:8" x14ac:dyDescent="0.2">
      <c r="A735" s="2">
        <v>734</v>
      </c>
      <c r="B735" s="5">
        <f t="shared" si="44"/>
        <v>0</v>
      </c>
      <c r="C735" s="5">
        <f t="shared" si="45"/>
        <v>0</v>
      </c>
      <c r="D735" s="5">
        <f>IF(ExtraPayment=0, 0, IF(AND($B735&lt;&gt;0,ExtraPayment&lt;=$B735),-ExtraPayment,-($F735)-$B735))</f>
        <v>0</v>
      </c>
      <c r="E735" s="5">
        <f>IF($B735 &lt;= 0, 0, -ROUND($B735 * (InterestRate / PaymentsPerYear), 2))</f>
        <v>0</v>
      </c>
      <c r="F735" s="5">
        <f>ROUND(IFERROR(IF(OR($B735 &lt;=0, $B735 = ExtraPayment),0,
MAX(-$B735, -(-PMT(InterestRate/PaymentsPerYear,LoanTerm*PaymentsPerYear,LoanAmount) + $E735))), 0), 2)</f>
        <v>0</v>
      </c>
      <c r="G735" s="5">
        <f t="shared" si="46"/>
        <v>0</v>
      </c>
      <c r="H735" s="5">
        <f t="shared" si="47"/>
        <v>0</v>
      </c>
    </row>
    <row r="736" spans="1:8" x14ac:dyDescent="0.2">
      <c r="A736" s="2">
        <v>735</v>
      </c>
      <c r="B736" s="5">
        <f t="shared" si="44"/>
        <v>0</v>
      </c>
      <c r="C736" s="5">
        <f t="shared" si="45"/>
        <v>0</v>
      </c>
      <c r="D736" s="5">
        <f>IF(ExtraPayment=0, 0, IF(AND($B736&lt;&gt;0,ExtraPayment&lt;=$B736),-ExtraPayment,-($F736)-$B736))</f>
        <v>0</v>
      </c>
      <c r="E736" s="5">
        <f>IF($B736 &lt;= 0, 0, -ROUND($B736 * (InterestRate / PaymentsPerYear), 2))</f>
        <v>0</v>
      </c>
      <c r="F736" s="5">
        <f>ROUND(IFERROR(IF(OR($B736 &lt;=0, $B736 = ExtraPayment),0,
MAX(-$B736, -(-PMT(InterestRate/PaymentsPerYear,LoanTerm*PaymentsPerYear,LoanAmount) + $E736))), 0), 2)</f>
        <v>0</v>
      </c>
      <c r="G736" s="5">
        <f t="shared" si="46"/>
        <v>0</v>
      </c>
      <c r="H736" s="5">
        <f t="shared" si="47"/>
        <v>0</v>
      </c>
    </row>
    <row r="737" spans="1:8" x14ac:dyDescent="0.2">
      <c r="A737" s="2">
        <v>736</v>
      </c>
      <c r="B737" s="5">
        <f t="shared" si="44"/>
        <v>0</v>
      </c>
      <c r="C737" s="5">
        <f t="shared" si="45"/>
        <v>0</v>
      </c>
      <c r="D737" s="5">
        <f>IF(ExtraPayment=0, 0, IF(AND($B737&lt;&gt;0,ExtraPayment&lt;=$B737),-ExtraPayment,-($F737)-$B737))</f>
        <v>0</v>
      </c>
      <c r="E737" s="5">
        <f>IF($B737 &lt;= 0, 0, -ROUND($B737 * (InterestRate / PaymentsPerYear), 2))</f>
        <v>0</v>
      </c>
      <c r="F737" s="5">
        <f>ROUND(IFERROR(IF(OR($B737 &lt;=0, $B737 = ExtraPayment),0,
MAX(-$B737, -(-PMT(InterestRate/PaymentsPerYear,LoanTerm*PaymentsPerYear,LoanAmount) + $E737))), 0), 2)</f>
        <v>0</v>
      </c>
      <c r="G737" s="5">
        <f t="shared" si="46"/>
        <v>0</v>
      </c>
      <c r="H737" s="5">
        <f t="shared" si="47"/>
        <v>0</v>
      </c>
    </row>
    <row r="738" spans="1:8" x14ac:dyDescent="0.2">
      <c r="A738" s="2">
        <v>737</v>
      </c>
      <c r="B738" s="5">
        <f t="shared" si="44"/>
        <v>0</v>
      </c>
      <c r="C738" s="5">
        <f t="shared" si="45"/>
        <v>0</v>
      </c>
      <c r="D738" s="5">
        <f>IF(ExtraPayment=0, 0, IF(AND($B738&lt;&gt;0,ExtraPayment&lt;=$B738),-ExtraPayment,-($F738)-$B738))</f>
        <v>0</v>
      </c>
      <c r="E738" s="5">
        <f>IF($B738 &lt;= 0, 0, -ROUND($B738 * (InterestRate / PaymentsPerYear), 2))</f>
        <v>0</v>
      </c>
      <c r="F738" s="5">
        <f>ROUND(IFERROR(IF(OR($B738 &lt;=0, $B738 = ExtraPayment),0,
MAX(-$B738, -(-PMT(InterestRate/PaymentsPerYear,LoanTerm*PaymentsPerYear,LoanAmount) + $E738))), 0), 2)</f>
        <v>0</v>
      </c>
      <c r="G738" s="5">
        <f t="shared" si="46"/>
        <v>0</v>
      </c>
      <c r="H738" s="5">
        <f t="shared" si="47"/>
        <v>0</v>
      </c>
    </row>
    <row r="739" spans="1:8" x14ac:dyDescent="0.2">
      <c r="A739" s="2">
        <v>738</v>
      </c>
      <c r="B739" s="5">
        <f t="shared" si="44"/>
        <v>0</v>
      </c>
      <c r="C739" s="5">
        <f t="shared" si="45"/>
        <v>0</v>
      </c>
      <c r="D739" s="5">
        <f>IF(ExtraPayment=0, 0, IF(AND($B739&lt;&gt;0,ExtraPayment&lt;=$B739),-ExtraPayment,-($F739)-$B739))</f>
        <v>0</v>
      </c>
      <c r="E739" s="5">
        <f>IF($B739 &lt;= 0, 0, -ROUND($B739 * (InterestRate / PaymentsPerYear), 2))</f>
        <v>0</v>
      </c>
      <c r="F739" s="5">
        <f>ROUND(IFERROR(IF(OR($B739 &lt;=0, $B739 = ExtraPayment),0,
MAX(-$B739, -(-PMT(InterestRate/PaymentsPerYear,LoanTerm*PaymentsPerYear,LoanAmount) + $E739))), 0), 2)</f>
        <v>0</v>
      </c>
      <c r="G739" s="5">
        <f t="shared" si="46"/>
        <v>0</v>
      </c>
      <c r="H739" s="5">
        <f t="shared" si="47"/>
        <v>0</v>
      </c>
    </row>
    <row r="740" spans="1:8" x14ac:dyDescent="0.2">
      <c r="A740" s="2">
        <v>739</v>
      </c>
      <c r="B740" s="5">
        <f t="shared" si="44"/>
        <v>0</v>
      </c>
      <c r="C740" s="5">
        <f t="shared" si="45"/>
        <v>0</v>
      </c>
      <c r="D740" s="5">
        <f>IF(ExtraPayment=0, 0, IF(AND($B740&lt;&gt;0,ExtraPayment&lt;=$B740),-ExtraPayment,-($F740)-$B740))</f>
        <v>0</v>
      </c>
      <c r="E740" s="5">
        <f>IF($B740 &lt;= 0, 0, -ROUND($B740 * (InterestRate / PaymentsPerYear), 2))</f>
        <v>0</v>
      </c>
      <c r="F740" s="5">
        <f>ROUND(IFERROR(IF(OR($B740 &lt;=0, $B740 = ExtraPayment),0,
MAX(-$B740, -(-PMT(InterestRate/PaymentsPerYear,LoanTerm*PaymentsPerYear,LoanAmount) + $E740))), 0), 2)</f>
        <v>0</v>
      </c>
      <c r="G740" s="5">
        <f t="shared" si="46"/>
        <v>0</v>
      </c>
      <c r="H740" s="5">
        <f t="shared" si="47"/>
        <v>0</v>
      </c>
    </row>
    <row r="741" spans="1:8" x14ac:dyDescent="0.2">
      <c r="A741" s="2">
        <v>740</v>
      </c>
      <c r="B741" s="5">
        <f t="shared" si="44"/>
        <v>0</v>
      </c>
      <c r="C741" s="5">
        <f t="shared" si="45"/>
        <v>0</v>
      </c>
      <c r="D741" s="5">
        <f>IF(ExtraPayment=0, 0, IF(AND($B741&lt;&gt;0,ExtraPayment&lt;=$B741),-ExtraPayment,-($F741)-$B741))</f>
        <v>0</v>
      </c>
      <c r="E741" s="5">
        <f>IF($B741 &lt;= 0, 0, -ROUND($B741 * (InterestRate / PaymentsPerYear), 2))</f>
        <v>0</v>
      </c>
      <c r="F741" s="5">
        <f>ROUND(IFERROR(IF(OR($B741 &lt;=0, $B741 = ExtraPayment),0,
MAX(-$B741, -(-PMT(InterestRate/PaymentsPerYear,LoanTerm*PaymentsPerYear,LoanAmount) + $E741))), 0), 2)</f>
        <v>0</v>
      </c>
      <c r="G741" s="5">
        <f t="shared" si="46"/>
        <v>0</v>
      </c>
      <c r="H741" s="5">
        <f t="shared" si="47"/>
        <v>0</v>
      </c>
    </row>
    <row r="742" spans="1:8" x14ac:dyDescent="0.2">
      <c r="A742" s="2">
        <v>741</v>
      </c>
      <c r="B742" s="5">
        <f t="shared" si="44"/>
        <v>0</v>
      </c>
      <c r="C742" s="5">
        <f t="shared" si="45"/>
        <v>0</v>
      </c>
      <c r="D742" s="5">
        <f>IF(ExtraPayment=0, 0, IF(AND($B742&lt;&gt;0,ExtraPayment&lt;=$B742),-ExtraPayment,-($F742)-$B742))</f>
        <v>0</v>
      </c>
      <c r="E742" s="5">
        <f>IF($B742 &lt;= 0, 0, -ROUND($B742 * (InterestRate / PaymentsPerYear), 2))</f>
        <v>0</v>
      </c>
      <c r="F742" s="5">
        <f>ROUND(IFERROR(IF(OR($B742 &lt;=0, $B742 = ExtraPayment),0,
MAX(-$B742, -(-PMT(InterestRate/PaymentsPerYear,LoanTerm*PaymentsPerYear,LoanAmount) + $E742))), 0), 2)</f>
        <v>0</v>
      </c>
      <c r="G742" s="5">
        <f t="shared" si="46"/>
        <v>0</v>
      </c>
      <c r="H742" s="5">
        <f t="shared" si="47"/>
        <v>0</v>
      </c>
    </row>
    <row r="743" spans="1:8" x14ac:dyDescent="0.2">
      <c r="A743" s="2">
        <v>742</v>
      </c>
      <c r="B743" s="5">
        <f t="shared" si="44"/>
        <v>0</v>
      </c>
      <c r="C743" s="5">
        <f t="shared" si="45"/>
        <v>0</v>
      </c>
      <c r="D743" s="5">
        <f>IF(ExtraPayment=0, 0, IF(AND($B743&lt;&gt;0,ExtraPayment&lt;=$B743),-ExtraPayment,-($F743)-$B743))</f>
        <v>0</v>
      </c>
      <c r="E743" s="5">
        <f>IF($B743 &lt;= 0, 0, -ROUND($B743 * (InterestRate / PaymentsPerYear), 2))</f>
        <v>0</v>
      </c>
      <c r="F743" s="5">
        <f>ROUND(IFERROR(IF(OR($B743 &lt;=0, $B743 = ExtraPayment),0,
MAX(-$B743, -(-PMT(InterestRate/PaymentsPerYear,LoanTerm*PaymentsPerYear,LoanAmount) + $E743))), 0), 2)</f>
        <v>0</v>
      </c>
      <c r="G743" s="5">
        <f t="shared" si="46"/>
        <v>0</v>
      </c>
      <c r="H743" s="5">
        <f t="shared" si="47"/>
        <v>0</v>
      </c>
    </row>
    <row r="744" spans="1:8" x14ac:dyDescent="0.2">
      <c r="A744" s="2">
        <v>743</v>
      </c>
      <c r="B744" s="5">
        <f t="shared" si="44"/>
        <v>0</v>
      </c>
      <c r="C744" s="5">
        <f t="shared" si="45"/>
        <v>0</v>
      </c>
      <c r="D744" s="5">
        <f>IF(ExtraPayment=0, 0, IF(AND($B744&lt;&gt;0,ExtraPayment&lt;=$B744),-ExtraPayment,-($F744)-$B744))</f>
        <v>0</v>
      </c>
      <c r="E744" s="5">
        <f>IF($B744 &lt;= 0, 0, -ROUND($B744 * (InterestRate / PaymentsPerYear), 2))</f>
        <v>0</v>
      </c>
      <c r="F744" s="5">
        <f>ROUND(IFERROR(IF(OR($B744 &lt;=0, $B744 = ExtraPayment),0,
MAX(-$B744, -(-PMT(InterestRate/PaymentsPerYear,LoanTerm*PaymentsPerYear,LoanAmount) + $E744))), 0), 2)</f>
        <v>0</v>
      </c>
      <c r="G744" s="5">
        <f t="shared" si="46"/>
        <v>0</v>
      </c>
      <c r="H744" s="5">
        <f t="shared" si="47"/>
        <v>0</v>
      </c>
    </row>
    <row r="745" spans="1:8" x14ac:dyDescent="0.2">
      <c r="A745" s="2">
        <v>744</v>
      </c>
      <c r="B745" s="5">
        <f t="shared" si="44"/>
        <v>0</v>
      </c>
      <c r="C745" s="5">
        <f t="shared" si="45"/>
        <v>0</v>
      </c>
      <c r="D745" s="5">
        <f>IF(ExtraPayment=0, 0, IF(AND($B745&lt;&gt;0,ExtraPayment&lt;=$B745),-ExtraPayment,-($F745)-$B745))</f>
        <v>0</v>
      </c>
      <c r="E745" s="5">
        <f>IF($B745 &lt;= 0, 0, -ROUND($B745 * (InterestRate / PaymentsPerYear), 2))</f>
        <v>0</v>
      </c>
      <c r="F745" s="5">
        <f>ROUND(IFERROR(IF(OR($B745 &lt;=0, $B745 = ExtraPayment),0,
MAX(-$B745, -(-PMT(InterestRate/PaymentsPerYear,LoanTerm*PaymentsPerYear,LoanAmount) + $E745))), 0), 2)</f>
        <v>0</v>
      </c>
      <c r="G745" s="5">
        <f t="shared" si="46"/>
        <v>0</v>
      </c>
      <c r="H745" s="5">
        <f t="shared" si="47"/>
        <v>0</v>
      </c>
    </row>
    <row r="746" spans="1:8" x14ac:dyDescent="0.2">
      <c r="A746" s="2">
        <v>745</v>
      </c>
      <c r="B746" s="5">
        <f t="shared" si="44"/>
        <v>0</v>
      </c>
      <c r="C746" s="5">
        <f t="shared" si="45"/>
        <v>0</v>
      </c>
      <c r="D746" s="5">
        <f>IF(ExtraPayment=0, 0, IF(AND($B746&lt;&gt;0,ExtraPayment&lt;=$B746),-ExtraPayment,-($F746)-$B746))</f>
        <v>0</v>
      </c>
      <c r="E746" s="5">
        <f>IF($B746 &lt;= 0, 0, -ROUND($B746 * (InterestRate / PaymentsPerYear), 2))</f>
        <v>0</v>
      </c>
      <c r="F746" s="5">
        <f>ROUND(IFERROR(IF(OR($B746 &lt;=0, $B746 = ExtraPayment),0,
MAX(-$B746, -(-PMT(InterestRate/PaymentsPerYear,LoanTerm*PaymentsPerYear,LoanAmount) + $E746))), 0), 2)</f>
        <v>0</v>
      </c>
      <c r="G746" s="5">
        <f t="shared" si="46"/>
        <v>0</v>
      </c>
      <c r="H746" s="5">
        <f t="shared" si="47"/>
        <v>0</v>
      </c>
    </row>
    <row r="747" spans="1:8" x14ac:dyDescent="0.2">
      <c r="A747" s="2">
        <v>746</v>
      </c>
      <c r="B747" s="5">
        <f t="shared" si="44"/>
        <v>0</v>
      </c>
      <c r="C747" s="5">
        <f t="shared" si="45"/>
        <v>0</v>
      </c>
      <c r="D747" s="5">
        <f>IF(ExtraPayment=0, 0, IF(AND($B747&lt;&gt;0,ExtraPayment&lt;=$B747),-ExtraPayment,-($F747)-$B747))</f>
        <v>0</v>
      </c>
      <c r="E747" s="5">
        <f>IF($B747 &lt;= 0, 0, -ROUND($B747 * (InterestRate / PaymentsPerYear), 2))</f>
        <v>0</v>
      </c>
      <c r="F747" s="5">
        <f>ROUND(IFERROR(IF(OR($B747 &lt;=0, $B747 = ExtraPayment),0,
MAX(-$B747, -(-PMT(InterestRate/PaymentsPerYear,LoanTerm*PaymentsPerYear,LoanAmount) + $E747))), 0), 2)</f>
        <v>0</v>
      </c>
      <c r="G747" s="5">
        <f t="shared" si="46"/>
        <v>0</v>
      </c>
      <c r="H747" s="5">
        <f t="shared" si="47"/>
        <v>0</v>
      </c>
    </row>
    <row r="748" spans="1:8" x14ac:dyDescent="0.2">
      <c r="A748" s="2">
        <v>747</v>
      </c>
      <c r="B748" s="5">
        <f t="shared" si="44"/>
        <v>0</v>
      </c>
      <c r="C748" s="5">
        <f t="shared" si="45"/>
        <v>0</v>
      </c>
      <c r="D748" s="5">
        <f>IF(ExtraPayment=0, 0, IF(AND($B748&lt;&gt;0,ExtraPayment&lt;=$B748),-ExtraPayment,-($F748)-$B748))</f>
        <v>0</v>
      </c>
      <c r="E748" s="5">
        <f>IF($B748 &lt;= 0, 0, -ROUND($B748 * (InterestRate / PaymentsPerYear), 2))</f>
        <v>0</v>
      </c>
      <c r="F748" s="5">
        <f>ROUND(IFERROR(IF(OR($B748 &lt;=0, $B748 = ExtraPayment),0,
MAX(-$B748, -(-PMT(InterestRate/PaymentsPerYear,LoanTerm*PaymentsPerYear,LoanAmount) + $E748))), 0), 2)</f>
        <v>0</v>
      </c>
      <c r="G748" s="5">
        <f t="shared" si="46"/>
        <v>0</v>
      </c>
      <c r="H748" s="5">
        <f t="shared" si="47"/>
        <v>0</v>
      </c>
    </row>
    <row r="749" spans="1:8" x14ac:dyDescent="0.2">
      <c r="A749" s="2">
        <v>748</v>
      </c>
      <c r="B749" s="5">
        <f t="shared" si="44"/>
        <v>0</v>
      </c>
      <c r="C749" s="5">
        <f t="shared" si="45"/>
        <v>0</v>
      </c>
      <c r="D749" s="5">
        <f>IF(ExtraPayment=0, 0, IF(AND($B749&lt;&gt;0,ExtraPayment&lt;=$B749),-ExtraPayment,-($F749)-$B749))</f>
        <v>0</v>
      </c>
      <c r="E749" s="5">
        <f>IF($B749 &lt;= 0, 0, -ROUND($B749 * (InterestRate / PaymentsPerYear), 2))</f>
        <v>0</v>
      </c>
      <c r="F749" s="5">
        <f>ROUND(IFERROR(IF(OR($B749 &lt;=0, $B749 = ExtraPayment),0,
MAX(-$B749, -(-PMT(InterestRate/PaymentsPerYear,LoanTerm*PaymentsPerYear,LoanAmount) + $E749))), 0), 2)</f>
        <v>0</v>
      </c>
      <c r="G749" s="5">
        <f t="shared" si="46"/>
        <v>0</v>
      </c>
      <c r="H749" s="5">
        <f t="shared" si="47"/>
        <v>0</v>
      </c>
    </row>
    <row r="750" spans="1:8" x14ac:dyDescent="0.2">
      <c r="A750" s="2">
        <v>749</v>
      </c>
      <c r="B750" s="5">
        <f t="shared" si="44"/>
        <v>0</v>
      </c>
      <c r="C750" s="5">
        <f t="shared" si="45"/>
        <v>0</v>
      </c>
      <c r="D750" s="5">
        <f>IF(ExtraPayment=0, 0, IF(AND($B750&lt;&gt;0,ExtraPayment&lt;=$B750),-ExtraPayment,-($F750)-$B750))</f>
        <v>0</v>
      </c>
      <c r="E750" s="5">
        <f>IF($B750 &lt;= 0, 0, -ROUND($B750 * (InterestRate / PaymentsPerYear), 2))</f>
        <v>0</v>
      </c>
      <c r="F750" s="5">
        <f>ROUND(IFERROR(IF(OR($B750 &lt;=0, $B750 = ExtraPayment),0,
MAX(-$B750, -(-PMT(InterestRate/PaymentsPerYear,LoanTerm*PaymentsPerYear,LoanAmount) + $E750))), 0), 2)</f>
        <v>0</v>
      </c>
      <c r="G750" s="5">
        <f t="shared" si="46"/>
        <v>0</v>
      </c>
      <c r="H750" s="5">
        <f t="shared" si="47"/>
        <v>0</v>
      </c>
    </row>
    <row r="751" spans="1:8" x14ac:dyDescent="0.2">
      <c r="A751" s="2">
        <v>750</v>
      </c>
      <c r="B751" s="5">
        <f t="shared" si="44"/>
        <v>0</v>
      </c>
      <c r="C751" s="5">
        <f t="shared" si="45"/>
        <v>0</v>
      </c>
      <c r="D751" s="5">
        <f>IF(ExtraPayment=0, 0, IF(AND($B751&lt;&gt;0,ExtraPayment&lt;=$B751),-ExtraPayment,-($F751)-$B751))</f>
        <v>0</v>
      </c>
      <c r="E751" s="5">
        <f>IF($B751 &lt;= 0, 0, -ROUND($B751 * (InterestRate / PaymentsPerYear), 2))</f>
        <v>0</v>
      </c>
      <c r="F751" s="5">
        <f>ROUND(IFERROR(IF(OR($B751 &lt;=0, $B751 = ExtraPayment),0,
MAX(-$B751, -(-PMT(InterestRate/PaymentsPerYear,LoanTerm*PaymentsPerYear,LoanAmount) + $E751))), 0), 2)</f>
        <v>0</v>
      </c>
      <c r="G751" s="5">
        <f t="shared" si="46"/>
        <v>0</v>
      </c>
      <c r="H751" s="5">
        <f t="shared" si="47"/>
        <v>0</v>
      </c>
    </row>
    <row r="752" spans="1:8" x14ac:dyDescent="0.2">
      <c r="A752" s="2">
        <v>751</v>
      </c>
      <c r="B752" s="5">
        <f t="shared" si="44"/>
        <v>0</v>
      </c>
      <c r="C752" s="5">
        <f t="shared" si="45"/>
        <v>0</v>
      </c>
      <c r="D752" s="5">
        <f>IF(ExtraPayment=0, 0, IF(AND($B752&lt;&gt;0,ExtraPayment&lt;=$B752),-ExtraPayment,-($F752)-$B752))</f>
        <v>0</v>
      </c>
      <c r="E752" s="5">
        <f>IF($B752 &lt;= 0, 0, -ROUND($B752 * (InterestRate / PaymentsPerYear), 2))</f>
        <v>0</v>
      </c>
      <c r="F752" s="5">
        <f>ROUND(IFERROR(IF(OR($B752 &lt;=0, $B752 = ExtraPayment),0,
MAX(-$B752, -(-PMT(InterestRate/PaymentsPerYear,LoanTerm*PaymentsPerYear,LoanAmount) + $E752))), 0), 2)</f>
        <v>0</v>
      </c>
      <c r="G752" s="5">
        <f t="shared" si="46"/>
        <v>0</v>
      </c>
      <c r="H752" s="5">
        <f t="shared" si="47"/>
        <v>0</v>
      </c>
    </row>
    <row r="753" spans="1:8" x14ac:dyDescent="0.2">
      <c r="A753" s="2">
        <v>752</v>
      </c>
      <c r="B753" s="5">
        <f t="shared" si="44"/>
        <v>0</v>
      </c>
      <c r="C753" s="5">
        <f t="shared" si="45"/>
        <v>0</v>
      </c>
      <c r="D753" s="5">
        <f>IF(ExtraPayment=0, 0, IF(AND($B753&lt;&gt;0,ExtraPayment&lt;=$B753),-ExtraPayment,-($F753)-$B753))</f>
        <v>0</v>
      </c>
      <c r="E753" s="5">
        <f>IF($B753 &lt;= 0, 0, -ROUND($B753 * (InterestRate / PaymentsPerYear), 2))</f>
        <v>0</v>
      </c>
      <c r="F753" s="5">
        <f>ROUND(IFERROR(IF(OR($B753 &lt;=0, $B753 = ExtraPayment),0,
MAX(-$B753, -(-PMT(InterestRate/PaymentsPerYear,LoanTerm*PaymentsPerYear,LoanAmount) + $E753))), 0), 2)</f>
        <v>0</v>
      </c>
      <c r="G753" s="5">
        <f t="shared" si="46"/>
        <v>0</v>
      </c>
      <c r="H753" s="5">
        <f t="shared" si="47"/>
        <v>0</v>
      </c>
    </row>
    <row r="754" spans="1:8" x14ac:dyDescent="0.2">
      <c r="A754" s="2">
        <v>753</v>
      </c>
      <c r="B754" s="5">
        <f t="shared" si="44"/>
        <v>0</v>
      </c>
      <c r="C754" s="5">
        <f t="shared" si="45"/>
        <v>0</v>
      </c>
      <c r="D754" s="5">
        <f>IF(ExtraPayment=0, 0, IF(AND($B754&lt;&gt;0,ExtraPayment&lt;=$B754),-ExtraPayment,-($F754)-$B754))</f>
        <v>0</v>
      </c>
      <c r="E754" s="5">
        <f>IF($B754 &lt;= 0, 0, -ROUND($B754 * (InterestRate / PaymentsPerYear), 2))</f>
        <v>0</v>
      </c>
      <c r="F754" s="5">
        <f>ROUND(IFERROR(IF(OR($B754 &lt;=0, $B754 = ExtraPayment),0,
MAX(-$B754, -(-PMT(InterestRate/PaymentsPerYear,LoanTerm*PaymentsPerYear,LoanAmount) + $E754))), 0), 2)</f>
        <v>0</v>
      </c>
      <c r="G754" s="5">
        <f t="shared" si="46"/>
        <v>0</v>
      </c>
      <c r="H754" s="5">
        <f t="shared" si="47"/>
        <v>0</v>
      </c>
    </row>
    <row r="755" spans="1:8" x14ac:dyDescent="0.2">
      <c r="A755" s="2">
        <v>754</v>
      </c>
      <c r="B755" s="5">
        <f t="shared" si="44"/>
        <v>0</v>
      </c>
      <c r="C755" s="5">
        <f t="shared" si="45"/>
        <v>0</v>
      </c>
      <c r="D755" s="5">
        <f>IF(ExtraPayment=0, 0, IF(AND($B755&lt;&gt;0,ExtraPayment&lt;=$B755),-ExtraPayment,-($F755)-$B755))</f>
        <v>0</v>
      </c>
      <c r="E755" s="5">
        <f>IF($B755 &lt;= 0, 0, -ROUND($B755 * (InterestRate / PaymentsPerYear), 2))</f>
        <v>0</v>
      </c>
      <c r="F755" s="5">
        <f>ROUND(IFERROR(IF(OR($B755 &lt;=0, $B755 = ExtraPayment),0,
MAX(-$B755, -(-PMT(InterestRate/PaymentsPerYear,LoanTerm*PaymentsPerYear,LoanAmount) + $E755))), 0), 2)</f>
        <v>0</v>
      </c>
      <c r="G755" s="5">
        <f t="shared" si="46"/>
        <v>0</v>
      </c>
      <c r="H755" s="5">
        <f t="shared" si="47"/>
        <v>0</v>
      </c>
    </row>
    <row r="756" spans="1:8" x14ac:dyDescent="0.2">
      <c r="A756" s="2">
        <v>755</v>
      </c>
      <c r="B756" s="5">
        <f t="shared" si="44"/>
        <v>0</v>
      </c>
      <c r="C756" s="5">
        <f t="shared" si="45"/>
        <v>0</v>
      </c>
      <c r="D756" s="5">
        <f>IF(ExtraPayment=0, 0, IF(AND($B756&lt;&gt;0,ExtraPayment&lt;=$B756),-ExtraPayment,-($F756)-$B756))</f>
        <v>0</v>
      </c>
      <c r="E756" s="5">
        <f>IF($B756 &lt;= 0, 0, -ROUND($B756 * (InterestRate / PaymentsPerYear), 2))</f>
        <v>0</v>
      </c>
      <c r="F756" s="5">
        <f>ROUND(IFERROR(IF(OR($B756 &lt;=0, $B756 = ExtraPayment),0,
MAX(-$B756, -(-PMT(InterestRate/PaymentsPerYear,LoanTerm*PaymentsPerYear,LoanAmount) + $E756))), 0), 2)</f>
        <v>0</v>
      </c>
      <c r="G756" s="5">
        <f t="shared" si="46"/>
        <v>0</v>
      </c>
      <c r="H756" s="5">
        <f t="shared" si="47"/>
        <v>0</v>
      </c>
    </row>
    <row r="757" spans="1:8" x14ac:dyDescent="0.2">
      <c r="A757" s="2">
        <v>756</v>
      </c>
      <c r="B757" s="5">
        <f t="shared" si="44"/>
        <v>0</v>
      </c>
      <c r="C757" s="5">
        <f t="shared" si="45"/>
        <v>0</v>
      </c>
      <c r="D757" s="5">
        <f>IF(ExtraPayment=0, 0, IF(AND($B757&lt;&gt;0,ExtraPayment&lt;=$B757),-ExtraPayment,-($F757)-$B757))</f>
        <v>0</v>
      </c>
      <c r="E757" s="5">
        <f>IF($B757 &lt;= 0, 0, -ROUND($B757 * (InterestRate / PaymentsPerYear), 2))</f>
        <v>0</v>
      </c>
      <c r="F757" s="5">
        <f>ROUND(IFERROR(IF(OR($B757 &lt;=0, $B757 = ExtraPayment),0,
MAX(-$B757, -(-PMT(InterestRate/PaymentsPerYear,LoanTerm*PaymentsPerYear,LoanAmount) + $E757))), 0), 2)</f>
        <v>0</v>
      </c>
      <c r="G757" s="5">
        <f t="shared" si="46"/>
        <v>0</v>
      </c>
      <c r="H757" s="5">
        <f t="shared" si="47"/>
        <v>0</v>
      </c>
    </row>
    <row r="758" spans="1:8" x14ac:dyDescent="0.2">
      <c r="A758" s="2">
        <v>757</v>
      </c>
      <c r="B758" s="5">
        <f t="shared" si="44"/>
        <v>0</v>
      </c>
      <c r="C758" s="5">
        <f t="shared" si="45"/>
        <v>0</v>
      </c>
      <c r="D758" s="5">
        <f>IF(ExtraPayment=0, 0, IF(AND($B758&lt;&gt;0,ExtraPayment&lt;=$B758),-ExtraPayment,-($F758)-$B758))</f>
        <v>0</v>
      </c>
      <c r="E758" s="5">
        <f>IF($B758 &lt;= 0, 0, -ROUND($B758 * (InterestRate / PaymentsPerYear), 2))</f>
        <v>0</v>
      </c>
      <c r="F758" s="5">
        <f>ROUND(IFERROR(IF(OR($B758 &lt;=0, $B758 = ExtraPayment),0,
MAX(-$B758, -(-PMT(InterestRate/PaymentsPerYear,LoanTerm*PaymentsPerYear,LoanAmount) + $E758))), 0), 2)</f>
        <v>0</v>
      </c>
      <c r="G758" s="5">
        <f t="shared" si="46"/>
        <v>0</v>
      </c>
      <c r="H758" s="5">
        <f t="shared" si="47"/>
        <v>0</v>
      </c>
    </row>
    <row r="759" spans="1:8" x14ac:dyDescent="0.2">
      <c r="A759" s="2">
        <v>758</v>
      </c>
      <c r="B759" s="5">
        <f t="shared" si="44"/>
        <v>0</v>
      </c>
      <c r="C759" s="5">
        <f t="shared" si="45"/>
        <v>0</v>
      </c>
      <c r="D759" s="5">
        <f>IF(ExtraPayment=0, 0, IF(AND($B759&lt;&gt;0,ExtraPayment&lt;=$B759),-ExtraPayment,-($F759)-$B759))</f>
        <v>0</v>
      </c>
      <c r="E759" s="5">
        <f>IF($B759 &lt;= 0, 0, -ROUND($B759 * (InterestRate / PaymentsPerYear), 2))</f>
        <v>0</v>
      </c>
      <c r="F759" s="5">
        <f>ROUND(IFERROR(IF(OR($B759 &lt;=0, $B759 = ExtraPayment),0,
MAX(-$B759, -(-PMT(InterestRate/PaymentsPerYear,LoanTerm*PaymentsPerYear,LoanAmount) + $E759))), 0), 2)</f>
        <v>0</v>
      </c>
      <c r="G759" s="5">
        <f t="shared" si="46"/>
        <v>0</v>
      </c>
      <c r="H759" s="5">
        <f t="shared" si="47"/>
        <v>0</v>
      </c>
    </row>
    <row r="760" spans="1:8" x14ac:dyDescent="0.2">
      <c r="A760" s="2">
        <v>759</v>
      </c>
      <c r="B760" s="5">
        <f t="shared" si="44"/>
        <v>0</v>
      </c>
      <c r="C760" s="5">
        <f t="shared" si="45"/>
        <v>0</v>
      </c>
      <c r="D760" s="5">
        <f>IF(ExtraPayment=0, 0, IF(AND($B760&lt;&gt;0,ExtraPayment&lt;=$B760),-ExtraPayment,-($F760)-$B760))</f>
        <v>0</v>
      </c>
      <c r="E760" s="5">
        <f>IF($B760 &lt;= 0, 0, -ROUND($B760 * (InterestRate / PaymentsPerYear), 2))</f>
        <v>0</v>
      </c>
      <c r="F760" s="5">
        <f>ROUND(IFERROR(IF(OR($B760 &lt;=0, $B760 = ExtraPayment),0,
MAX(-$B760, -(-PMT(InterestRate/PaymentsPerYear,LoanTerm*PaymentsPerYear,LoanAmount) + $E760))), 0), 2)</f>
        <v>0</v>
      </c>
      <c r="G760" s="5">
        <f t="shared" si="46"/>
        <v>0</v>
      </c>
      <c r="H760" s="5">
        <f t="shared" si="47"/>
        <v>0</v>
      </c>
    </row>
    <row r="761" spans="1:8" x14ac:dyDescent="0.2">
      <c r="A761" s="2">
        <v>760</v>
      </c>
      <c r="B761" s="5">
        <f t="shared" si="44"/>
        <v>0</v>
      </c>
      <c r="C761" s="5">
        <f t="shared" si="45"/>
        <v>0</v>
      </c>
      <c r="D761" s="5">
        <f>IF(ExtraPayment=0, 0, IF(AND($B761&lt;&gt;0,ExtraPayment&lt;=$B761),-ExtraPayment,-($F761)-$B761))</f>
        <v>0</v>
      </c>
      <c r="E761" s="5">
        <f>IF($B761 &lt;= 0, 0, -ROUND($B761 * (InterestRate / PaymentsPerYear), 2))</f>
        <v>0</v>
      </c>
      <c r="F761" s="5">
        <f>ROUND(IFERROR(IF(OR($B761 &lt;=0, $B761 = ExtraPayment),0,
MAX(-$B761, -(-PMT(InterestRate/PaymentsPerYear,LoanTerm*PaymentsPerYear,LoanAmount) + $E761))), 0), 2)</f>
        <v>0</v>
      </c>
      <c r="G761" s="5">
        <f t="shared" si="46"/>
        <v>0</v>
      </c>
      <c r="H761" s="5">
        <f t="shared" si="47"/>
        <v>0</v>
      </c>
    </row>
    <row r="762" spans="1:8" x14ac:dyDescent="0.2">
      <c r="A762" s="2">
        <v>761</v>
      </c>
      <c r="B762" s="5">
        <f t="shared" si="44"/>
        <v>0</v>
      </c>
      <c r="C762" s="5">
        <f t="shared" si="45"/>
        <v>0</v>
      </c>
      <c r="D762" s="5">
        <f>IF(ExtraPayment=0, 0, IF(AND($B762&lt;&gt;0,ExtraPayment&lt;=$B762),-ExtraPayment,-($F762)-$B762))</f>
        <v>0</v>
      </c>
      <c r="E762" s="5">
        <f>IF($B762 &lt;= 0, 0, -ROUND($B762 * (InterestRate / PaymentsPerYear), 2))</f>
        <v>0</v>
      </c>
      <c r="F762" s="5">
        <f>ROUND(IFERROR(IF(OR($B762 &lt;=0, $B762 = ExtraPayment),0,
MAX(-$B762, -(-PMT(InterestRate/PaymentsPerYear,LoanTerm*PaymentsPerYear,LoanAmount) + $E762))), 0), 2)</f>
        <v>0</v>
      </c>
      <c r="G762" s="5">
        <f t="shared" si="46"/>
        <v>0</v>
      </c>
      <c r="H762" s="5">
        <f t="shared" si="47"/>
        <v>0</v>
      </c>
    </row>
    <row r="763" spans="1:8" x14ac:dyDescent="0.2">
      <c r="A763" s="2">
        <v>762</v>
      </c>
      <c r="B763" s="5">
        <f t="shared" si="44"/>
        <v>0</v>
      </c>
      <c r="C763" s="5">
        <f t="shared" si="45"/>
        <v>0</v>
      </c>
      <c r="D763" s="5">
        <f>IF(ExtraPayment=0, 0, IF(AND($B763&lt;&gt;0,ExtraPayment&lt;=$B763),-ExtraPayment,-($F763)-$B763))</f>
        <v>0</v>
      </c>
      <c r="E763" s="5">
        <f>IF($B763 &lt;= 0, 0, -ROUND($B763 * (InterestRate / PaymentsPerYear), 2))</f>
        <v>0</v>
      </c>
      <c r="F763" s="5">
        <f>ROUND(IFERROR(IF(OR($B763 &lt;=0, $B763 = ExtraPayment),0,
MAX(-$B763, -(-PMT(InterestRate/PaymentsPerYear,LoanTerm*PaymentsPerYear,LoanAmount) + $E763))), 0), 2)</f>
        <v>0</v>
      </c>
      <c r="G763" s="5">
        <f t="shared" si="46"/>
        <v>0</v>
      </c>
      <c r="H763" s="5">
        <f t="shared" si="47"/>
        <v>0</v>
      </c>
    </row>
    <row r="764" spans="1:8" x14ac:dyDescent="0.2">
      <c r="A764" s="2">
        <v>763</v>
      </c>
      <c r="B764" s="5">
        <f t="shared" si="44"/>
        <v>0</v>
      </c>
      <c r="C764" s="5">
        <f t="shared" si="45"/>
        <v>0</v>
      </c>
      <c r="D764" s="5">
        <f>IF(ExtraPayment=0, 0, IF(AND($B764&lt;&gt;0,ExtraPayment&lt;=$B764),-ExtraPayment,-($F764)-$B764))</f>
        <v>0</v>
      </c>
      <c r="E764" s="5">
        <f>IF($B764 &lt;= 0, 0, -ROUND($B764 * (InterestRate / PaymentsPerYear), 2))</f>
        <v>0</v>
      </c>
      <c r="F764" s="5">
        <f>ROUND(IFERROR(IF(OR($B764 &lt;=0, $B764 = ExtraPayment),0,
MAX(-$B764, -(-PMT(InterestRate/PaymentsPerYear,LoanTerm*PaymentsPerYear,LoanAmount) + $E764))), 0), 2)</f>
        <v>0</v>
      </c>
      <c r="G764" s="5">
        <f t="shared" si="46"/>
        <v>0</v>
      </c>
      <c r="H764" s="5">
        <f t="shared" si="47"/>
        <v>0</v>
      </c>
    </row>
    <row r="765" spans="1:8" x14ac:dyDescent="0.2">
      <c r="A765" s="2">
        <v>764</v>
      </c>
      <c r="B765" s="5">
        <f t="shared" si="44"/>
        <v>0</v>
      </c>
      <c r="C765" s="5">
        <f t="shared" si="45"/>
        <v>0</v>
      </c>
      <c r="D765" s="5">
        <f>IF(ExtraPayment=0, 0, IF(AND($B765&lt;&gt;0,ExtraPayment&lt;=$B765),-ExtraPayment,-($F765)-$B765))</f>
        <v>0</v>
      </c>
      <c r="E765" s="5">
        <f>IF($B765 &lt;= 0, 0, -ROUND($B765 * (InterestRate / PaymentsPerYear), 2))</f>
        <v>0</v>
      </c>
      <c r="F765" s="5">
        <f>ROUND(IFERROR(IF(OR($B765 &lt;=0, $B765 = ExtraPayment),0,
MAX(-$B765, -(-PMT(InterestRate/PaymentsPerYear,LoanTerm*PaymentsPerYear,LoanAmount) + $E765))), 0), 2)</f>
        <v>0</v>
      </c>
      <c r="G765" s="5">
        <f t="shared" si="46"/>
        <v>0</v>
      </c>
      <c r="H765" s="5">
        <f t="shared" si="47"/>
        <v>0</v>
      </c>
    </row>
    <row r="766" spans="1:8" x14ac:dyDescent="0.2">
      <c r="A766" s="2">
        <v>765</v>
      </c>
      <c r="B766" s="5">
        <f t="shared" si="44"/>
        <v>0</v>
      </c>
      <c r="C766" s="5">
        <f t="shared" si="45"/>
        <v>0</v>
      </c>
      <c r="D766" s="5">
        <f>IF(ExtraPayment=0, 0, IF(AND($B766&lt;&gt;0,ExtraPayment&lt;=$B766),-ExtraPayment,-($F766)-$B766))</f>
        <v>0</v>
      </c>
      <c r="E766" s="5">
        <f>IF($B766 &lt;= 0, 0, -ROUND($B766 * (InterestRate / PaymentsPerYear), 2))</f>
        <v>0</v>
      </c>
      <c r="F766" s="5">
        <f>ROUND(IFERROR(IF(OR($B766 &lt;=0, $B766 = ExtraPayment),0,
MAX(-$B766, -(-PMT(InterestRate/PaymentsPerYear,LoanTerm*PaymentsPerYear,LoanAmount) + $E766))), 0), 2)</f>
        <v>0</v>
      </c>
      <c r="G766" s="5">
        <f t="shared" si="46"/>
        <v>0</v>
      </c>
      <c r="H766" s="5">
        <f t="shared" si="47"/>
        <v>0</v>
      </c>
    </row>
    <row r="767" spans="1:8" x14ac:dyDescent="0.2">
      <c r="A767" s="2">
        <v>766</v>
      </c>
      <c r="B767" s="5">
        <f t="shared" si="44"/>
        <v>0</v>
      </c>
      <c r="C767" s="5">
        <f t="shared" si="45"/>
        <v>0</v>
      </c>
      <c r="D767" s="5">
        <f>IF(ExtraPayment=0, 0, IF(AND($B767&lt;&gt;0,ExtraPayment&lt;=$B767),-ExtraPayment,-($F767)-$B767))</f>
        <v>0</v>
      </c>
      <c r="E767" s="5">
        <f>IF($B767 &lt;= 0, 0, -ROUND($B767 * (InterestRate / PaymentsPerYear), 2))</f>
        <v>0</v>
      </c>
      <c r="F767" s="5">
        <f>ROUND(IFERROR(IF(OR($B767 &lt;=0, $B767 = ExtraPayment),0,
MAX(-$B767, -(-PMT(InterestRate/PaymentsPerYear,LoanTerm*PaymentsPerYear,LoanAmount) + $E767))), 0), 2)</f>
        <v>0</v>
      </c>
      <c r="G767" s="5">
        <f t="shared" si="46"/>
        <v>0</v>
      </c>
      <c r="H767" s="5">
        <f t="shared" si="47"/>
        <v>0</v>
      </c>
    </row>
    <row r="768" spans="1:8" x14ac:dyDescent="0.2">
      <c r="A768" s="2">
        <v>767</v>
      </c>
      <c r="B768" s="5">
        <f t="shared" si="44"/>
        <v>0</v>
      </c>
      <c r="C768" s="5">
        <f t="shared" si="45"/>
        <v>0</v>
      </c>
      <c r="D768" s="5">
        <f>IF(ExtraPayment=0, 0, IF(AND($B768&lt;&gt;0,ExtraPayment&lt;=$B768),-ExtraPayment,-($F768)-$B768))</f>
        <v>0</v>
      </c>
      <c r="E768" s="5">
        <f>IF($B768 &lt;= 0, 0, -ROUND($B768 * (InterestRate / PaymentsPerYear), 2))</f>
        <v>0</v>
      </c>
      <c r="F768" s="5">
        <f>ROUND(IFERROR(IF(OR($B768 &lt;=0, $B768 = ExtraPayment),0,
MAX(-$B768, -(-PMT(InterestRate/PaymentsPerYear,LoanTerm*PaymentsPerYear,LoanAmount) + $E768))), 0), 2)</f>
        <v>0</v>
      </c>
      <c r="G768" s="5">
        <f t="shared" si="46"/>
        <v>0</v>
      </c>
      <c r="H768" s="5">
        <f t="shared" si="47"/>
        <v>0</v>
      </c>
    </row>
    <row r="769" spans="1:8" x14ac:dyDescent="0.2">
      <c r="A769" s="2">
        <v>768</v>
      </c>
      <c r="B769" s="5">
        <f t="shared" si="44"/>
        <v>0</v>
      </c>
      <c r="C769" s="5">
        <f t="shared" si="45"/>
        <v>0</v>
      </c>
      <c r="D769" s="5">
        <f>IF(ExtraPayment=0, 0, IF(AND($B769&lt;&gt;0,ExtraPayment&lt;=$B769),-ExtraPayment,-($F769)-$B769))</f>
        <v>0</v>
      </c>
      <c r="E769" s="5">
        <f>IF($B769 &lt;= 0, 0, -ROUND($B769 * (InterestRate / PaymentsPerYear), 2))</f>
        <v>0</v>
      </c>
      <c r="F769" s="5">
        <f>ROUND(IFERROR(IF(OR($B769 &lt;=0, $B769 = ExtraPayment),0,
MAX(-$B769, -(-PMT(InterestRate/PaymentsPerYear,LoanTerm*PaymentsPerYear,LoanAmount) + $E769))), 0), 2)</f>
        <v>0</v>
      </c>
      <c r="G769" s="5">
        <f t="shared" si="46"/>
        <v>0</v>
      </c>
      <c r="H769" s="5">
        <f t="shared" si="47"/>
        <v>0</v>
      </c>
    </row>
    <row r="770" spans="1:8" x14ac:dyDescent="0.2">
      <c r="A770" s="2">
        <v>769</v>
      </c>
      <c r="B770" s="5">
        <f t="shared" si="44"/>
        <v>0</v>
      </c>
      <c r="C770" s="5">
        <f t="shared" si="45"/>
        <v>0</v>
      </c>
      <c r="D770" s="5">
        <f>IF(ExtraPayment=0, 0, IF(AND($B770&lt;&gt;0,ExtraPayment&lt;=$B770),-ExtraPayment,-($F770)-$B770))</f>
        <v>0</v>
      </c>
      <c r="E770" s="5">
        <f>IF($B770 &lt;= 0, 0, -ROUND($B770 * (InterestRate / PaymentsPerYear), 2))</f>
        <v>0</v>
      </c>
      <c r="F770" s="5">
        <f>ROUND(IFERROR(IF(OR($B770 &lt;=0, $B770 = ExtraPayment),0,
MAX(-$B770, -(-PMT(InterestRate/PaymentsPerYear,LoanTerm*PaymentsPerYear,LoanAmount) + $E770))), 0), 2)</f>
        <v>0</v>
      </c>
      <c r="G770" s="5">
        <f t="shared" si="46"/>
        <v>0</v>
      </c>
      <c r="H770" s="5">
        <f t="shared" si="47"/>
        <v>0</v>
      </c>
    </row>
    <row r="771" spans="1:8" x14ac:dyDescent="0.2">
      <c r="A771" s="2">
        <v>770</v>
      </c>
      <c r="B771" s="5">
        <f t="shared" si="44"/>
        <v>0</v>
      </c>
      <c r="C771" s="5">
        <f t="shared" si="45"/>
        <v>0</v>
      </c>
      <c r="D771" s="5">
        <f>IF(ExtraPayment=0, 0, IF(AND($B771&lt;&gt;0,ExtraPayment&lt;=$B771),-ExtraPayment,-($F771)-$B771))</f>
        <v>0</v>
      </c>
      <c r="E771" s="5">
        <f>IF($B771 &lt;= 0, 0, -ROUND($B771 * (InterestRate / PaymentsPerYear), 2))</f>
        <v>0</v>
      </c>
      <c r="F771" s="5">
        <f>ROUND(IFERROR(IF(OR($B771 &lt;=0, $B771 = ExtraPayment),0,
MAX(-$B771, -(-PMT(InterestRate/PaymentsPerYear,LoanTerm*PaymentsPerYear,LoanAmount) + $E771))), 0), 2)</f>
        <v>0</v>
      </c>
      <c r="G771" s="5">
        <f t="shared" si="46"/>
        <v>0</v>
      </c>
      <c r="H771" s="5">
        <f t="shared" si="47"/>
        <v>0</v>
      </c>
    </row>
    <row r="772" spans="1:8" x14ac:dyDescent="0.2">
      <c r="A772" s="2">
        <v>771</v>
      </c>
      <c r="B772" s="5">
        <f t="shared" ref="B772:B835" si="48">ROUND(IF($H771 &gt;= 0, MAX($H771, $F771), 0), 2)</f>
        <v>0</v>
      </c>
      <c r="C772" s="5">
        <f t="shared" ref="C772:C835" si="49">IF($B772 &lt;= 0, 0, $D772+$E772+$F772)</f>
        <v>0</v>
      </c>
      <c r="D772" s="5">
        <f>IF(ExtraPayment=0, 0, IF(AND($B772&lt;&gt;0,ExtraPayment&lt;=$B772),-ExtraPayment,-($F772)-$B772))</f>
        <v>0</v>
      </c>
      <c r="E772" s="5">
        <f>IF($B772 &lt;= 0, 0, -ROUND($B772 * (InterestRate / PaymentsPerYear), 2))</f>
        <v>0</v>
      </c>
      <c r="F772" s="5">
        <f>ROUND(IFERROR(IF(OR($B772 &lt;=0, $B772 = ExtraPayment),0,
MAX(-$B772, -(-PMT(InterestRate/PaymentsPerYear,LoanTerm*PaymentsPerYear,LoanAmount) + $E772))), 0), 2)</f>
        <v>0</v>
      </c>
      <c r="G772" s="5">
        <f t="shared" ref="G772:G835" si="50">$D772+$F772</f>
        <v>0</v>
      </c>
      <c r="H772" s="5">
        <f t="shared" ref="H772:H835" si="51">ROUND(IF($B772 &lt;= 0, 0,MAX(0, $B772 + $G772)), 2)</f>
        <v>0</v>
      </c>
    </row>
    <row r="773" spans="1:8" x14ac:dyDescent="0.2">
      <c r="A773" s="2">
        <v>772</v>
      </c>
      <c r="B773" s="5">
        <f t="shared" si="48"/>
        <v>0</v>
      </c>
      <c r="C773" s="5">
        <f t="shared" si="49"/>
        <v>0</v>
      </c>
      <c r="D773" s="5">
        <f>IF(ExtraPayment=0, 0, IF(AND($B773&lt;&gt;0,ExtraPayment&lt;=$B773),-ExtraPayment,-($F773)-$B773))</f>
        <v>0</v>
      </c>
      <c r="E773" s="5">
        <f>IF($B773 &lt;= 0, 0, -ROUND($B773 * (InterestRate / PaymentsPerYear), 2))</f>
        <v>0</v>
      </c>
      <c r="F773" s="5">
        <f>ROUND(IFERROR(IF(OR($B773 &lt;=0, $B773 = ExtraPayment),0,
MAX(-$B773, -(-PMT(InterestRate/PaymentsPerYear,LoanTerm*PaymentsPerYear,LoanAmount) + $E773))), 0), 2)</f>
        <v>0</v>
      </c>
      <c r="G773" s="5">
        <f t="shared" si="50"/>
        <v>0</v>
      </c>
      <c r="H773" s="5">
        <f t="shared" si="51"/>
        <v>0</v>
      </c>
    </row>
    <row r="774" spans="1:8" x14ac:dyDescent="0.2">
      <c r="A774" s="2">
        <v>773</v>
      </c>
      <c r="B774" s="5">
        <f t="shared" si="48"/>
        <v>0</v>
      </c>
      <c r="C774" s="5">
        <f t="shared" si="49"/>
        <v>0</v>
      </c>
      <c r="D774" s="5">
        <f>IF(ExtraPayment=0, 0, IF(AND($B774&lt;&gt;0,ExtraPayment&lt;=$B774),-ExtraPayment,-($F774)-$B774))</f>
        <v>0</v>
      </c>
      <c r="E774" s="5">
        <f>IF($B774 &lt;= 0, 0, -ROUND($B774 * (InterestRate / PaymentsPerYear), 2))</f>
        <v>0</v>
      </c>
      <c r="F774" s="5">
        <f>ROUND(IFERROR(IF(OR($B774 &lt;=0, $B774 = ExtraPayment),0,
MAX(-$B774, -(-PMT(InterestRate/PaymentsPerYear,LoanTerm*PaymentsPerYear,LoanAmount) + $E774))), 0), 2)</f>
        <v>0</v>
      </c>
      <c r="G774" s="5">
        <f t="shared" si="50"/>
        <v>0</v>
      </c>
      <c r="H774" s="5">
        <f t="shared" si="51"/>
        <v>0</v>
      </c>
    </row>
    <row r="775" spans="1:8" x14ac:dyDescent="0.2">
      <c r="A775" s="2">
        <v>774</v>
      </c>
      <c r="B775" s="5">
        <f t="shared" si="48"/>
        <v>0</v>
      </c>
      <c r="C775" s="5">
        <f t="shared" si="49"/>
        <v>0</v>
      </c>
      <c r="D775" s="5">
        <f>IF(ExtraPayment=0, 0, IF(AND($B775&lt;&gt;0,ExtraPayment&lt;=$B775),-ExtraPayment,-($F775)-$B775))</f>
        <v>0</v>
      </c>
      <c r="E775" s="5">
        <f>IF($B775 &lt;= 0, 0, -ROUND($B775 * (InterestRate / PaymentsPerYear), 2))</f>
        <v>0</v>
      </c>
      <c r="F775" s="5">
        <f>ROUND(IFERROR(IF(OR($B775 &lt;=0, $B775 = ExtraPayment),0,
MAX(-$B775, -(-PMT(InterestRate/PaymentsPerYear,LoanTerm*PaymentsPerYear,LoanAmount) + $E775))), 0), 2)</f>
        <v>0</v>
      </c>
      <c r="G775" s="5">
        <f t="shared" si="50"/>
        <v>0</v>
      </c>
      <c r="H775" s="5">
        <f t="shared" si="51"/>
        <v>0</v>
      </c>
    </row>
    <row r="776" spans="1:8" x14ac:dyDescent="0.2">
      <c r="A776" s="2">
        <v>775</v>
      </c>
      <c r="B776" s="5">
        <f t="shared" si="48"/>
        <v>0</v>
      </c>
      <c r="C776" s="5">
        <f t="shared" si="49"/>
        <v>0</v>
      </c>
      <c r="D776" s="5">
        <f>IF(ExtraPayment=0, 0, IF(AND($B776&lt;&gt;0,ExtraPayment&lt;=$B776),-ExtraPayment,-($F776)-$B776))</f>
        <v>0</v>
      </c>
      <c r="E776" s="5">
        <f>IF($B776 &lt;= 0, 0, -ROUND($B776 * (InterestRate / PaymentsPerYear), 2))</f>
        <v>0</v>
      </c>
      <c r="F776" s="5">
        <f>ROUND(IFERROR(IF(OR($B776 &lt;=0, $B776 = ExtraPayment),0,
MAX(-$B776, -(-PMT(InterestRate/PaymentsPerYear,LoanTerm*PaymentsPerYear,LoanAmount) + $E776))), 0), 2)</f>
        <v>0</v>
      </c>
      <c r="G776" s="5">
        <f t="shared" si="50"/>
        <v>0</v>
      </c>
      <c r="H776" s="5">
        <f t="shared" si="51"/>
        <v>0</v>
      </c>
    </row>
    <row r="777" spans="1:8" x14ac:dyDescent="0.2">
      <c r="A777" s="2">
        <v>776</v>
      </c>
      <c r="B777" s="5">
        <f t="shared" si="48"/>
        <v>0</v>
      </c>
      <c r="C777" s="5">
        <f t="shared" si="49"/>
        <v>0</v>
      </c>
      <c r="D777" s="5">
        <f>IF(ExtraPayment=0, 0, IF(AND($B777&lt;&gt;0,ExtraPayment&lt;=$B777),-ExtraPayment,-($F777)-$B777))</f>
        <v>0</v>
      </c>
      <c r="E777" s="5">
        <f>IF($B777 &lt;= 0, 0, -ROUND($B777 * (InterestRate / PaymentsPerYear), 2))</f>
        <v>0</v>
      </c>
      <c r="F777" s="5">
        <f>ROUND(IFERROR(IF(OR($B777 &lt;=0, $B777 = ExtraPayment),0,
MAX(-$B777, -(-PMT(InterestRate/PaymentsPerYear,LoanTerm*PaymentsPerYear,LoanAmount) + $E777))), 0), 2)</f>
        <v>0</v>
      </c>
      <c r="G777" s="5">
        <f t="shared" si="50"/>
        <v>0</v>
      </c>
      <c r="H777" s="5">
        <f t="shared" si="51"/>
        <v>0</v>
      </c>
    </row>
    <row r="778" spans="1:8" x14ac:dyDescent="0.2">
      <c r="A778" s="2">
        <v>777</v>
      </c>
      <c r="B778" s="5">
        <f t="shared" si="48"/>
        <v>0</v>
      </c>
      <c r="C778" s="5">
        <f t="shared" si="49"/>
        <v>0</v>
      </c>
      <c r="D778" s="5">
        <f>IF(ExtraPayment=0, 0, IF(AND($B778&lt;&gt;0,ExtraPayment&lt;=$B778),-ExtraPayment,-($F778)-$B778))</f>
        <v>0</v>
      </c>
      <c r="E778" s="5">
        <f>IF($B778 &lt;= 0, 0, -ROUND($B778 * (InterestRate / PaymentsPerYear), 2))</f>
        <v>0</v>
      </c>
      <c r="F778" s="5">
        <f>ROUND(IFERROR(IF(OR($B778 &lt;=0, $B778 = ExtraPayment),0,
MAX(-$B778, -(-PMT(InterestRate/PaymentsPerYear,LoanTerm*PaymentsPerYear,LoanAmount) + $E778))), 0), 2)</f>
        <v>0</v>
      </c>
      <c r="G778" s="5">
        <f t="shared" si="50"/>
        <v>0</v>
      </c>
      <c r="H778" s="5">
        <f t="shared" si="51"/>
        <v>0</v>
      </c>
    </row>
    <row r="779" spans="1:8" x14ac:dyDescent="0.2">
      <c r="A779" s="2">
        <v>778</v>
      </c>
      <c r="B779" s="5">
        <f t="shared" si="48"/>
        <v>0</v>
      </c>
      <c r="C779" s="5">
        <f t="shared" si="49"/>
        <v>0</v>
      </c>
      <c r="D779" s="5">
        <f>IF(ExtraPayment=0, 0, IF(AND($B779&lt;&gt;0,ExtraPayment&lt;=$B779),-ExtraPayment,-($F779)-$B779))</f>
        <v>0</v>
      </c>
      <c r="E779" s="5">
        <f>IF($B779 &lt;= 0, 0, -ROUND($B779 * (InterestRate / PaymentsPerYear), 2))</f>
        <v>0</v>
      </c>
      <c r="F779" s="5">
        <f>ROUND(IFERROR(IF(OR($B779 &lt;=0, $B779 = ExtraPayment),0,
MAX(-$B779, -(-PMT(InterestRate/PaymentsPerYear,LoanTerm*PaymentsPerYear,LoanAmount) + $E779))), 0), 2)</f>
        <v>0</v>
      </c>
      <c r="G779" s="5">
        <f t="shared" si="50"/>
        <v>0</v>
      </c>
      <c r="H779" s="5">
        <f t="shared" si="51"/>
        <v>0</v>
      </c>
    </row>
    <row r="780" spans="1:8" x14ac:dyDescent="0.2">
      <c r="A780" s="2">
        <v>779</v>
      </c>
      <c r="B780" s="5">
        <f t="shared" si="48"/>
        <v>0</v>
      </c>
      <c r="C780" s="5">
        <f t="shared" si="49"/>
        <v>0</v>
      </c>
      <c r="D780" s="5">
        <f>IF(ExtraPayment=0, 0, IF(AND($B780&lt;&gt;0,ExtraPayment&lt;=$B780),-ExtraPayment,-($F780)-$B780))</f>
        <v>0</v>
      </c>
      <c r="E780" s="5">
        <f>IF($B780 &lt;= 0, 0, -ROUND($B780 * (InterestRate / PaymentsPerYear), 2))</f>
        <v>0</v>
      </c>
      <c r="F780" s="5">
        <f>ROUND(IFERROR(IF(OR($B780 &lt;=0, $B780 = ExtraPayment),0,
MAX(-$B780, -(-PMT(InterestRate/PaymentsPerYear,LoanTerm*PaymentsPerYear,LoanAmount) + $E780))), 0), 2)</f>
        <v>0</v>
      </c>
      <c r="G780" s="5">
        <f t="shared" si="50"/>
        <v>0</v>
      </c>
      <c r="H780" s="5">
        <f t="shared" si="51"/>
        <v>0</v>
      </c>
    </row>
    <row r="781" spans="1:8" x14ac:dyDescent="0.2">
      <c r="A781" s="2">
        <v>780</v>
      </c>
      <c r="B781" s="5">
        <f t="shared" si="48"/>
        <v>0</v>
      </c>
      <c r="C781" s="5">
        <f t="shared" si="49"/>
        <v>0</v>
      </c>
      <c r="D781" s="5">
        <f>IF(ExtraPayment=0, 0, IF(AND($B781&lt;&gt;0,ExtraPayment&lt;=$B781),-ExtraPayment,-($F781)-$B781))</f>
        <v>0</v>
      </c>
      <c r="E781" s="5">
        <f>IF($B781 &lt;= 0, 0, -ROUND($B781 * (InterestRate / PaymentsPerYear), 2))</f>
        <v>0</v>
      </c>
      <c r="F781" s="5">
        <f>ROUND(IFERROR(IF(OR($B781 &lt;=0, $B781 = ExtraPayment),0,
MAX(-$B781, -(-PMT(InterestRate/PaymentsPerYear,LoanTerm*PaymentsPerYear,LoanAmount) + $E781))), 0), 2)</f>
        <v>0</v>
      </c>
      <c r="G781" s="5">
        <f t="shared" si="50"/>
        <v>0</v>
      </c>
      <c r="H781" s="5">
        <f t="shared" si="51"/>
        <v>0</v>
      </c>
    </row>
    <row r="782" spans="1:8" x14ac:dyDescent="0.2">
      <c r="A782" s="2">
        <v>781</v>
      </c>
      <c r="B782" s="5">
        <f t="shared" si="48"/>
        <v>0</v>
      </c>
      <c r="C782" s="5">
        <f t="shared" si="49"/>
        <v>0</v>
      </c>
      <c r="D782" s="5">
        <f>IF(ExtraPayment=0, 0, IF(AND($B782&lt;&gt;0,ExtraPayment&lt;=$B782),-ExtraPayment,-($F782)-$B782))</f>
        <v>0</v>
      </c>
      <c r="E782" s="5">
        <f>IF($B782 &lt;= 0, 0, -ROUND($B782 * (InterestRate / PaymentsPerYear), 2))</f>
        <v>0</v>
      </c>
      <c r="F782" s="5">
        <f>ROUND(IFERROR(IF(OR($B782 &lt;=0, $B782 = ExtraPayment),0,
MAX(-$B782, -(-PMT(InterestRate/PaymentsPerYear,LoanTerm*PaymentsPerYear,LoanAmount) + $E782))), 0), 2)</f>
        <v>0</v>
      </c>
      <c r="G782" s="5">
        <f t="shared" si="50"/>
        <v>0</v>
      </c>
      <c r="H782" s="5">
        <f t="shared" si="51"/>
        <v>0</v>
      </c>
    </row>
    <row r="783" spans="1:8" x14ac:dyDescent="0.2">
      <c r="A783" s="2">
        <v>782</v>
      </c>
      <c r="B783" s="5">
        <f t="shared" si="48"/>
        <v>0</v>
      </c>
      <c r="C783" s="5">
        <f t="shared" si="49"/>
        <v>0</v>
      </c>
      <c r="D783" s="5">
        <f>IF(ExtraPayment=0, 0, IF(AND($B783&lt;&gt;0,ExtraPayment&lt;=$B783),-ExtraPayment,-($F783)-$B783))</f>
        <v>0</v>
      </c>
      <c r="E783" s="5">
        <f>IF($B783 &lt;= 0, 0, -ROUND($B783 * (InterestRate / PaymentsPerYear), 2))</f>
        <v>0</v>
      </c>
      <c r="F783" s="5">
        <f>ROUND(IFERROR(IF(OR($B783 &lt;=0, $B783 = ExtraPayment),0,
MAX(-$B783, -(-PMT(InterestRate/PaymentsPerYear,LoanTerm*PaymentsPerYear,LoanAmount) + $E783))), 0), 2)</f>
        <v>0</v>
      </c>
      <c r="G783" s="5">
        <f t="shared" si="50"/>
        <v>0</v>
      </c>
      <c r="H783" s="5">
        <f t="shared" si="51"/>
        <v>0</v>
      </c>
    </row>
    <row r="784" spans="1:8" x14ac:dyDescent="0.2">
      <c r="A784" s="2">
        <v>783</v>
      </c>
      <c r="B784" s="5">
        <f t="shared" si="48"/>
        <v>0</v>
      </c>
      <c r="C784" s="5">
        <f t="shared" si="49"/>
        <v>0</v>
      </c>
      <c r="D784" s="5">
        <f>IF(ExtraPayment=0, 0, IF(AND($B784&lt;&gt;0,ExtraPayment&lt;=$B784),-ExtraPayment,-($F784)-$B784))</f>
        <v>0</v>
      </c>
      <c r="E784" s="5">
        <f>IF($B784 &lt;= 0, 0, -ROUND($B784 * (InterestRate / PaymentsPerYear), 2))</f>
        <v>0</v>
      </c>
      <c r="F784" s="5">
        <f>ROUND(IFERROR(IF(OR($B784 &lt;=0, $B784 = ExtraPayment),0,
MAX(-$B784, -(-PMT(InterestRate/PaymentsPerYear,LoanTerm*PaymentsPerYear,LoanAmount) + $E784))), 0), 2)</f>
        <v>0</v>
      </c>
      <c r="G784" s="5">
        <f t="shared" si="50"/>
        <v>0</v>
      </c>
      <c r="H784" s="5">
        <f t="shared" si="51"/>
        <v>0</v>
      </c>
    </row>
    <row r="785" spans="1:8" x14ac:dyDescent="0.2">
      <c r="A785" s="2">
        <v>784</v>
      </c>
      <c r="B785" s="5">
        <f t="shared" si="48"/>
        <v>0</v>
      </c>
      <c r="C785" s="5">
        <f t="shared" si="49"/>
        <v>0</v>
      </c>
      <c r="D785" s="5">
        <f>IF(ExtraPayment=0, 0, IF(AND($B785&lt;&gt;0,ExtraPayment&lt;=$B785),-ExtraPayment,-($F785)-$B785))</f>
        <v>0</v>
      </c>
      <c r="E785" s="5">
        <f>IF($B785 &lt;= 0, 0, -ROUND($B785 * (InterestRate / PaymentsPerYear), 2))</f>
        <v>0</v>
      </c>
      <c r="F785" s="5">
        <f>ROUND(IFERROR(IF(OR($B785 &lt;=0, $B785 = ExtraPayment),0,
MAX(-$B785, -(-PMT(InterestRate/PaymentsPerYear,LoanTerm*PaymentsPerYear,LoanAmount) + $E785))), 0), 2)</f>
        <v>0</v>
      </c>
      <c r="G785" s="5">
        <f t="shared" si="50"/>
        <v>0</v>
      </c>
      <c r="H785" s="5">
        <f t="shared" si="51"/>
        <v>0</v>
      </c>
    </row>
    <row r="786" spans="1:8" x14ac:dyDescent="0.2">
      <c r="A786" s="2">
        <v>785</v>
      </c>
      <c r="B786" s="5">
        <f t="shared" si="48"/>
        <v>0</v>
      </c>
      <c r="C786" s="5">
        <f t="shared" si="49"/>
        <v>0</v>
      </c>
      <c r="D786" s="5">
        <f>IF(ExtraPayment=0, 0, IF(AND($B786&lt;&gt;0,ExtraPayment&lt;=$B786),-ExtraPayment,-($F786)-$B786))</f>
        <v>0</v>
      </c>
      <c r="E786" s="5">
        <f>IF($B786 &lt;= 0, 0, -ROUND($B786 * (InterestRate / PaymentsPerYear), 2))</f>
        <v>0</v>
      </c>
      <c r="F786" s="5">
        <f>ROUND(IFERROR(IF(OR($B786 &lt;=0, $B786 = ExtraPayment),0,
MAX(-$B786, -(-PMT(InterestRate/PaymentsPerYear,LoanTerm*PaymentsPerYear,LoanAmount) + $E786))), 0), 2)</f>
        <v>0</v>
      </c>
      <c r="G786" s="5">
        <f t="shared" si="50"/>
        <v>0</v>
      </c>
      <c r="H786" s="5">
        <f t="shared" si="51"/>
        <v>0</v>
      </c>
    </row>
    <row r="787" spans="1:8" x14ac:dyDescent="0.2">
      <c r="A787" s="2">
        <v>786</v>
      </c>
      <c r="B787" s="5">
        <f t="shared" si="48"/>
        <v>0</v>
      </c>
      <c r="C787" s="5">
        <f t="shared" si="49"/>
        <v>0</v>
      </c>
      <c r="D787" s="5">
        <f>IF(ExtraPayment=0, 0, IF(AND($B787&lt;&gt;0,ExtraPayment&lt;=$B787),-ExtraPayment,-($F787)-$B787))</f>
        <v>0</v>
      </c>
      <c r="E787" s="5">
        <f>IF($B787 &lt;= 0, 0, -ROUND($B787 * (InterestRate / PaymentsPerYear), 2))</f>
        <v>0</v>
      </c>
      <c r="F787" s="5">
        <f>ROUND(IFERROR(IF(OR($B787 &lt;=0, $B787 = ExtraPayment),0,
MAX(-$B787, -(-PMT(InterestRate/PaymentsPerYear,LoanTerm*PaymentsPerYear,LoanAmount) + $E787))), 0), 2)</f>
        <v>0</v>
      </c>
      <c r="G787" s="5">
        <f t="shared" si="50"/>
        <v>0</v>
      </c>
      <c r="H787" s="5">
        <f t="shared" si="51"/>
        <v>0</v>
      </c>
    </row>
    <row r="788" spans="1:8" x14ac:dyDescent="0.2">
      <c r="A788" s="2">
        <v>787</v>
      </c>
      <c r="B788" s="5">
        <f t="shared" si="48"/>
        <v>0</v>
      </c>
      <c r="C788" s="5">
        <f t="shared" si="49"/>
        <v>0</v>
      </c>
      <c r="D788" s="5">
        <f>IF(ExtraPayment=0, 0, IF(AND($B788&lt;&gt;0,ExtraPayment&lt;=$B788),-ExtraPayment,-($F788)-$B788))</f>
        <v>0</v>
      </c>
      <c r="E788" s="5">
        <f>IF($B788 &lt;= 0, 0, -ROUND($B788 * (InterestRate / PaymentsPerYear), 2))</f>
        <v>0</v>
      </c>
      <c r="F788" s="5">
        <f>ROUND(IFERROR(IF(OR($B788 &lt;=0, $B788 = ExtraPayment),0,
MAX(-$B788, -(-PMT(InterestRate/PaymentsPerYear,LoanTerm*PaymentsPerYear,LoanAmount) + $E788))), 0), 2)</f>
        <v>0</v>
      </c>
      <c r="G788" s="5">
        <f t="shared" si="50"/>
        <v>0</v>
      </c>
      <c r="H788" s="5">
        <f t="shared" si="51"/>
        <v>0</v>
      </c>
    </row>
    <row r="789" spans="1:8" x14ac:dyDescent="0.2">
      <c r="A789" s="2">
        <v>788</v>
      </c>
      <c r="B789" s="5">
        <f t="shared" si="48"/>
        <v>0</v>
      </c>
      <c r="C789" s="5">
        <f t="shared" si="49"/>
        <v>0</v>
      </c>
      <c r="D789" s="5">
        <f>IF(ExtraPayment=0, 0, IF(AND($B789&lt;&gt;0,ExtraPayment&lt;=$B789),-ExtraPayment,-($F789)-$B789))</f>
        <v>0</v>
      </c>
      <c r="E789" s="5">
        <f>IF($B789 &lt;= 0, 0, -ROUND($B789 * (InterestRate / PaymentsPerYear), 2))</f>
        <v>0</v>
      </c>
      <c r="F789" s="5">
        <f>ROUND(IFERROR(IF(OR($B789 &lt;=0, $B789 = ExtraPayment),0,
MAX(-$B789, -(-PMT(InterestRate/PaymentsPerYear,LoanTerm*PaymentsPerYear,LoanAmount) + $E789))), 0), 2)</f>
        <v>0</v>
      </c>
      <c r="G789" s="5">
        <f t="shared" si="50"/>
        <v>0</v>
      </c>
      <c r="H789" s="5">
        <f t="shared" si="51"/>
        <v>0</v>
      </c>
    </row>
    <row r="790" spans="1:8" x14ac:dyDescent="0.2">
      <c r="A790" s="2">
        <v>789</v>
      </c>
      <c r="B790" s="5">
        <f t="shared" si="48"/>
        <v>0</v>
      </c>
      <c r="C790" s="5">
        <f t="shared" si="49"/>
        <v>0</v>
      </c>
      <c r="D790" s="5">
        <f>IF(ExtraPayment=0, 0, IF(AND($B790&lt;&gt;0,ExtraPayment&lt;=$B790),-ExtraPayment,-($F790)-$B790))</f>
        <v>0</v>
      </c>
      <c r="E790" s="5">
        <f>IF($B790 &lt;= 0, 0, -ROUND($B790 * (InterestRate / PaymentsPerYear), 2))</f>
        <v>0</v>
      </c>
      <c r="F790" s="5">
        <f>ROUND(IFERROR(IF(OR($B790 &lt;=0, $B790 = ExtraPayment),0,
MAX(-$B790, -(-PMT(InterestRate/PaymentsPerYear,LoanTerm*PaymentsPerYear,LoanAmount) + $E790))), 0), 2)</f>
        <v>0</v>
      </c>
      <c r="G790" s="5">
        <f t="shared" si="50"/>
        <v>0</v>
      </c>
      <c r="H790" s="5">
        <f t="shared" si="51"/>
        <v>0</v>
      </c>
    </row>
    <row r="791" spans="1:8" x14ac:dyDescent="0.2">
      <c r="A791" s="2">
        <v>790</v>
      </c>
      <c r="B791" s="5">
        <f t="shared" si="48"/>
        <v>0</v>
      </c>
      <c r="C791" s="5">
        <f t="shared" si="49"/>
        <v>0</v>
      </c>
      <c r="D791" s="5">
        <f>IF(ExtraPayment=0, 0, IF(AND($B791&lt;&gt;0,ExtraPayment&lt;=$B791),-ExtraPayment,-($F791)-$B791))</f>
        <v>0</v>
      </c>
      <c r="E791" s="5">
        <f>IF($B791 &lt;= 0, 0, -ROUND($B791 * (InterestRate / PaymentsPerYear), 2))</f>
        <v>0</v>
      </c>
      <c r="F791" s="5">
        <f>ROUND(IFERROR(IF(OR($B791 &lt;=0, $B791 = ExtraPayment),0,
MAX(-$B791, -(-PMT(InterestRate/PaymentsPerYear,LoanTerm*PaymentsPerYear,LoanAmount) + $E791))), 0), 2)</f>
        <v>0</v>
      </c>
      <c r="G791" s="5">
        <f t="shared" si="50"/>
        <v>0</v>
      </c>
      <c r="H791" s="5">
        <f t="shared" si="51"/>
        <v>0</v>
      </c>
    </row>
    <row r="792" spans="1:8" x14ac:dyDescent="0.2">
      <c r="A792" s="2">
        <v>791</v>
      </c>
      <c r="B792" s="5">
        <f t="shared" si="48"/>
        <v>0</v>
      </c>
      <c r="C792" s="5">
        <f t="shared" si="49"/>
        <v>0</v>
      </c>
      <c r="D792" s="5">
        <f>IF(ExtraPayment=0, 0, IF(AND($B792&lt;&gt;0,ExtraPayment&lt;=$B792),-ExtraPayment,-($F792)-$B792))</f>
        <v>0</v>
      </c>
      <c r="E792" s="5">
        <f>IF($B792 &lt;= 0, 0, -ROUND($B792 * (InterestRate / PaymentsPerYear), 2))</f>
        <v>0</v>
      </c>
      <c r="F792" s="5">
        <f>ROUND(IFERROR(IF(OR($B792 &lt;=0, $B792 = ExtraPayment),0,
MAX(-$B792, -(-PMT(InterestRate/PaymentsPerYear,LoanTerm*PaymentsPerYear,LoanAmount) + $E792))), 0), 2)</f>
        <v>0</v>
      </c>
      <c r="G792" s="5">
        <f t="shared" si="50"/>
        <v>0</v>
      </c>
      <c r="H792" s="5">
        <f t="shared" si="51"/>
        <v>0</v>
      </c>
    </row>
    <row r="793" spans="1:8" x14ac:dyDescent="0.2">
      <c r="A793" s="2">
        <v>792</v>
      </c>
      <c r="B793" s="5">
        <f t="shared" si="48"/>
        <v>0</v>
      </c>
      <c r="C793" s="5">
        <f t="shared" si="49"/>
        <v>0</v>
      </c>
      <c r="D793" s="5">
        <f>IF(ExtraPayment=0, 0, IF(AND($B793&lt;&gt;0,ExtraPayment&lt;=$B793),-ExtraPayment,-($F793)-$B793))</f>
        <v>0</v>
      </c>
      <c r="E793" s="5">
        <f>IF($B793 &lt;= 0, 0, -ROUND($B793 * (InterestRate / PaymentsPerYear), 2))</f>
        <v>0</v>
      </c>
      <c r="F793" s="5">
        <f>ROUND(IFERROR(IF(OR($B793 &lt;=0, $B793 = ExtraPayment),0,
MAX(-$B793, -(-PMT(InterestRate/PaymentsPerYear,LoanTerm*PaymentsPerYear,LoanAmount) + $E793))), 0), 2)</f>
        <v>0</v>
      </c>
      <c r="G793" s="5">
        <f t="shared" si="50"/>
        <v>0</v>
      </c>
      <c r="H793" s="5">
        <f t="shared" si="51"/>
        <v>0</v>
      </c>
    </row>
    <row r="794" spans="1:8" x14ac:dyDescent="0.2">
      <c r="A794" s="2">
        <v>793</v>
      </c>
      <c r="B794" s="5">
        <f t="shared" si="48"/>
        <v>0</v>
      </c>
      <c r="C794" s="5">
        <f t="shared" si="49"/>
        <v>0</v>
      </c>
      <c r="D794" s="5">
        <f>IF(ExtraPayment=0, 0, IF(AND($B794&lt;&gt;0,ExtraPayment&lt;=$B794),-ExtraPayment,-($F794)-$B794))</f>
        <v>0</v>
      </c>
      <c r="E794" s="5">
        <f>IF($B794 &lt;= 0, 0, -ROUND($B794 * (InterestRate / PaymentsPerYear), 2))</f>
        <v>0</v>
      </c>
      <c r="F794" s="5">
        <f>ROUND(IFERROR(IF(OR($B794 &lt;=0, $B794 = ExtraPayment),0,
MAX(-$B794, -(-PMT(InterestRate/PaymentsPerYear,LoanTerm*PaymentsPerYear,LoanAmount) + $E794))), 0), 2)</f>
        <v>0</v>
      </c>
      <c r="G794" s="5">
        <f t="shared" si="50"/>
        <v>0</v>
      </c>
      <c r="H794" s="5">
        <f t="shared" si="51"/>
        <v>0</v>
      </c>
    </row>
    <row r="795" spans="1:8" x14ac:dyDescent="0.2">
      <c r="A795" s="2">
        <v>794</v>
      </c>
      <c r="B795" s="5">
        <f t="shared" si="48"/>
        <v>0</v>
      </c>
      <c r="C795" s="5">
        <f t="shared" si="49"/>
        <v>0</v>
      </c>
      <c r="D795" s="5">
        <f>IF(ExtraPayment=0, 0, IF(AND($B795&lt;&gt;0,ExtraPayment&lt;=$B795),-ExtraPayment,-($F795)-$B795))</f>
        <v>0</v>
      </c>
      <c r="E795" s="5">
        <f>IF($B795 &lt;= 0, 0, -ROUND($B795 * (InterestRate / PaymentsPerYear), 2))</f>
        <v>0</v>
      </c>
      <c r="F795" s="5">
        <f>ROUND(IFERROR(IF(OR($B795 &lt;=0, $B795 = ExtraPayment),0,
MAX(-$B795, -(-PMT(InterestRate/PaymentsPerYear,LoanTerm*PaymentsPerYear,LoanAmount) + $E795))), 0), 2)</f>
        <v>0</v>
      </c>
      <c r="G795" s="5">
        <f t="shared" si="50"/>
        <v>0</v>
      </c>
      <c r="H795" s="5">
        <f t="shared" si="51"/>
        <v>0</v>
      </c>
    </row>
    <row r="796" spans="1:8" x14ac:dyDescent="0.2">
      <c r="A796" s="2">
        <v>795</v>
      </c>
      <c r="B796" s="5">
        <f t="shared" si="48"/>
        <v>0</v>
      </c>
      <c r="C796" s="5">
        <f t="shared" si="49"/>
        <v>0</v>
      </c>
      <c r="D796" s="5">
        <f>IF(ExtraPayment=0, 0, IF(AND($B796&lt;&gt;0,ExtraPayment&lt;=$B796),-ExtraPayment,-($F796)-$B796))</f>
        <v>0</v>
      </c>
      <c r="E796" s="5">
        <f>IF($B796 &lt;= 0, 0, -ROUND($B796 * (InterestRate / PaymentsPerYear), 2))</f>
        <v>0</v>
      </c>
      <c r="F796" s="5">
        <f>ROUND(IFERROR(IF(OR($B796 &lt;=0, $B796 = ExtraPayment),0,
MAX(-$B796, -(-PMT(InterestRate/PaymentsPerYear,LoanTerm*PaymentsPerYear,LoanAmount) + $E796))), 0), 2)</f>
        <v>0</v>
      </c>
      <c r="G796" s="5">
        <f t="shared" si="50"/>
        <v>0</v>
      </c>
      <c r="H796" s="5">
        <f t="shared" si="51"/>
        <v>0</v>
      </c>
    </row>
    <row r="797" spans="1:8" x14ac:dyDescent="0.2">
      <c r="A797" s="2">
        <v>796</v>
      </c>
      <c r="B797" s="5">
        <f t="shared" si="48"/>
        <v>0</v>
      </c>
      <c r="C797" s="5">
        <f t="shared" si="49"/>
        <v>0</v>
      </c>
      <c r="D797" s="5">
        <f>IF(ExtraPayment=0, 0, IF(AND($B797&lt;&gt;0,ExtraPayment&lt;=$B797),-ExtraPayment,-($F797)-$B797))</f>
        <v>0</v>
      </c>
      <c r="E797" s="5">
        <f>IF($B797 &lt;= 0, 0, -ROUND($B797 * (InterestRate / PaymentsPerYear), 2))</f>
        <v>0</v>
      </c>
      <c r="F797" s="5">
        <f>ROUND(IFERROR(IF(OR($B797 &lt;=0, $B797 = ExtraPayment),0,
MAX(-$B797, -(-PMT(InterestRate/PaymentsPerYear,LoanTerm*PaymentsPerYear,LoanAmount) + $E797))), 0), 2)</f>
        <v>0</v>
      </c>
      <c r="G797" s="5">
        <f t="shared" si="50"/>
        <v>0</v>
      </c>
      <c r="H797" s="5">
        <f t="shared" si="51"/>
        <v>0</v>
      </c>
    </row>
    <row r="798" spans="1:8" x14ac:dyDescent="0.2">
      <c r="A798" s="2">
        <v>797</v>
      </c>
      <c r="B798" s="5">
        <f t="shared" si="48"/>
        <v>0</v>
      </c>
      <c r="C798" s="5">
        <f t="shared" si="49"/>
        <v>0</v>
      </c>
      <c r="D798" s="5">
        <f>IF(ExtraPayment=0, 0, IF(AND($B798&lt;&gt;0,ExtraPayment&lt;=$B798),-ExtraPayment,-($F798)-$B798))</f>
        <v>0</v>
      </c>
      <c r="E798" s="5">
        <f>IF($B798 &lt;= 0, 0, -ROUND($B798 * (InterestRate / PaymentsPerYear), 2))</f>
        <v>0</v>
      </c>
      <c r="F798" s="5">
        <f>ROUND(IFERROR(IF(OR($B798 &lt;=0, $B798 = ExtraPayment),0,
MAX(-$B798, -(-PMT(InterestRate/PaymentsPerYear,LoanTerm*PaymentsPerYear,LoanAmount) + $E798))), 0), 2)</f>
        <v>0</v>
      </c>
      <c r="G798" s="5">
        <f t="shared" si="50"/>
        <v>0</v>
      </c>
      <c r="H798" s="5">
        <f t="shared" si="51"/>
        <v>0</v>
      </c>
    </row>
    <row r="799" spans="1:8" x14ac:dyDescent="0.2">
      <c r="A799" s="2">
        <v>798</v>
      </c>
      <c r="B799" s="5">
        <f t="shared" si="48"/>
        <v>0</v>
      </c>
      <c r="C799" s="5">
        <f t="shared" si="49"/>
        <v>0</v>
      </c>
      <c r="D799" s="5">
        <f>IF(ExtraPayment=0, 0, IF(AND($B799&lt;&gt;0,ExtraPayment&lt;=$B799),-ExtraPayment,-($F799)-$B799))</f>
        <v>0</v>
      </c>
      <c r="E799" s="5">
        <f>IF($B799 &lt;= 0, 0, -ROUND($B799 * (InterestRate / PaymentsPerYear), 2))</f>
        <v>0</v>
      </c>
      <c r="F799" s="5">
        <f>ROUND(IFERROR(IF(OR($B799 &lt;=0, $B799 = ExtraPayment),0,
MAX(-$B799, -(-PMT(InterestRate/PaymentsPerYear,LoanTerm*PaymentsPerYear,LoanAmount) + $E799))), 0), 2)</f>
        <v>0</v>
      </c>
      <c r="G799" s="5">
        <f t="shared" si="50"/>
        <v>0</v>
      </c>
      <c r="H799" s="5">
        <f t="shared" si="51"/>
        <v>0</v>
      </c>
    </row>
    <row r="800" spans="1:8" x14ac:dyDescent="0.2">
      <c r="A800" s="2">
        <v>799</v>
      </c>
      <c r="B800" s="5">
        <f t="shared" si="48"/>
        <v>0</v>
      </c>
      <c r="C800" s="5">
        <f t="shared" si="49"/>
        <v>0</v>
      </c>
      <c r="D800" s="5">
        <f>IF(ExtraPayment=0, 0, IF(AND($B800&lt;&gt;0,ExtraPayment&lt;=$B800),-ExtraPayment,-($F800)-$B800))</f>
        <v>0</v>
      </c>
      <c r="E800" s="5">
        <f>IF($B800 &lt;= 0, 0, -ROUND($B800 * (InterestRate / PaymentsPerYear), 2))</f>
        <v>0</v>
      </c>
      <c r="F800" s="5">
        <f>ROUND(IFERROR(IF(OR($B800 &lt;=0, $B800 = ExtraPayment),0,
MAX(-$B800, -(-PMT(InterestRate/PaymentsPerYear,LoanTerm*PaymentsPerYear,LoanAmount) + $E800))), 0), 2)</f>
        <v>0</v>
      </c>
      <c r="G800" s="5">
        <f t="shared" si="50"/>
        <v>0</v>
      </c>
      <c r="H800" s="5">
        <f t="shared" si="51"/>
        <v>0</v>
      </c>
    </row>
    <row r="801" spans="1:8" x14ac:dyDescent="0.2">
      <c r="A801" s="2">
        <v>800</v>
      </c>
      <c r="B801" s="5">
        <f t="shared" si="48"/>
        <v>0</v>
      </c>
      <c r="C801" s="5">
        <f t="shared" si="49"/>
        <v>0</v>
      </c>
      <c r="D801" s="5">
        <f>IF(ExtraPayment=0, 0, IF(AND($B801&lt;&gt;0,ExtraPayment&lt;=$B801),-ExtraPayment,-($F801)-$B801))</f>
        <v>0</v>
      </c>
      <c r="E801" s="5">
        <f>IF($B801 &lt;= 0, 0, -ROUND($B801 * (InterestRate / PaymentsPerYear), 2))</f>
        <v>0</v>
      </c>
      <c r="F801" s="5">
        <f>ROUND(IFERROR(IF(OR($B801 &lt;=0, $B801 = ExtraPayment),0,
MAX(-$B801, -(-PMT(InterestRate/PaymentsPerYear,LoanTerm*PaymentsPerYear,LoanAmount) + $E801))), 0), 2)</f>
        <v>0</v>
      </c>
      <c r="G801" s="5">
        <f t="shared" si="50"/>
        <v>0</v>
      </c>
      <c r="H801" s="5">
        <f t="shared" si="51"/>
        <v>0</v>
      </c>
    </row>
    <row r="802" spans="1:8" x14ac:dyDescent="0.2">
      <c r="A802" s="2">
        <v>801</v>
      </c>
      <c r="B802" s="5">
        <f t="shared" si="48"/>
        <v>0</v>
      </c>
      <c r="C802" s="5">
        <f t="shared" si="49"/>
        <v>0</v>
      </c>
      <c r="D802" s="5">
        <f>IF(ExtraPayment=0, 0, IF(AND($B802&lt;&gt;0,ExtraPayment&lt;=$B802),-ExtraPayment,-($F802)-$B802))</f>
        <v>0</v>
      </c>
      <c r="E802" s="5">
        <f>IF($B802 &lt;= 0, 0, -ROUND($B802 * (InterestRate / PaymentsPerYear), 2))</f>
        <v>0</v>
      </c>
      <c r="F802" s="5">
        <f>ROUND(IFERROR(IF(OR($B802 &lt;=0, $B802 = ExtraPayment),0,
MAX(-$B802, -(-PMT(InterestRate/PaymentsPerYear,LoanTerm*PaymentsPerYear,LoanAmount) + $E802))), 0), 2)</f>
        <v>0</v>
      </c>
      <c r="G802" s="5">
        <f t="shared" si="50"/>
        <v>0</v>
      </c>
      <c r="H802" s="5">
        <f t="shared" si="51"/>
        <v>0</v>
      </c>
    </row>
    <row r="803" spans="1:8" x14ac:dyDescent="0.2">
      <c r="A803" s="2">
        <v>802</v>
      </c>
      <c r="B803" s="5">
        <f t="shared" si="48"/>
        <v>0</v>
      </c>
      <c r="C803" s="5">
        <f t="shared" si="49"/>
        <v>0</v>
      </c>
      <c r="D803" s="5">
        <f>IF(ExtraPayment=0, 0, IF(AND($B803&lt;&gt;0,ExtraPayment&lt;=$B803),-ExtraPayment,-($F803)-$B803))</f>
        <v>0</v>
      </c>
      <c r="E803" s="5">
        <f>IF($B803 &lt;= 0, 0, -ROUND($B803 * (InterestRate / PaymentsPerYear), 2))</f>
        <v>0</v>
      </c>
      <c r="F803" s="5">
        <f>ROUND(IFERROR(IF(OR($B803 &lt;=0, $B803 = ExtraPayment),0,
MAX(-$B803, -(-PMT(InterestRate/PaymentsPerYear,LoanTerm*PaymentsPerYear,LoanAmount) + $E803))), 0), 2)</f>
        <v>0</v>
      </c>
      <c r="G803" s="5">
        <f t="shared" si="50"/>
        <v>0</v>
      </c>
      <c r="H803" s="5">
        <f t="shared" si="51"/>
        <v>0</v>
      </c>
    </row>
    <row r="804" spans="1:8" x14ac:dyDescent="0.2">
      <c r="A804" s="2">
        <v>803</v>
      </c>
      <c r="B804" s="5">
        <f t="shared" si="48"/>
        <v>0</v>
      </c>
      <c r="C804" s="5">
        <f t="shared" si="49"/>
        <v>0</v>
      </c>
      <c r="D804" s="5">
        <f>IF(ExtraPayment=0, 0, IF(AND($B804&lt;&gt;0,ExtraPayment&lt;=$B804),-ExtraPayment,-($F804)-$B804))</f>
        <v>0</v>
      </c>
      <c r="E804" s="5">
        <f>IF($B804 &lt;= 0, 0, -ROUND($B804 * (InterestRate / PaymentsPerYear), 2))</f>
        <v>0</v>
      </c>
      <c r="F804" s="5">
        <f>ROUND(IFERROR(IF(OR($B804 &lt;=0, $B804 = ExtraPayment),0,
MAX(-$B804, -(-PMT(InterestRate/PaymentsPerYear,LoanTerm*PaymentsPerYear,LoanAmount) + $E804))), 0), 2)</f>
        <v>0</v>
      </c>
      <c r="G804" s="5">
        <f t="shared" si="50"/>
        <v>0</v>
      </c>
      <c r="H804" s="5">
        <f t="shared" si="51"/>
        <v>0</v>
      </c>
    </row>
    <row r="805" spans="1:8" x14ac:dyDescent="0.2">
      <c r="A805" s="2">
        <v>804</v>
      </c>
      <c r="B805" s="5">
        <f t="shared" si="48"/>
        <v>0</v>
      </c>
      <c r="C805" s="5">
        <f t="shared" si="49"/>
        <v>0</v>
      </c>
      <c r="D805" s="5">
        <f>IF(ExtraPayment=0, 0, IF(AND($B805&lt;&gt;0,ExtraPayment&lt;=$B805),-ExtraPayment,-($F805)-$B805))</f>
        <v>0</v>
      </c>
      <c r="E805" s="5">
        <f>IF($B805 &lt;= 0, 0, -ROUND($B805 * (InterestRate / PaymentsPerYear), 2))</f>
        <v>0</v>
      </c>
      <c r="F805" s="5">
        <f>ROUND(IFERROR(IF(OR($B805 &lt;=0, $B805 = ExtraPayment),0,
MAX(-$B805, -(-PMT(InterestRate/PaymentsPerYear,LoanTerm*PaymentsPerYear,LoanAmount) + $E805))), 0), 2)</f>
        <v>0</v>
      </c>
      <c r="G805" s="5">
        <f t="shared" si="50"/>
        <v>0</v>
      </c>
      <c r="H805" s="5">
        <f t="shared" si="51"/>
        <v>0</v>
      </c>
    </row>
    <row r="806" spans="1:8" x14ac:dyDescent="0.2">
      <c r="A806" s="2">
        <v>805</v>
      </c>
      <c r="B806" s="5">
        <f t="shared" si="48"/>
        <v>0</v>
      </c>
      <c r="C806" s="5">
        <f t="shared" si="49"/>
        <v>0</v>
      </c>
      <c r="D806" s="5">
        <f>IF(ExtraPayment=0, 0, IF(AND($B806&lt;&gt;0,ExtraPayment&lt;=$B806),-ExtraPayment,-($F806)-$B806))</f>
        <v>0</v>
      </c>
      <c r="E806" s="5">
        <f>IF($B806 &lt;= 0, 0, -ROUND($B806 * (InterestRate / PaymentsPerYear), 2))</f>
        <v>0</v>
      </c>
      <c r="F806" s="5">
        <f>ROUND(IFERROR(IF(OR($B806 &lt;=0, $B806 = ExtraPayment),0,
MAX(-$B806, -(-PMT(InterestRate/PaymentsPerYear,LoanTerm*PaymentsPerYear,LoanAmount) + $E806))), 0), 2)</f>
        <v>0</v>
      </c>
      <c r="G806" s="5">
        <f t="shared" si="50"/>
        <v>0</v>
      </c>
      <c r="H806" s="5">
        <f t="shared" si="51"/>
        <v>0</v>
      </c>
    </row>
    <row r="807" spans="1:8" x14ac:dyDescent="0.2">
      <c r="A807" s="2">
        <v>806</v>
      </c>
      <c r="B807" s="5">
        <f t="shared" si="48"/>
        <v>0</v>
      </c>
      <c r="C807" s="5">
        <f t="shared" si="49"/>
        <v>0</v>
      </c>
      <c r="D807" s="5">
        <f>IF(ExtraPayment=0, 0, IF(AND($B807&lt;&gt;0,ExtraPayment&lt;=$B807),-ExtraPayment,-($F807)-$B807))</f>
        <v>0</v>
      </c>
      <c r="E807" s="5">
        <f>IF($B807 &lt;= 0, 0, -ROUND($B807 * (InterestRate / PaymentsPerYear), 2))</f>
        <v>0</v>
      </c>
      <c r="F807" s="5">
        <f>ROUND(IFERROR(IF(OR($B807 &lt;=0, $B807 = ExtraPayment),0,
MAX(-$B807, -(-PMT(InterestRate/PaymentsPerYear,LoanTerm*PaymentsPerYear,LoanAmount) + $E807))), 0), 2)</f>
        <v>0</v>
      </c>
      <c r="G807" s="5">
        <f t="shared" si="50"/>
        <v>0</v>
      </c>
      <c r="H807" s="5">
        <f t="shared" si="51"/>
        <v>0</v>
      </c>
    </row>
    <row r="808" spans="1:8" x14ac:dyDescent="0.2">
      <c r="A808" s="2">
        <v>807</v>
      </c>
      <c r="B808" s="5">
        <f t="shared" si="48"/>
        <v>0</v>
      </c>
      <c r="C808" s="5">
        <f t="shared" si="49"/>
        <v>0</v>
      </c>
      <c r="D808" s="5">
        <f>IF(ExtraPayment=0, 0, IF(AND($B808&lt;&gt;0,ExtraPayment&lt;=$B808),-ExtraPayment,-($F808)-$B808))</f>
        <v>0</v>
      </c>
      <c r="E808" s="5">
        <f>IF($B808 &lt;= 0, 0, -ROUND($B808 * (InterestRate / PaymentsPerYear), 2))</f>
        <v>0</v>
      </c>
      <c r="F808" s="5">
        <f>ROUND(IFERROR(IF(OR($B808 &lt;=0, $B808 = ExtraPayment),0,
MAX(-$B808, -(-PMT(InterestRate/PaymentsPerYear,LoanTerm*PaymentsPerYear,LoanAmount) + $E808))), 0), 2)</f>
        <v>0</v>
      </c>
      <c r="G808" s="5">
        <f t="shared" si="50"/>
        <v>0</v>
      </c>
      <c r="H808" s="5">
        <f t="shared" si="51"/>
        <v>0</v>
      </c>
    </row>
    <row r="809" spans="1:8" x14ac:dyDescent="0.2">
      <c r="A809" s="2">
        <v>808</v>
      </c>
      <c r="B809" s="5">
        <f t="shared" si="48"/>
        <v>0</v>
      </c>
      <c r="C809" s="5">
        <f t="shared" si="49"/>
        <v>0</v>
      </c>
      <c r="D809" s="5">
        <f>IF(ExtraPayment=0, 0, IF(AND($B809&lt;&gt;0,ExtraPayment&lt;=$B809),-ExtraPayment,-($F809)-$B809))</f>
        <v>0</v>
      </c>
      <c r="E809" s="5">
        <f>IF($B809 &lt;= 0, 0, -ROUND($B809 * (InterestRate / PaymentsPerYear), 2))</f>
        <v>0</v>
      </c>
      <c r="F809" s="5">
        <f>ROUND(IFERROR(IF(OR($B809 &lt;=0, $B809 = ExtraPayment),0,
MAX(-$B809, -(-PMT(InterestRate/PaymentsPerYear,LoanTerm*PaymentsPerYear,LoanAmount) + $E809))), 0), 2)</f>
        <v>0</v>
      </c>
      <c r="G809" s="5">
        <f t="shared" si="50"/>
        <v>0</v>
      </c>
      <c r="H809" s="5">
        <f t="shared" si="51"/>
        <v>0</v>
      </c>
    </row>
    <row r="810" spans="1:8" x14ac:dyDescent="0.2">
      <c r="A810" s="2">
        <v>809</v>
      </c>
      <c r="B810" s="5">
        <f t="shared" si="48"/>
        <v>0</v>
      </c>
      <c r="C810" s="5">
        <f t="shared" si="49"/>
        <v>0</v>
      </c>
      <c r="D810" s="5">
        <f>IF(ExtraPayment=0, 0, IF(AND($B810&lt;&gt;0,ExtraPayment&lt;=$B810),-ExtraPayment,-($F810)-$B810))</f>
        <v>0</v>
      </c>
      <c r="E810" s="5">
        <f>IF($B810 &lt;= 0, 0, -ROUND($B810 * (InterestRate / PaymentsPerYear), 2))</f>
        <v>0</v>
      </c>
      <c r="F810" s="5">
        <f>ROUND(IFERROR(IF(OR($B810 &lt;=0, $B810 = ExtraPayment),0,
MAX(-$B810, -(-PMT(InterestRate/PaymentsPerYear,LoanTerm*PaymentsPerYear,LoanAmount) + $E810))), 0), 2)</f>
        <v>0</v>
      </c>
      <c r="G810" s="5">
        <f t="shared" si="50"/>
        <v>0</v>
      </c>
      <c r="H810" s="5">
        <f t="shared" si="51"/>
        <v>0</v>
      </c>
    </row>
    <row r="811" spans="1:8" x14ac:dyDescent="0.2">
      <c r="A811" s="2">
        <v>810</v>
      </c>
      <c r="B811" s="5">
        <f t="shared" si="48"/>
        <v>0</v>
      </c>
      <c r="C811" s="5">
        <f t="shared" si="49"/>
        <v>0</v>
      </c>
      <c r="D811" s="5">
        <f>IF(ExtraPayment=0, 0, IF(AND($B811&lt;&gt;0,ExtraPayment&lt;=$B811),-ExtraPayment,-($F811)-$B811))</f>
        <v>0</v>
      </c>
      <c r="E811" s="5">
        <f>IF($B811 &lt;= 0, 0, -ROUND($B811 * (InterestRate / PaymentsPerYear), 2))</f>
        <v>0</v>
      </c>
      <c r="F811" s="5">
        <f>ROUND(IFERROR(IF(OR($B811 &lt;=0, $B811 = ExtraPayment),0,
MAX(-$B811, -(-PMT(InterestRate/PaymentsPerYear,LoanTerm*PaymentsPerYear,LoanAmount) + $E811))), 0), 2)</f>
        <v>0</v>
      </c>
      <c r="G811" s="5">
        <f t="shared" si="50"/>
        <v>0</v>
      </c>
      <c r="H811" s="5">
        <f t="shared" si="51"/>
        <v>0</v>
      </c>
    </row>
    <row r="812" spans="1:8" x14ac:dyDescent="0.2">
      <c r="A812" s="2">
        <v>811</v>
      </c>
      <c r="B812" s="5">
        <f t="shared" si="48"/>
        <v>0</v>
      </c>
      <c r="C812" s="5">
        <f t="shared" si="49"/>
        <v>0</v>
      </c>
      <c r="D812" s="5">
        <f>IF(ExtraPayment=0, 0, IF(AND($B812&lt;&gt;0,ExtraPayment&lt;=$B812),-ExtraPayment,-($F812)-$B812))</f>
        <v>0</v>
      </c>
      <c r="E812" s="5">
        <f>IF($B812 &lt;= 0, 0, -ROUND($B812 * (InterestRate / PaymentsPerYear), 2))</f>
        <v>0</v>
      </c>
      <c r="F812" s="5">
        <f>ROUND(IFERROR(IF(OR($B812 &lt;=0, $B812 = ExtraPayment),0,
MAX(-$B812, -(-PMT(InterestRate/PaymentsPerYear,LoanTerm*PaymentsPerYear,LoanAmount) + $E812))), 0), 2)</f>
        <v>0</v>
      </c>
      <c r="G812" s="5">
        <f t="shared" si="50"/>
        <v>0</v>
      </c>
      <c r="H812" s="5">
        <f t="shared" si="51"/>
        <v>0</v>
      </c>
    </row>
    <row r="813" spans="1:8" x14ac:dyDescent="0.2">
      <c r="A813" s="2">
        <v>812</v>
      </c>
      <c r="B813" s="5">
        <f t="shared" si="48"/>
        <v>0</v>
      </c>
      <c r="C813" s="5">
        <f t="shared" si="49"/>
        <v>0</v>
      </c>
      <c r="D813" s="5">
        <f>IF(ExtraPayment=0, 0, IF(AND($B813&lt;&gt;0,ExtraPayment&lt;=$B813),-ExtraPayment,-($F813)-$B813))</f>
        <v>0</v>
      </c>
      <c r="E813" s="5">
        <f>IF($B813 &lt;= 0, 0, -ROUND($B813 * (InterestRate / PaymentsPerYear), 2))</f>
        <v>0</v>
      </c>
      <c r="F813" s="5">
        <f>ROUND(IFERROR(IF(OR($B813 &lt;=0, $B813 = ExtraPayment),0,
MAX(-$B813, -(-PMT(InterestRate/PaymentsPerYear,LoanTerm*PaymentsPerYear,LoanAmount) + $E813))), 0), 2)</f>
        <v>0</v>
      </c>
      <c r="G813" s="5">
        <f t="shared" si="50"/>
        <v>0</v>
      </c>
      <c r="H813" s="5">
        <f t="shared" si="51"/>
        <v>0</v>
      </c>
    </row>
    <row r="814" spans="1:8" x14ac:dyDescent="0.2">
      <c r="A814" s="2">
        <v>813</v>
      </c>
      <c r="B814" s="5">
        <f t="shared" si="48"/>
        <v>0</v>
      </c>
      <c r="C814" s="5">
        <f t="shared" si="49"/>
        <v>0</v>
      </c>
      <c r="D814" s="5">
        <f>IF(ExtraPayment=0, 0, IF(AND($B814&lt;&gt;0,ExtraPayment&lt;=$B814),-ExtraPayment,-($F814)-$B814))</f>
        <v>0</v>
      </c>
      <c r="E814" s="5">
        <f>IF($B814 &lt;= 0, 0, -ROUND($B814 * (InterestRate / PaymentsPerYear), 2))</f>
        <v>0</v>
      </c>
      <c r="F814" s="5">
        <f>ROUND(IFERROR(IF(OR($B814 &lt;=0, $B814 = ExtraPayment),0,
MAX(-$B814, -(-PMT(InterestRate/PaymentsPerYear,LoanTerm*PaymentsPerYear,LoanAmount) + $E814))), 0), 2)</f>
        <v>0</v>
      </c>
      <c r="G814" s="5">
        <f t="shared" si="50"/>
        <v>0</v>
      </c>
      <c r="H814" s="5">
        <f t="shared" si="51"/>
        <v>0</v>
      </c>
    </row>
    <row r="815" spans="1:8" x14ac:dyDescent="0.2">
      <c r="A815" s="2">
        <v>814</v>
      </c>
      <c r="B815" s="5">
        <f t="shared" si="48"/>
        <v>0</v>
      </c>
      <c r="C815" s="5">
        <f t="shared" si="49"/>
        <v>0</v>
      </c>
      <c r="D815" s="5">
        <f>IF(ExtraPayment=0, 0, IF(AND($B815&lt;&gt;0,ExtraPayment&lt;=$B815),-ExtraPayment,-($F815)-$B815))</f>
        <v>0</v>
      </c>
      <c r="E815" s="5">
        <f>IF($B815 &lt;= 0, 0, -ROUND($B815 * (InterestRate / PaymentsPerYear), 2))</f>
        <v>0</v>
      </c>
      <c r="F815" s="5">
        <f>ROUND(IFERROR(IF(OR($B815 &lt;=0, $B815 = ExtraPayment),0,
MAX(-$B815, -(-PMT(InterestRate/PaymentsPerYear,LoanTerm*PaymentsPerYear,LoanAmount) + $E815))), 0), 2)</f>
        <v>0</v>
      </c>
      <c r="G815" s="5">
        <f t="shared" si="50"/>
        <v>0</v>
      </c>
      <c r="H815" s="5">
        <f t="shared" si="51"/>
        <v>0</v>
      </c>
    </row>
    <row r="816" spans="1:8" x14ac:dyDescent="0.2">
      <c r="A816" s="2">
        <v>815</v>
      </c>
      <c r="B816" s="5">
        <f t="shared" si="48"/>
        <v>0</v>
      </c>
      <c r="C816" s="5">
        <f t="shared" si="49"/>
        <v>0</v>
      </c>
      <c r="D816" s="5">
        <f>IF(ExtraPayment=0, 0, IF(AND($B816&lt;&gt;0,ExtraPayment&lt;=$B816),-ExtraPayment,-($F816)-$B816))</f>
        <v>0</v>
      </c>
      <c r="E816" s="5">
        <f>IF($B816 &lt;= 0, 0, -ROUND($B816 * (InterestRate / PaymentsPerYear), 2))</f>
        <v>0</v>
      </c>
      <c r="F816" s="5">
        <f>ROUND(IFERROR(IF(OR($B816 &lt;=0, $B816 = ExtraPayment),0,
MAX(-$B816, -(-PMT(InterestRate/PaymentsPerYear,LoanTerm*PaymentsPerYear,LoanAmount) + $E816))), 0), 2)</f>
        <v>0</v>
      </c>
      <c r="G816" s="5">
        <f t="shared" si="50"/>
        <v>0</v>
      </c>
      <c r="H816" s="5">
        <f t="shared" si="51"/>
        <v>0</v>
      </c>
    </row>
    <row r="817" spans="1:8" x14ac:dyDescent="0.2">
      <c r="A817" s="2">
        <v>816</v>
      </c>
      <c r="B817" s="5">
        <f t="shared" si="48"/>
        <v>0</v>
      </c>
      <c r="C817" s="5">
        <f t="shared" si="49"/>
        <v>0</v>
      </c>
      <c r="D817" s="5">
        <f>IF(ExtraPayment=0, 0, IF(AND($B817&lt;&gt;0,ExtraPayment&lt;=$B817),-ExtraPayment,-($F817)-$B817))</f>
        <v>0</v>
      </c>
      <c r="E817" s="5">
        <f>IF($B817 &lt;= 0, 0, -ROUND($B817 * (InterestRate / PaymentsPerYear), 2))</f>
        <v>0</v>
      </c>
      <c r="F817" s="5">
        <f>ROUND(IFERROR(IF(OR($B817 &lt;=0, $B817 = ExtraPayment),0,
MAX(-$B817, -(-PMT(InterestRate/PaymentsPerYear,LoanTerm*PaymentsPerYear,LoanAmount) + $E817))), 0), 2)</f>
        <v>0</v>
      </c>
      <c r="G817" s="5">
        <f t="shared" si="50"/>
        <v>0</v>
      </c>
      <c r="H817" s="5">
        <f t="shared" si="51"/>
        <v>0</v>
      </c>
    </row>
    <row r="818" spans="1:8" x14ac:dyDescent="0.2">
      <c r="A818" s="2">
        <v>817</v>
      </c>
      <c r="B818" s="5">
        <f t="shared" si="48"/>
        <v>0</v>
      </c>
      <c r="C818" s="5">
        <f t="shared" si="49"/>
        <v>0</v>
      </c>
      <c r="D818" s="5">
        <f>IF(ExtraPayment=0, 0, IF(AND($B818&lt;&gt;0,ExtraPayment&lt;=$B818),-ExtraPayment,-($F818)-$B818))</f>
        <v>0</v>
      </c>
      <c r="E818" s="5">
        <f>IF($B818 &lt;= 0, 0, -ROUND($B818 * (InterestRate / PaymentsPerYear), 2))</f>
        <v>0</v>
      </c>
      <c r="F818" s="5">
        <f>ROUND(IFERROR(IF(OR($B818 &lt;=0, $B818 = ExtraPayment),0,
MAX(-$B818, -(-PMT(InterestRate/PaymentsPerYear,LoanTerm*PaymentsPerYear,LoanAmount) + $E818))), 0), 2)</f>
        <v>0</v>
      </c>
      <c r="G818" s="5">
        <f t="shared" si="50"/>
        <v>0</v>
      </c>
      <c r="H818" s="5">
        <f t="shared" si="51"/>
        <v>0</v>
      </c>
    </row>
    <row r="819" spans="1:8" x14ac:dyDescent="0.2">
      <c r="A819" s="2">
        <v>818</v>
      </c>
      <c r="B819" s="5">
        <f t="shared" si="48"/>
        <v>0</v>
      </c>
      <c r="C819" s="5">
        <f t="shared" si="49"/>
        <v>0</v>
      </c>
      <c r="D819" s="5">
        <f>IF(ExtraPayment=0, 0, IF(AND($B819&lt;&gt;0,ExtraPayment&lt;=$B819),-ExtraPayment,-($F819)-$B819))</f>
        <v>0</v>
      </c>
      <c r="E819" s="5">
        <f>IF($B819 &lt;= 0, 0, -ROUND($B819 * (InterestRate / PaymentsPerYear), 2))</f>
        <v>0</v>
      </c>
      <c r="F819" s="5">
        <f>ROUND(IFERROR(IF(OR($B819 &lt;=0, $B819 = ExtraPayment),0,
MAX(-$B819, -(-PMT(InterestRate/PaymentsPerYear,LoanTerm*PaymentsPerYear,LoanAmount) + $E819))), 0), 2)</f>
        <v>0</v>
      </c>
      <c r="G819" s="5">
        <f t="shared" si="50"/>
        <v>0</v>
      </c>
      <c r="H819" s="5">
        <f t="shared" si="51"/>
        <v>0</v>
      </c>
    </row>
    <row r="820" spans="1:8" x14ac:dyDescent="0.2">
      <c r="A820" s="2">
        <v>819</v>
      </c>
      <c r="B820" s="5">
        <f t="shared" si="48"/>
        <v>0</v>
      </c>
      <c r="C820" s="5">
        <f t="shared" si="49"/>
        <v>0</v>
      </c>
      <c r="D820" s="5">
        <f>IF(ExtraPayment=0, 0, IF(AND($B820&lt;&gt;0,ExtraPayment&lt;=$B820),-ExtraPayment,-($F820)-$B820))</f>
        <v>0</v>
      </c>
      <c r="E820" s="5">
        <f>IF($B820 &lt;= 0, 0, -ROUND($B820 * (InterestRate / PaymentsPerYear), 2))</f>
        <v>0</v>
      </c>
      <c r="F820" s="5">
        <f>ROUND(IFERROR(IF(OR($B820 &lt;=0, $B820 = ExtraPayment),0,
MAX(-$B820, -(-PMT(InterestRate/PaymentsPerYear,LoanTerm*PaymentsPerYear,LoanAmount) + $E820))), 0), 2)</f>
        <v>0</v>
      </c>
      <c r="G820" s="5">
        <f t="shared" si="50"/>
        <v>0</v>
      </c>
      <c r="H820" s="5">
        <f t="shared" si="51"/>
        <v>0</v>
      </c>
    </row>
    <row r="821" spans="1:8" x14ac:dyDescent="0.2">
      <c r="A821" s="2">
        <v>820</v>
      </c>
      <c r="B821" s="5">
        <f t="shared" si="48"/>
        <v>0</v>
      </c>
      <c r="C821" s="5">
        <f t="shared" si="49"/>
        <v>0</v>
      </c>
      <c r="D821" s="5">
        <f>IF(ExtraPayment=0, 0, IF(AND($B821&lt;&gt;0,ExtraPayment&lt;=$B821),-ExtraPayment,-($F821)-$B821))</f>
        <v>0</v>
      </c>
      <c r="E821" s="5">
        <f>IF($B821 &lt;= 0, 0, -ROUND($B821 * (InterestRate / PaymentsPerYear), 2))</f>
        <v>0</v>
      </c>
      <c r="F821" s="5">
        <f>ROUND(IFERROR(IF(OR($B821 &lt;=0, $B821 = ExtraPayment),0,
MAX(-$B821, -(-PMT(InterestRate/PaymentsPerYear,LoanTerm*PaymentsPerYear,LoanAmount) + $E821))), 0), 2)</f>
        <v>0</v>
      </c>
      <c r="G821" s="5">
        <f t="shared" si="50"/>
        <v>0</v>
      </c>
      <c r="H821" s="5">
        <f t="shared" si="51"/>
        <v>0</v>
      </c>
    </row>
    <row r="822" spans="1:8" x14ac:dyDescent="0.2">
      <c r="A822" s="2">
        <v>821</v>
      </c>
      <c r="B822" s="5">
        <f t="shared" si="48"/>
        <v>0</v>
      </c>
      <c r="C822" s="5">
        <f t="shared" si="49"/>
        <v>0</v>
      </c>
      <c r="D822" s="5">
        <f>IF(ExtraPayment=0, 0, IF(AND($B822&lt;&gt;0,ExtraPayment&lt;=$B822),-ExtraPayment,-($F822)-$B822))</f>
        <v>0</v>
      </c>
      <c r="E822" s="5">
        <f>IF($B822 &lt;= 0, 0, -ROUND($B822 * (InterestRate / PaymentsPerYear), 2))</f>
        <v>0</v>
      </c>
      <c r="F822" s="5">
        <f>ROUND(IFERROR(IF(OR($B822 &lt;=0, $B822 = ExtraPayment),0,
MAX(-$B822, -(-PMT(InterestRate/PaymentsPerYear,LoanTerm*PaymentsPerYear,LoanAmount) + $E822))), 0), 2)</f>
        <v>0</v>
      </c>
      <c r="G822" s="5">
        <f t="shared" si="50"/>
        <v>0</v>
      </c>
      <c r="H822" s="5">
        <f t="shared" si="51"/>
        <v>0</v>
      </c>
    </row>
    <row r="823" spans="1:8" x14ac:dyDescent="0.2">
      <c r="A823" s="2">
        <v>822</v>
      </c>
      <c r="B823" s="5">
        <f t="shared" si="48"/>
        <v>0</v>
      </c>
      <c r="C823" s="5">
        <f t="shared" si="49"/>
        <v>0</v>
      </c>
      <c r="D823" s="5">
        <f>IF(ExtraPayment=0, 0, IF(AND($B823&lt;&gt;0,ExtraPayment&lt;=$B823),-ExtraPayment,-($F823)-$B823))</f>
        <v>0</v>
      </c>
      <c r="E823" s="5">
        <f>IF($B823 &lt;= 0, 0, -ROUND($B823 * (InterestRate / PaymentsPerYear), 2))</f>
        <v>0</v>
      </c>
      <c r="F823" s="5">
        <f>ROUND(IFERROR(IF(OR($B823 &lt;=0, $B823 = ExtraPayment),0,
MAX(-$B823, -(-PMT(InterestRate/PaymentsPerYear,LoanTerm*PaymentsPerYear,LoanAmount) + $E823))), 0), 2)</f>
        <v>0</v>
      </c>
      <c r="G823" s="5">
        <f t="shared" si="50"/>
        <v>0</v>
      </c>
      <c r="H823" s="5">
        <f t="shared" si="51"/>
        <v>0</v>
      </c>
    </row>
    <row r="824" spans="1:8" x14ac:dyDescent="0.2">
      <c r="A824" s="2">
        <v>823</v>
      </c>
      <c r="B824" s="5">
        <f t="shared" si="48"/>
        <v>0</v>
      </c>
      <c r="C824" s="5">
        <f t="shared" si="49"/>
        <v>0</v>
      </c>
      <c r="D824" s="5">
        <f>IF(ExtraPayment=0, 0, IF(AND($B824&lt;&gt;0,ExtraPayment&lt;=$B824),-ExtraPayment,-($F824)-$B824))</f>
        <v>0</v>
      </c>
      <c r="E824" s="5">
        <f>IF($B824 &lt;= 0, 0, -ROUND($B824 * (InterestRate / PaymentsPerYear), 2))</f>
        <v>0</v>
      </c>
      <c r="F824" s="5">
        <f>ROUND(IFERROR(IF(OR($B824 &lt;=0, $B824 = ExtraPayment),0,
MAX(-$B824, -(-PMT(InterestRate/PaymentsPerYear,LoanTerm*PaymentsPerYear,LoanAmount) + $E824))), 0), 2)</f>
        <v>0</v>
      </c>
      <c r="G824" s="5">
        <f t="shared" si="50"/>
        <v>0</v>
      </c>
      <c r="H824" s="5">
        <f t="shared" si="51"/>
        <v>0</v>
      </c>
    </row>
    <row r="825" spans="1:8" x14ac:dyDescent="0.2">
      <c r="A825" s="2">
        <v>824</v>
      </c>
      <c r="B825" s="5">
        <f t="shared" si="48"/>
        <v>0</v>
      </c>
      <c r="C825" s="5">
        <f t="shared" si="49"/>
        <v>0</v>
      </c>
      <c r="D825" s="5">
        <f>IF(ExtraPayment=0, 0, IF(AND($B825&lt;&gt;0,ExtraPayment&lt;=$B825),-ExtraPayment,-($F825)-$B825))</f>
        <v>0</v>
      </c>
      <c r="E825" s="5">
        <f>IF($B825 &lt;= 0, 0, -ROUND($B825 * (InterestRate / PaymentsPerYear), 2))</f>
        <v>0</v>
      </c>
      <c r="F825" s="5">
        <f>ROUND(IFERROR(IF(OR($B825 &lt;=0, $B825 = ExtraPayment),0,
MAX(-$B825, -(-PMT(InterestRate/PaymentsPerYear,LoanTerm*PaymentsPerYear,LoanAmount) + $E825))), 0), 2)</f>
        <v>0</v>
      </c>
      <c r="G825" s="5">
        <f t="shared" si="50"/>
        <v>0</v>
      </c>
      <c r="H825" s="5">
        <f t="shared" si="51"/>
        <v>0</v>
      </c>
    </row>
    <row r="826" spans="1:8" x14ac:dyDescent="0.2">
      <c r="A826" s="2">
        <v>825</v>
      </c>
      <c r="B826" s="5">
        <f t="shared" si="48"/>
        <v>0</v>
      </c>
      <c r="C826" s="5">
        <f t="shared" si="49"/>
        <v>0</v>
      </c>
      <c r="D826" s="5">
        <f>IF(ExtraPayment=0, 0, IF(AND($B826&lt;&gt;0,ExtraPayment&lt;=$B826),-ExtraPayment,-($F826)-$B826))</f>
        <v>0</v>
      </c>
      <c r="E826" s="5">
        <f>IF($B826 &lt;= 0, 0, -ROUND($B826 * (InterestRate / PaymentsPerYear), 2))</f>
        <v>0</v>
      </c>
      <c r="F826" s="5">
        <f>ROUND(IFERROR(IF(OR($B826 &lt;=0, $B826 = ExtraPayment),0,
MAX(-$B826, -(-PMT(InterestRate/PaymentsPerYear,LoanTerm*PaymentsPerYear,LoanAmount) + $E826))), 0), 2)</f>
        <v>0</v>
      </c>
      <c r="G826" s="5">
        <f t="shared" si="50"/>
        <v>0</v>
      </c>
      <c r="H826" s="5">
        <f t="shared" si="51"/>
        <v>0</v>
      </c>
    </row>
    <row r="827" spans="1:8" x14ac:dyDescent="0.2">
      <c r="A827" s="2">
        <v>826</v>
      </c>
      <c r="B827" s="5">
        <f t="shared" si="48"/>
        <v>0</v>
      </c>
      <c r="C827" s="5">
        <f t="shared" si="49"/>
        <v>0</v>
      </c>
      <c r="D827" s="5">
        <f>IF(ExtraPayment=0, 0, IF(AND($B827&lt;&gt;0,ExtraPayment&lt;=$B827),-ExtraPayment,-($F827)-$B827))</f>
        <v>0</v>
      </c>
      <c r="E827" s="5">
        <f>IF($B827 &lt;= 0, 0, -ROUND($B827 * (InterestRate / PaymentsPerYear), 2))</f>
        <v>0</v>
      </c>
      <c r="F827" s="5">
        <f>ROUND(IFERROR(IF(OR($B827 &lt;=0, $B827 = ExtraPayment),0,
MAX(-$B827, -(-PMT(InterestRate/PaymentsPerYear,LoanTerm*PaymentsPerYear,LoanAmount) + $E827))), 0), 2)</f>
        <v>0</v>
      </c>
      <c r="G827" s="5">
        <f t="shared" si="50"/>
        <v>0</v>
      </c>
      <c r="H827" s="5">
        <f t="shared" si="51"/>
        <v>0</v>
      </c>
    </row>
    <row r="828" spans="1:8" x14ac:dyDescent="0.2">
      <c r="A828" s="2">
        <v>827</v>
      </c>
      <c r="B828" s="5">
        <f t="shared" si="48"/>
        <v>0</v>
      </c>
      <c r="C828" s="5">
        <f t="shared" si="49"/>
        <v>0</v>
      </c>
      <c r="D828" s="5">
        <f>IF(ExtraPayment=0, 0, IF(AND($B828&lt;&gt;0,ExtraPayment&lt;=$B828),-ExtraPayment,-($F828)-$B828))</f>
        <v>0</v>
      </c>
      <c r="E828" s="5">
        <f>IF($B828 &lt;= 0, 0, -ROUND($B828 * (InterestRate / PaymentsPerYear), 2))</f>
        <v>0</v>
      </c>
      <c r="F828" s="5">
        <f>ROUND(IFERROR(IF(OR($B828 &lt;=0, $B828 = ExtraPayment),0,
MAX(-$B828, -(-PMT(InterestRate/PaymentsPerYear,LoanTerm*PaymentsPerYear,LoanAmount) + $E828))), 0), 2)</f>
        <v>0</v>
      </c>
      <c r="G828" s="5">
        <f t="shared" si="50"/>
        <v>0</v>
      </c>
      <c r="H828" s="5">
        <f t="shared" si="51"/>
        <v>0</v>
      </c>
    </row>
    <row r="829" spans="1:8" x14ac:dyDescent="0.2">
      <c r="A829" s="2">
        <v>828</v>
      </c>
      <c r="B829" s="5">
        <f t="shared" si="48"/>
        <v>0</v>
      </c>
      <c r="C829" s="5">
        <f t="shared" si="49"/>
        <v>0</v>
      </c>
      <c r="D829" s="5">
        <f>IF(ExtraPayment=0, 0, IF(AND($B829&lt;&gt;0,ExtraPayment&lt;=$B829),-ExtraPayment,-($F829)-$B829))</f>
        <v>0</v>
      </c>
      <c r="E829" s="5">
        <f>IF($B829 &lt;= 0, 0, -ROUND($B829 * (InterestRate / PaymentsPerYear), 2))</f>
        <v>0</v>
      </c>
      <c r="F829" s="5">
        <f>ROUND(IFERROR(IF(OR($B829 &lt;=0, $B829 = ExtraPayment),0,
MAX(-$B829, -(-PMT(InterestRate/PaymentsPerYear,LoanTerm*PaymentsPerYear,LoanAmount) + $E829))), 0), 2)</f>
        <v>0</v>
      </c>
      <c r="G829" s="5">
        <f t="shared" si="50"/>
        <v>0</v>
      </c>
      <c r="H829" s="5">
        <f t="shared" si="51"/>
        <v>0</v>
      </c>
    </row>
    <row r="830" spans="1:8" x14ac:dyDescent="0.2">
      <c r="A830" s="2">
        <v>829</v>
      </c>
      <c r="B830" s="5">
        <f t="shared" si="48"/>
        <v>0</v>
      </c>
      <c r="C830" s="5">
        <f t="shared" si="49"/>
        <v>0</v>
      </c>
      <c r="D830" s="5">
        <f>IF(ExtraPayment=0, 0, IF(AND($B830&lt;&gt;0,ExtraPayment&lt;=$B830),-ExtraPayment,-($F830)-$B830))</f>
        <v>0</v>
      </c>
      <c r="E830" s="5">
        <f>IF($B830 &lt;= 0, 0, -ROUND($B830 * (InterestRate / PaymentsPerYear), 2))</f>
        <v>0</v>
      </c>
      <c r="F830" s="5">
        <f>ROUND(IFERROR(IF(OR($B830 &lt;=0, $B830 = ExtraPayment),0,
MAX(-$B830, -(-PMT(InterestRate/PaymentsPerYear,LoanTerm*PaymentsPerYear,LoanAmount) + $E830))), 0), 2)</f>
        <v>0</v>
      </c>
      <c r="G830" s="5">
        <f t="shared" si="50"/>
        <v>0</v>
      </c>
      <c r="H830" s="5">
        <f t="shared" si="51"/>
        <v>0</v>
      </c>
    </row>
    <row r="831" spans="1:8" x14ac:dyDescent="0.2">
      <c r="A831" s="2">
        <v>830</v>
      </c>
      <c r="B831" s="5">
        <f t="shared" si="48"/>
        <v>0</v>
      </c>
      <c r="C831" s="5">
        <f t="shared" si="49"/>
        <v>0</v>
      </c>
      <c r="D831" s="5">
        <f>IF(ExtraPayment=0, 0, IF(AND($B831&lt;&gt;0,ExtraPayment&lt;=$B831),-ExtraPayment,-($F831)-$B831))</f>
        <v>0</v>
      </c>
      <c r="E831" s="5">
        <f>IF($B831 &lt;= 0, 0, -ROUND($B831 * (InterestRate / PaymentsPerYear), 2))</f>
        <v>0</v>
      </c>
      <c r="F831" s="5">
        <f>ROUND(IFERROR(IF(OR($B831 &lt;=0, $B831 = ExtraPayment),0,
MAX(-$B831, -(-PMT(InterestRate/PaymentsPerYear,LoanTerm*PaymentsPerYear,LoanAmount) + $E831))), 0), 2)</f>
        <v>0</v>
      </c>
      <c r="G831" s="5">
        <f t="shared" si="50"/>
        <v>0</v>
      </c>
      <c r="H831" s="5">
        <f t="shared" si="51"/>
        <v>0</v>
      </c>
    </row>
    <row r="832" spans="1:8" x14ac:dyDescent="0.2">
      <c r="A832" s="2">
        <v>831</v>
      </c>
      <c r="B832" s="5">
        <f t="shared" si="48"/>
        <v>0</v>
      </c>
      <c r="C832" s="5">
        <f t="shared" si="49"/>
        <v>0</v>
      </c>
      <c r="D832" s="5">
        <f>IF(ExtraPayment=0, 0, IF(AND($B832&lt;&gt;0,ExtraPayment&lt;=$B832),-ExtraPayment,-($F832)-$B832))</f>
        <v>0</v>
      </c>
      <c r="E832" s="5">
        <f>IF($B832 &lt;= 0, 0, -ROUND($B832 * (InterestRate / PaymentsPerYear), 2))</f>
        <v>0</v>
      </c>
      <c r="F832" s="5">
        <f>ROUND(IFERROR(IF(OR($B832 &lt;=0, $B832 = ExtraPayment),0,
MAX(-$B832, -(-PMT(InterestRate/PaymentsPerYear,LoanTerm*PaymentsPerYear,LoanAmount) + $E832))), 0), 2)</f>
        <v>0</v>
      </c>
      <c r="G832" s="5">
        <f t="shared" si="50"/>
        <v>0</v>
      </c>
      <c r="H832" s="5">
        <f t="shared" si="51"/>
        <v>0</v>
      </c>
    </row>
    <row r="833" spans="1:8" x14ac:dyDescent="0.2">
      <c r="A833" s="2">
        <v>832</v>
      </c>
      <c r="B833" s="5">
        <f t="shared" si="48"/>
        <v>0</v>
      </c>
      <c r="C833" s="5">
        <f t="shared" si="49"/>
        <v>0</v>
      </c>
      <c r="D833" s="5">
        <f>IF(ExtraPayment=0, 0, IF(AND($B833&lt;&gt;0,ExtraPayment&lt;=$B833),-ExtraPayment,-($F833)-$B833))</f>
        <v>0</v>
      </c>
      <c r="E833" s="5">
        <f>IF($B833 &lt;= 0, 0, -ROUND($B833 * (InterestRate / PaymentsPerYear), 2))</f>
        <v>0</v>
      </c>
      <c r="F833" s="5">
        <f>ROUND(IFERROR(IF(OR($B833 &lt;=0, $B833 = ExtraPayment),0,
MAX(-$B833, -(-PMT(InterestRate/PaymentsPerYear,LoanTerm*PaymentsPerYear,LoanAmount) + $E833))), 0), 2)</f>
        <v>0</v>
      </c>
      <c r="G833" s="5">
        <f t="shared" si="50"/>
        <v>0</v>
      </c>
      <c r="H833" s="5">
        <f t="shared" si="51"/>
        <v>0</v>
      </c>
    </row>
    <row r="834" spans="1:8" x14ac:dyDescent="0.2">
      <c r="A834" s="2">
        <v>833</v>
      </c>
      <c r="B834" s="5">
        <f t="shared" si="48"/>
        <v>0</v>
      </c>
      <c r="C834" s="5">
        <f t="shared" si="49"/>
        <v>0</v>
      </c>
      <c r="D834" s="5">
        <f>IF(ExtraPayment=0, 0, IF(AND($B834&lt;&gt;0,ExtraPayment&lt;=$B834),-ExtraPayment,-($F834)-$B834))</f>
        <v>0</v>
      </c>
      <c r="E834" s="5">
        <f>IF($B834 &lt;= 0, 0, -ROUND($B834 * (InterestRate / PaymentsPerYear), 2))</f>
        <v>0</v>
      </c>
      <c r="F834" s="5">
        <f>ROUND(IFERROR(IF(OR($B834 &lt;=0, $B834 = ExtraPayment),0,
MAX(-$B834, -(-PMT(InterestRate/PaymentsPerYear,LoanTerm*PaymentsPerYear,LoanAmount) + $E834))), 0), 2)</f>
        <v>0</v>
      </c>
      <c r="G834" s="5">
        <f t="shared" si="50"/>
        <v>0</v>
      </c>
      <c r="H834" s="5">
        <f t="shared" si="51"/>
        <v>0</v>
      </c>
    </row>
    <row r="835" spans="1:8" x14ac:dyDescent="0.2">
      <c r="A835" s="2">
        <v>834</v>
      </c>
      <c r="B835" s="5">
        <f t="shared" si="48"/>
        <v>0</v>
      </c>
      <c r="C835" s="5">
        <f t="shared" si="49"/>
        <v>0</v>
      </c>
      <c r="D835" s="5">
        <f>IF(ExtraPayment=0, 0, IF(AND($B835&lt;&gt;0,ExtraPayment&lt;=$B835),-ExtraPayment,-($F835)-$B835))</f>
        <v>0</v>
      </c>
      <c r="E835" s="5">
        <f>IF($B835 &lt;= 0, 0, -ROUND($B835 * (InterestRate / PaymentsPerYear), 2))</f>
        <v>0</v>
      </c>
      <c r="F835" s="5">
        <f>ROUND(IFERROR(IF(OR($B835 &lt;=0, $B835 = ExtraPayment),0,
MAX(-$B835, -(-PMT(InterestRate/PaymentsPerYear,LoanTerm*PaymentsPerYear,LoanAmount) + $E835))), 0), 2)</f>
        <v>0</v>
      </c>
      <c r="G835" s="5">
        <f t="shared" si="50"/>
        <v>0</v>
      </c>
      <c r="H835" s="5">
        <f t="shared" si="51"/>
        <v>0</v>
      </c>
    </row>
    <row r="836" spans="1:8" x14ac:dyDescent="0.2">
      <c r="A836" s="2">
        <v>835</v>
      </c>
      <c r="B836" s="5">
        <f t="shared" ref="B836:B899" si="52">ROUND(IF($H835 &gt;= 0, MAX($H835, $F835), 0), 2)</f>
        <v>0</v>
      </c>
      <c r="C836" s="5">
        <f t="shared" ref="C836:C899" si="53">IF($B836 &lt;= 0, 0, $D836+$E836+$F836)</f>
        <v>0</v>
      </c>
      <c r="D836" s="5">
        <f>IF(ExtraPayment=0, 0, IF(AND($B836&lt;&gt;0,ExtraPayment&lt;=$B836),-ExtraPayment,-($F836)-$B836))</f>
        <v>0</v>
      </c>
      <c r="E836" s="5">
        <f>IF($B836 &lt;= 0, 0, -ROUND($B836 * (InterestRate / PaymentsPerYear), 2))</f>
        <v>0</v>
      </c>
      <c r="F836" s="5">
        <f>ROUND(IFERROR(IF(OR($B836 &lt;=0, $B836 = ExtraPayment),0,
MAX(-$B836, -(-PMT(InterestRate/PaymentsPerYear,LoanTerm*PaymentsPerYear,LoanAmount) + $E836))), 0), 2)</f>
        <v>0</v>
      </c>
      <c r="G836" s="5">
        <f t="shared" ref="G836:G899" si="54">$D836+$F836</f>
        <v>0</v>
      </c>
      <c r="H836" s="5">
        <f t="shared" ref="H836:H899" si="55">ROUND(IF($B836 &lt;= 0, 0,MAX(0, $B836 + $G836)), 2)</f>
        <v>0</v>
      </c>
    </row>
    <row r="837" spans="1:8" x14ac:dyDescent="0.2">
      <c r="A837" s="2">
        <v>836</v>
      </c>
      <c r="B837" s="5">
        <f t="shared" si="52"/>
        <v>0</v>
      </c>
      <c r="C837" s="5">
        <f t="shared" si="53"/>
        <v>0</v>
      </c>
      <c r="D837" s="5">
        <f>IF(ExtraPayment=0, 0, IF(AND($B837&lt;&gt;0,ExtraPayment&lt;=$B837),-ExtraPayment,-($F837)-$B837))</f>
        <v>0</v>
      </c>
      <c r="E837" s="5">
        <f>IF($B837 &lt;= 0, 0, -ROUND($B837 * (InterestRate / PaymentsPerYear), 2))</f>
        <v>0</v>
      </c>
      <c r="F837" s="5">
        <f>ROUND(IFERROR(IF(OR($B837 &lt;=0, $B837 = ExtraPayment),0,
MAX(-$B837, -(-PMT(InterestRate/PaymentsPerYear,LoanTerm*PaymentsPerYear,LoanAmount) + $E837))), 0), 2)</f>
        <v>0</v>
      </c>
      <c r="G837" s="5">
        <f t="shared" si="54"/>
        <v>0</v>
      </c>
      <c r="H837" s="5">
        <f t="shared" si="55"/>
        <v>0</v>
      </c>
    </row>
    <row r="838" spans="1:8" x14ac:dyDescent="0.2">
      <c r="A838" s="2">
        <v>837</v>
      </c>
      <c r="B838" s="5">
        <f t="shared" si="52"/>
        <v>0</v>
      </c>
      <c r="C838" s="5">
        <f t="shared" si="53"/>
        <v>0</v>
      </c>
      <c r="D838" s="5">
        <f>IF(ExtraPayment=0, 0, IF(AND($B838&lt;&gt;0,ExtraPayment&lt;=$B838),-ExtraPayment,-($F838)-$B838))</f>
        <v>0</v>
      </c>
      <c r="E838" s="5">
        <f>IF($B838 &lt;= 0, 0, -ROUND($B838 * (InterestRate / PaymentsPerYear), 2))</f>
        <v>0</v>
      </c>
      <c r="F838" s="5">
        <f>ROUND(IFERROR(IF(OR($B838 &lt;=0, $B838 = ExtraPayment),0,
MAX(-$B838, -(-PMT(InterestRate/PaymentsPerYear,LoanTerm*PaymentsPerYear,LoanAmount) + $E838))), 0), 2)</f>
        <v>0</v>
      </c>
      <c r="G838" s="5">
        <f t="shared" si="54"/>
        <v>0</v>
      </c>
      <c r="H838" s="5">
        <f t="shared" si="55"/>
        <v>0</v>
      </c>
    </row>
    <row r="839" spans="1:8" x14ac:dyDescent="0.2">
      <c r="A839" s="2">
        <v>838</v>
      </c>
      <c r="B839" s="5">
        <f t="shared" si="52"/>
        <v>0</v>
      </c>
      <c r="C839" s="5">
        <f t="shared" si="53"/>
        <v>0</v>
      </c>
      <c r="D839" s="5">
        <f>IF(ExtraPayment=0, 0, IF(AND($B839&lt;&gt;0,ExtraPayment&lt;=$B839),-ExtraPayment,-($F839)-$B839))</f>
        <v>0</v>
      </c>
      <c r="E839" s="5">
        <f>IF($B839 &lt;= 0, 0, -ROUND($B839 * (InterestRate / PaymentsPerYear), 2))</f>
        <v>0</v>
      </c>
      <c r="F839" s="5">
        <f>ROUND(IFERROR(IF(OR($B839 &lt;=0, $B839 = ExtraPayment),0,
MAX(-$B839, -(-PMT(InterestRate/PaymentsPerYear,LoanTerm*PaymentsPerYear,LoanAmount) + $E839))), 0), 2)</f>
        <v>0</v>
      </c>
      <c r="G839" s="5">
        <f t="shared" si="54"/>
        <v>0</v>
      </c>
      <c r="H839" s="5">
        <f t="shared" si="55"/>
        <v>0</v>
      </c>
    </row>
    <row r="840" spans="1:8" x14ac:dyDescent="0.2">
      <c r="A840" s="2">
        <v>839</v>
      </c>
      <c r="B840" s="5">
        <f t="shared" si="52"/>
        <v>0</v>
      </c>
      <c r="C840" s="5">
        <f t="shared" si="53"/>
        <v>0</v>
      </c>
      <c r="D840" s="5">
        <f>IF(ExtraPayment=0, 0, IF(AND($B840&lt;&gt;0,ExtraPayment&lt;=$B840),-ExtraPayment,-($F840)-$B840))</f>
        <v>0</v>
      </c>
      <c r="E840" s="5">
        <f>IF($B840 &lt;= 0, 0, -ROUND($B840 * (InterestRate / PaymentsPerYear), 2))</f>
        <v>0</v>
      </c>
      <c r="F840" s="5">
        <f>ROUND(IFERROR(IF(OR($B840 &lt;=0, $B840 = ExtraPayment),0,
MAX(-$B840, -(-PMT(InterestRate/PaymentsPerYear,LoanTerm*PaymentsPerYear,LoanAmount) + $E840))), 0), 2)</f>
        <v>0</v>
      </c>
      <c r="G840" s="5">
        <f t="shared" si="54"/>
        <v>0</v>
      </c>
      <c r="H840" s="5">
        <f t="shared" si="55"/>
        <v>0</v>
      </c>
    </row>
    <row r="841" spans="1:8" x14ac:dyDescent="0.2">
      <c r="A841" s="2">
        <v>840</v>
      </c>
      <c r="B841" s="5">
        <f t="shared" si="52"/>
        <v>0</v>
      </c>
      <c r="C841" s="5">
        <f t="shared" si="53"/>
        <v>0</v>
      </c>
      <c r="D841" s="5">
        <f>IF(ExtraPayment=0, 0, IF(AND($B841&lt;&gt;0,ExtraPayment&lt;=$B841),-ExtraPayment,-($F841)-$B841))</f>
        <v>0</v>
      </c>
      <c r="E841" s="5">
        <f>IF($B841 &lt;= 0, 0, -ROUND($B841 * (InterestRate / PaymentsPerYear), 2))</f>
        <v>0</v>
      </c>
      <c r="F841" s="5">
        <f>ROUND(IFERROR(IF(OR($B841 &lt;=0, $B841 = ExtraPayment),0,
MAX(-$B841, -(-PMT(InterestRate/PaymentsPerYear,LoanTerm*PaymentsPerYear,LoanAmount) + $E841))), 0), 2)</f>
        <v>0</v>
      </c>
      <c r="G841" s="5">
        <f t="shared" si="54"/>
        <v>0</v>
      </c>
      <c r="H841" s="5">
        <f t="shared" si="55"/>
        <v>0</v>
      </c>
    </row>
    <row r="842" spans="1:8" x14ac:dyDescent="0.2">
      <c r="A842" s="2">
        <v>841</v>
      </c>
      <c r="B842" s="5">
        <f t="shared" si="52"/>
        <v>0</v>
      </c>
      <c r="C842" s="5">
        <f t="shared" si="53"/>
        <v>0</v>
      </c>
      <c r="D842" s="5">
        <f>IF(ExtraPayment=0, 0, IF(AND($B842&lt;&gt;0,ExtraPayment&lt;=$B842),-ExtraPayment,-($F842)-$B842))</f>
        <v>0</v>
      </c>
      <c r="E842" s="5">
        <f>IF($B842 &lt;= 0, 0, -ROUND($B842 * (InterestRate / PaymentsPerYear), 2))</f>
        <v>0</v>
      </c>
      <c r="F842" s="5">
        <f>ROUND(IFERROR(IF(OR($B842 &lt;=0, $B842 = ExtraPayment),0,
MAX(-$B842, -(-PMT(InterestRate/PaymentsPerYear,LoanTerm*PaymentsPerYear,LoanAmount) + $E842))), 0), 2)</f>
        <v>0</v>
      </c>
      <c r="G842" s="5">
        <f t="shared" si="54"/>
        <v>0</v>
      </c>
      <c r="H842" s="5">
        <f t="shared" si="55"/>
        <v>0</v>
      </c>
    </row>
    <row r="843" spans="1:8" x14ac:dyDescent="0.2">
      <c r="A843" s="2">
        <v>842</v>
      </c>
      <c r="B843" s="5">
        <f t="shared" si="52"/>
        <v>0</v>
      </c>
      <c r="C843" s="5">
        <f t="shared" si="53"/>
        <v>0</v>
      </c>
      <c r="D843" s="5">
        <f>IF(ExtraPayment=0, 0, IF(AND($B843&lt;&gt;0,ExtraPayment&lt;=$B843),-ExtraPayment,-($F843)-$B843))</f>
        <v>0</v>
      </c>
      <c r="E843" s="5">
        <f>IF($B843 &lt;= 0, 0, -ROUND($B843 * (InterestRate / PaymentsPerYear), 2))</f>
        <v>0</v>
      </c>
      <c r="F843" s="5">
        <f>ROUND(IFERROR(IF(OR($B843 &lt;=0, $B843 = ExtraPayment),0,
MAX(-$B843, -(-PMT(InterestRate/PaymentsPerYear,LoanTerm*PaymentsPerYear,LoanAmount) + $E843))), 0), 2)</f>
        <v>0</v>
      </c>
      <c r="G843" s="5">
        <f t="shared" si="54"/>
        <v>0</v>
      </c>
      <c r="H843" s="5">
        <f t="shared" si="55"/>
        <v>0</v>
      </c>
    </row>
    <row r="844" spans="1:8" x14ac:dyDescent="0.2">
      <c r="A844" s="2">
        <v>843</v>
      </c>
      <c r="B844" s="5">
        <f t="shared" si="52"/>
        <v>0</v>
      </c>
      <c r="C844" s="5">
        <f t="shared" si="53"/>
        <v>0</v>
      </c>
      <c r="D844" s="5">
        <f>IF(ExtraPayment=0, 0, IF(AND($B844&lt;&gt;0,ExtraPayment&lt;=$B844),-ExtraPayment,-($F844)-$B844))</f>
        <v>0</v>
      </c>
      <c r="E844" s="5">
        <f>IF($B844 &lt;= 0, 0, -ROUND($B844 * (InterestRate / PaymentsPerYear), 2))</f>
        <v>0</v>
      </c>
      <c r="F844" s="5">
        <f>ROUND(IFERROR(IF(OR($B844 &lt;=0, $B844 = ExtraPayment),0,
MAX(-$B844, -(-PMT(InterestRate/PaymentsPerYear,LoanTerm*PaymentsPerYear,LoanAmount) + $E844))), 0), 2)</f>
        <v>0</v>
      </c>
      <c r="G844" s="5">
        <f t="shared" si="54"/>
        <v>0</v>
      </c>
      <c r="H844" s="5">
        <f t="shared" si="55"/>
        <v>0</v>
      </c>
    </row>
    <row r="845" spans="1:8" x14ac:dyDescent="0.2">
      <c r="A845" s="2">
        <v>844</v>
      </c>
      <c r="B845" s="5">
        <f t="shared" si="52"/>
        <v>0</v>
      </c>
      <c r="C845" s="5">
        <f t="shared" si="53"/>
        <v>0</v>
      </c>
      <c r="D845" s="5">
        <f>IF(ExtraPayment=0, 0, IF(AND($B845&lt;&gt;0,ExtraPayment&lt;=$B845),-ExtraPayment,-($F845)-$B845))</f>
        <v>0</v>
      </c>
      <c r="E845" s="5">
        <f>IF($B845 &lt;= 0, 0, -ROUND($B845 * (InterestRate / PaymentsPerYear), 2))</f>
        <v>0</v>
      </c>
      <c r="F845" s="5">
        <f>ROUND(IFERROR(IF(OR($B845 &lt;=0, $B845 = ExtraPayment),0,
MAX(-$B845, -(-PMT(InterestRate/PaymentsPerYear,LoanTerm*PaymentsPerYear,LoanAmount) + $E845))), 0), 2)</f>
        <v>0</v>
      </c>
      <c r="G845" s="5">
        <f t="shared" si="54"/>
        <v>0</v>
      </c>
      <c r="H845" s="5">
        <f t="shared" si="55"/>
        <v>0</v>
      </c>
    </row>
    <row r="846" spans="1:8" x14ac:dyDescent="0.2">
      <c r="A846" s="2">
        <v>845</v>
      </c>
      <c r="B846" s="5">
        <f t="shared" si="52"/>
        <v>0</v>
      </c>
      <c r="C846" s="5">
        <f t="shared" si="53"/>
        <v>0</v>
      </c>
      <c r="D846" s="5">
        <f>IF(ExtraPayment=0, 0, IF(AND($B846&lt;&gt;0,ExtraPayment&lt;=$B846),-ExtraPayment,-($F846)-$B846))</f>
        <v>0</v>
      </c>
      <c r="E846" s="5">
        <f>IF($B846 &lt;= 0, 0, -ROUND($B846 * (InterestRate / PaymentsPerYear), 2))</f>
        <v>0</v>
      </c>
      <c r="F846" s="5">
        <f>ROUND(IFERROR(IF(OR($B846 &lt;=0, $B846 = ExtraPayment),0,
MAX(-$B846, -(-PMT(InterestRate/PaymentsPerYear,LoanTerm*PaymentsPerYear,LoanAmount) + $E846))), 0), 2)</f>
        <v>0</v>
      </c>
      <c r="G846" s="5">
        <f t="shared" si="54"/>
        <v>0</v>
      </c>
      <c r="H846" s="5">
        <f t="shared" si="55"/>
        <v>0</v>
      </c>
    </row>
    <row r="847" spans="1:8" x14ac:dyDescent="0.2">
      <c r="A847" s="2">
        <v>846</v>
      </c>
      <c r="B847" s="5">
        <f t="shared" si="52"/>
        <v>0</v>
      </c>
      <c r="C847" s="5">
        <f t="shared" si="53"/>
        <v>0</v>
      </c>
      <c r="D847" s="5">
        <f>IF(ExtraPayment=0, 0, IF(AND($B847&lt;&gt;0,ExtraPayment&lt;=$B847),-ExtraPayment,-($F847)-$B847))</f>
        <v>0</v>
      </c>
      <c r="E847" s="5">
        <f>IF($B847 &lt;= 0, 0, -ROUND($B847 * (InterestRate / PaymentsPerYear), 2))</f>
        <v>0</v>
      </c>
      <c r="F847" s="5">
        <f>ROUND(IFERROR(IF(OR($B847 &lt;=0, $B847 = ExtraPayment),0,
MAX(-$B847, -(-PMT(InterestRate/PaymentsPerYear,LoanTerm*PaymentsPerYear,LoanAmount) + $E847))), 0), 2)</f>
        <v>0</v>
      </c>
      <c r="G847" s="5">
        <f t="shared" si="54"/>
        <v>0</v>
      </c>
      <c r="H847" s="5">
        <f t="shared" si="55"/>
        <v>0</v>
      </c>
    </row>
    <row r="848" spans="1:8" x14ac:dyDescent="0.2">
      <c r="A848" s="2">
        <v>847</v>
      </c>
      <c r="B848" s="5">
        <f t="shared" si="52"/>
        <v>0</v>
      </c>
      <c r="C848" s="5">
        <f t="shared" si="53"/>
        <v>0</v>
      </c>
      <c r="D848" s="5">
        <f>IF(ExtraPayment=0, 0, IF(AND($B848&lt;&gt;0,ExtraPayment&lt;=$B848),-ExtraPayment,-($F848)-$B848))</f>
        <v>0</v>
      </c>
      <c r="E848" s="5">
        <f>IF($B848 &lt;= 0, 0, -ROUND($B848 * (InterestRate / PaymentsPerYear), 2))</f>
        <v>0</v>
      </c>
      <c r="F848" s="5">
        <f>ROUND(IFERROR(IF(OR($B848 &lt;=0, $B848 = ExtraPayment),0,
MAX(-$B848, -(-PMT(InterestRate/PaymentsPerYear,LoanTerm*PaymentsPerYear,LoanAmount) + $E848))), 0), 2)</f>
        <v>0</v>
      </c>
      <c r="G848" s="5">
        <f t="shared" si="54"/>
        <v>0</v>
      </c>
      <c r="H848" s="5">
        <f t="shared" si="55"/>
        <v>0</v>
      </c>
    </row>
    <row r="849" spans="1:8" x14ac:dyDescent="0.2">
      <c r="A849" s="2">
        <v>848</v>
      </c>
      <c r="B849" s="5">
        <f t="shared" si="52"/>
        <v>0</v>
      </c>
      <c r="C849" s="5">
        <f t="shared" si="53"/>
        <v>0</v>
      </c>
      <c r="D849" s="5">
        <f>IF(ExtraPayment=0, 0, IF(AND($B849&lt;&gt;0,ExtraPayment&lt;=$B849),-ExtraPayment,-($F849)-$B849))</f>
        <v>0</v>
      </c>
      <c r="E849" s="5">
        <f>IF($B849 &lt;= 0, 0, -ROUND($B849 * (InterestRate / PaymentsPerYear), 2))</f>
        <v>0</v>
      </c>
      <c r="F849" s="5">
        <f>ROUND(IFERROR(IF(OR($B849 &lt;=0, $B849 = ExtraPayment),0,
MAX(-$B849, -(-PMT(InterestRate/PaymentsPerYear,LoanTerm*PaymentsPerYear,LoanAmount) + $E849))), 0), 2)</f>
        <v>0</v>
      </c>
      <c r="G849" s="5">
        <f t="shared" si="54"/>
        <v>0</v>
      </c>
      <c r="H849" s="5">
        <f t="shared" si="55"/>
        <v>0</v>
      </c>
    </row>
    <row r="850" spans="1:8" x14ac:dyDescent="0.2">
      <c r="A850" s="2">
        <v>849</v>
      </c>
      <c r="B850" s="5">
        <f t="shared" si="52"/>
        <v>0</v>
      </c>
      <c r="C850" s="5">
        <f t="shared" si="53"/>
        <v>0</v>
      </c>
      <c r="D850" s="5">
        <f>IF(ExtraPayment=0, 0, IF(AND($B850&lt;&gt;0,ExtraPayment&lt;=$B850),-ExtraPayment,-($F850)-$B850))</f>
        <v>0</v>
      </c>
      <c r="E850" s="5">
        <f>IF($B850 &lt;= 0, 0, -ROUND($B850 * (InterestRate / PaymentsPerYear), 2))</f>
        <v>0</v>
      </c>
      <c r="F850" s="5">
        <f>ROUND(IFERROR(IF(OR($B850 &lt;=0, $B850 = ExtraPayment),0,
MAX(-$B850, -(-PMT(InterestRate/PaymentsPerYear,LoanTerm*PaymentsPerYear,LoanAmount) + $E850))), 0), 2)</f>
        <v>0</v>
      </c>
      <c r="G850" s="5">
        <f t="shared" si="54"/>
        <v>0</v>
      </c>
      <c r="H850" s="5">
        <f t="shared" si="55"/>
        <v>0</v>
      </c>
    </row>
    <row r="851" spans="1:8" x14ac:dyDescent="0.2">
      <c r="A851" s="2">
        <v>850</v>
      </c>
      <c r="B851" s="5">
        <f t="shared" si="52"/>
        <v>0</v>
      </c>
      <c r="C851" s="5">
        <f t="shared" si="53"/>
        <v>0</v>
      </c>
      <c r="D851" s="5">
        <f>IF(ExtraPayment=0, 0, IF(AND($B851&lt;&gt;0,ExtraPayment&lt;=$B851),-ExtraPayment,-($F851)-$B851))</f>
        <v>0</v>
      </c>
      <c r="E851" s="5">
        <f>IF($B851 &lt;= 0, 0, -ROUND($B851 * (InterestRate / PaymentsPerYear), 2))</f>
        <v>0</v>
      </c>
      <c r="F851" s="5">
        <f>ROUND(IFERROR(IF(OR($B851 &lt;=0, $B851 = ExtraPayment),0,
MAX(-$B851, -(-PMT(InterestRate/PaymentsPerYear,LoanTerm*PaymentsPerYear,LoanAmount) + $E851))), 0), 2)</f>
        <v>0</v>
      </c>
      <c r="G851" s="5">
        <f t="shared" si="54"/>
        <v>0</v>
      </c>
      <c r="H851" s="5">
        <f t="shared" si="55"/>
        <v>0</v>
      </c>
    </row>
    <row r="852" spans="1:8" x14ac:dyDescent="0.2">
      <c r="A852" s="2">
        <v>851</v>
      </c>
      <c r="B852" s="5">
        <f t="shared" si="52"/>
        <v>0</v>
      </c>
      <c r="C852" s="5">
        <f t="shared" si="53"/>
        <v>0</v>
      </c>
      <c r="D852" s="5">
        <f>IF(ExtraPayment=0, 0, IF(AND($B852&lt;&gt;0,ExtraPayment&lt;=$B852),-ExtraPayment,-($F852)-$B852))</f>
        <v>0</v>
      </c>
      <c r="E852" s="5">
        <f>IF($B852 &lt;= 0, 0, -ROUND($B852 * (InterestRate / PaymentsPerYear), 2))</f>
        <v>0</v>
      </c>
      <c r="F852" s="5">
        <f>ROUND(IFERROR(IF(OR($B852 &lt;=0, $B852 = ExtraPayment),0,
MAX(-$B852, -(-PMT(InterestRate/PaymentsPerYear,LoanTerm*PaymentsPerYear,LoanAmount) + $E852))), 0), 2)</f>
        <v>0</v>
      </c>
      <c r="G852" s="5">
        <f t="shared" si="54"/>
        <v>0</v>
      </c>
      <c r="H852" s="5">
        <f t="shared" si="55"/>
        <v>0</v>
      </c>
    </row>
    <row r="853" spans="1:8" x14ac:dyDescent="0.2">
      <c r="A853" s="2">
        <v>852</v>
      </c>
      <c r="B853" s="5">
        <f t="shared" si="52"/>
        <v>0</v>
      </c>
      <c r="C853" s="5">
        <f t="shared" si="53"/>
        <v>0</v>
      </c>
      <c r="D853" s="5">
        <f>IF(ExtraPayment=0, 0, IF(AND($B853&lt;&gt;0,ExtraPayment&lt;=$B853),-ExtraPayment,-($F853)-$B853))</f>
        <v>0</v>
      </c>
      <c r="E853" s="5">
        <f>IF($B853 &lt;= 0, 0, -ROUND($B853 * (InterestRate / PaymentsPerYear), 2))</f>
        <v>0</v>
      </c>
      <c r="F853" s="5">
        <f>ROUND(IFERROR(IF(OR($B853 &lt;=0, $B853 = ExtraPayment),0,
MAX(-$B853, -(-PMT(InterestRate/PaymentsPerYear,LoanTerm*PaymentsPerYear,LoanAmount) + $E853))), 0), 2)</f>
        <v>0</v>
      </c>
      <c r="G853" s="5">
        <f t="shared" si="54"/>
        <v>0</v>
      </c>
      <c r="H853" s="5">
        <f t="shared" si="55"/>
        <v>0</v>
      </c>
    </row>
    <row r="854" spans="1:8" x14ac:dyDescent="0.2">
      <c r="A854" s="2">
        <v>853</v>
      </c>
      <c r="B854" s="5">
        <f t="shared" si="52"/>
        <v>0</v>
      </c>
      <c r="C854" s="5">
        <f t="shared" si="53"/>
        <v>0</v>
      </c>
      <c r="D854" s="5">
        <f>IF(ExtraPayment=0, 0, IF(AND($B854&lt;&gt;0,ExtraPayment&lt;=$B854),-ExtraPayment,-($F854)-$B854))</f>
        <v>0</v>
      </c>
      <c r="E854" s="5">
        <f>IF($B854 &lt;= 0, 0, -ROUND($B854 * (InterestRate / PaymentsPerYear), 2))</f>
        <v>0</v>
      </c>
      <c r="F854" s="5">
        <f>ROUND(IFERROR(IF(OR($B854 &lt;=0, $B854 = ExtraPayment),0,
MAX(-$B854, -(-PMT(InterestRate/PaymentsPerYear,LoanTerm*PaymentsPerYear,LoanAmount) + $E854))), 0), 2)</f>
        <v>0</v>
      </c>
      <c r="G854" s="5">
        <f t="shared" si="54"/>
        <v>0</v>
      </c>
      <c r="H854" s="5">
        <f t="shared" si="55"/>
        <v>0</v>
      </c>
    </row>
    <row r="855" spans="1:8" x14ac:dyDescent="0.2">
      <c r="A855" s="2">
        <v>854</v>
      </c>
      <c r="B855" s="5">
        <f t="shared" si="52"/>
        <v>0</v>
      </c>
      <c r="C855" s="5">
        <f t="shared" si="53"/>
        <v>0</v>
      </c>
      <c r="D855" s="5">
        <f>IF(ExtraPayment=0, 0, IF(AND($B855&lt;&gt;0,ExtraPayment&lt;=$B855),-ExtraPayment,-($F855)-$B855))</f>
        <v>0</v>
      </c>
      <c r="E855" s="5">
        <f>IF($B855 &lt;= 0, 0, -ROUND($B855 * (InterestRate / PaymentsPerYear), 2))</f>
        <v>0</v>
      </c>
      <c r="F855" s="5">
        <f>ROUND(IFERROR(IF(OR($B855 &lt;=0, $B855 = ExtraPayment),0,
MAX(-$B855, -(-PMT(InterestRate/PaymentsPerYear,LoanTerm*PaymentsPerYear,LoanAmount) + $E855))), 0), 2)</f>
        <v>0</v>
      </c>
      <c r="G855" s="5">
        <f t="shared" si="54"/>
        <v>0</v>
      </c>
      <c r="H855" s="5">
        <f t="shared" si="55"/>
        <v>0</v>
      </c>
    </row>
    <row r="856" spans="1:8" x14ac:dyDescent="0.2">
      <c r="A856" s="2">
        <v>855</v>
      </c>
      <c r="B856" s="5">
        <f t="shared" si="52"/>
        <v>0</v>
      </c>
      <c r="C856" s="5">
        <f t="shared" si="53"/>
        <v>0</v>
      </c>
      <c r="D856" s="5">
        <f>IF(ExtraPayment=0, 0, IF(AND($B856&lt;&gt;0,ExtraPayment&lt;=$B856),-ExtraPayment,-($F856)-$B856))</f>
        <v>0</v>
      </c>
      <c r="E856" s="5">
        <f>IF($B856 &lt;= 0, 0, -ROUND($B856 * (InterestRate / PaymentsPerYear), 2))</f>
        <v>0</v>
      </c>
      <c r="F856" s="5">
        <f>ROUND(IFERROR(IF(OR($B856 &lt;=0, $B856 = ExtraPayment),0,
MAX(-$B856, -(-PMT(InterestRate/PaymentsPerYear,LoanTerm*PaymentsPerYear,LoanAmount) + $E856))), 0), 2)</f>
        <v>0</v>
      </c>
      <c r="G856" s="5">
        <f t="shared" si="54"/>
        <v>0</v>
      </c>
      <c r="H856" s="5">
        <f t="shared" si="55"/>
        <v>0</v>
      </c>
    </row>
    <row r="857" spans="1:8" x14ac:dyDescent="0.2">
      <c r="A857" s="2">
        <v>856</v>
      </c>
      <c r="B857" s="5">
        <f t="shared" si="52"/>
        <v>0</v>
      </c>
      <c r="C857" s="5">
        <f t="shared" si="53"/>
        <v>0</v>
      </c>
      <c r="D857" s="5">
        <f>IF(ExtraPayment=0, 0, IF(AND($B857&lt;&gt;0,ExtraPayment&lt;=$B857),-ExtraPayment,-($F857)-$B857))</f>
        <v>0</v>
      </c>
      <c r="E857" s="5">
        <f>IF($B857 &lt;= 0, 0, -ROUND($B857 * (InterestRate / PaymentsPerYear), 2))</f>
        <v>0</v>
      </c>
      <c r="F857" s="5">
        <f>ROUND(IFERROR(IF(OR($B857 &lt;=0, $B857 = ExtraPayment),0,
MAX(-$B857, -(-PMT(InterestRate/PaymentsPerYear,LoanTerm*PaymentsPerYear,LoanAmount) + $E857))), 0), 2)</f>
        <v>0</v>
      </c>
      <c r="G857" s="5">
        <f t="shared" si="54"/>
        <v>0</v>
      </c>
      <c r="H857" s="5">
        <f t="shared" si="55"/>
        <v>0</v>
      </c>
    </row>
    <row r="858" spans="1:8" x14ac:dyDescent="0.2">
      <c r="A858" s="2">
        <v>857</v>
      </c>
      <c r="B858" s="5">
        <f t="shared" si="52"/>
        <v>0</v>
      </c>
      <c r="C858" s="5">
        <f t="shared" si="53"/>
        <v>0</v>
      </c>
      <c r="D858" s="5">
        <f>IF(ExtraPayment=0, 0, IF(AND($B858&lt;&gt;0,ExtraPayment&lt;=$B858),-ExtraPayment,-($F858)-$B858))</f>
        <v>0</v>
      </c>
      <c r="E858" s="5">
        <f>IF($B858 &lt;= 0, 0, -ROUND($B858 * (InterestRate / PaymentsPerYear), 2))</f>
        <v>0</v>
      </c>
      <c r="F858" s="5">
        <f>ROUND(IFERROR(IF(OR($B858 &lt;=0, $B858 = ExtraPayment),0,
MAX(-$B858, -(-PMT(InterestRate/PaymentsPerYear,LoanTerm*PaymentsPerYear,LoanAmount) + $E858))), 0), 2)</f>
        <v>0</v>
      </c>
      <c r="G858" s="5">
        <f t="shared" si="54"/>
        <v>0</v>
      </c>
      <c r="H858" s="5">
        <f t="shared" si="55"/>
        <v>0</v>
      </c>
    </row>
    <row r="859" spans="1:8" x14ac:dyDescent="0.2">
      <c r="A859" s="2">
        <v>858</v>
      </c>
      <c r="B859" s="5">
        <f t="shared" si="52"/>
        <v>0</v>
      </c>
      <c r="C859" s="5">
        <f t="shared" si="53"/>
        <v>0</v>
      </c>
      <c r="D859" s="5">
        <f>IF(ExtraPayment=0, 0, IF(AND($B859&lt;&gt;0,ExtraPayment&lt;=$B859),-ExtraPayment,-($F859)-$B859))</f>
        <v>0</v>
      </c>
      <c r="E859" s="5">
        <f>IF($B859 &lt;= 0, 0, -ROUND($B859 * (InterestRate / PaymentsPerYear), 2))</f>
        <v>0</v>
      </c>
      <c r="F859" s="5">
        <f>ROUND(IFERROR(IF(OR($B859 &lt;=0, $B859 = ExtraPayment),0,
MAX(-$B859, -(-PMT(InterestRate/PaymentsPerYear,LoanTerm*PaymentsPerYear,LoanAmount) + $E859))), 0), 2)</f>
        <v>0</v>
      </c>
      <c r="G859" s="5">
        <f t="shared" si="54"/>
        <v>0</v>
      </c>
      <c r="H859" s="5">
        <f t="shared" si="55"/>
        <v>0</v>
      </c>
    </row>
    <row r="860" spans="1:8" x14ac:dyDescent="0.2">
      <c r="A860" s="2">
        <v>859</v>
      </c>
      <c r="B860" s="5">
        <f t="shared" si="52"/>
        <v>0</v>
      </c>
      <c r="C860" s="5">
        <f t="shared" si="53"/>
        <v>0</v>
      </c>
      <c r="D860" s="5">
        <f>IF(ExtraPayment=0, 0, IF(AND($B860&lt;&gt;0,ExtraPayment&lt;=$B860),-ExtraPayment,-($F860)-$B860))</f>
        <v>0</v>
      </c>
      <c r="E860" s="5">
        <f>IF($B860 &lt;= 0, 0, -ROUND($B860 * (InterestRate / PaymentsPerYear), 2))</f>
        <v>0</v>
      </c>
      <c r="F860" s="5">
        <f>ROUND(IFERROR(IF(OR($B860 &lt;=0, $B860 = ExtraPayment),0,
MAX(-$B860, -(-PMT(InterestRate/PaymentsPerYear,LoanTerm*PaymentsPerYear,LoanAmount) + $E860))), 0), 2)</f>
        <v>0</v>
      </c>
      <c r="G860" s="5">
        <f t="shared" si="54"/>
        <v>0</v>
      </c>
      <c r="H860" s="5">
        <f t="shared" si="55"/>
        <v>0</v>
      </c>
    </row>
    <row r="861" spans="1:8" x14ac:dyDescent="0.2">
      <c r="A861" s="2">
        <v>860</v>
      </c>
      <c r="B861" s="5">
        <f t="shared" si="52"/>
        <v>0</v>
      </c>
      <c r="C861" s="5">
        <f t="shared" si="53"/>
        <v>0</v>
      </c>
      <c r="D861" s="5">
        <f>IF(ExtraPayment=0, 0, IF(AND($B861&lt;&gt;0,ExtraPayment&lt;=$B861),-ExtraPayment,-($F861)-$B861))</f>
        <v>0</v>
      </c>
      <c r="E861" s="5">
        <f>IF($B861 &lt;= 0, 0, -ROUND($B861 * (InterestRate / PaymentsPerYear), 2))</f>
        <v>0</v>
      </c>
      <c r="F861" s="5">
        <f>ROUND(IFERROR(IF(OR($B861 &lt;=0, $B861 = ExtraPayment),0,
MAX(-$B861, -(-PMT(InterestRate/PaymentsPerYear,LoanTerm*PaymentsPerYear,LoanAmount) + $E861))), 0), 2)</f>
        <v>0</v>
      </c>
      <c r="G861" s="5">
        <f t="shared" si="54"/>
        <v>0</v>
      </c>
      <c r="H861" s="5">
        <f t="shared" si="55"/>
        <v>0</v>
      </c>
    </row>
    <row r="862" spans="1:8" x14ac:dyDescent="0.2">
      <c r="A862" s="2">
        <v>861</v>
      </c>
      <c r="B862" s="5">
        <f t="shared" si="52"/>
        <v>0</v>
      </c>
      <c r="C862" s="5">
        <f t="shared" si="53"/>
        <v>0</v>
      </c>
      <c r="D862" s="5">
        <f>IF(ExtraPayment=0, 0, IF(AND($B862&lt;&gt;0,ExtraPayment&lt;=$B862),-ExtraPayment,-($F862)-$B862))</f>
        <v>0</v>
      </c>
      <c r="E862" s="5">
        <f>IF($B862 &lt;= 0, 0, -ROUND($B862 * (InterestRate / PaymentsPerYear), 2))</f>
        <v>0</v>
      </c>
      <c r="F862" s="5">
        <f>ROUND(IFERROR(IF(OR($B862 &lt;=0, $B862 = ExtraPayment),0,
MAX(-$B862, -(-PMT(InterestRate/PaymentsPerYear,LoanTerm*PaymentsPerYear,LoanAmount) + $E862))), 0), 2)</f>
        <v>0</v>
      </c>
      <c r="G862" s="5">
        <f t="shared" si="54"/>
        <v>0</v>
      </c>
      <c r="H862" s="5">
        <f t="shared" si="55"/>
        <v>0</v>
      </c>
    </row>
    <row r="863" spans="1:8" x14ac:dyDescent="0.2">
      <c r="A863" s="2">
        <v>862</v>
      </c>
      <c r="B863" s="5">
        <f t="shared" si="52"/>
        <v>0</v>
      </c>
      <c r="C863" s="5">
        <f t="shared" si="53"/>
        <v>0</v>
      </c>
      <c r="D863" s="5">
        <f>IF(ExtraPayment=0, 0, IF(AND($B863&lt;&gt;0,ExtraPayment&lt;=$B863),-ExtraPayment,-($F863)-$B863))</f>
        <v>0</v>
      </c>
      <c r="E863" s="5">
        <f>IF($B863 &lt;= 0, 0, -ROUND($B863 * (InterestRate / PaymentsPerYear), 2))</f>
        <v>0</v>
      </c>
      <c r="F863" s="5">
        <f>ROUND(IFERROR(IF(OR($B863 &lt;=0, $B863 = ExtraPayment),0,
MAX(-$B863, -(-PMT(InterestRate/PaymentsPerYear,LoanTerm*PaymentsPerYear,LoanAmount) + $E863))), 0), 2)</f>
        <v>0</v>
      </c>
      <c r="G863" s="5">
        <f t="shared" si="54"/>
        <v>0</v>
      </c>
      <c r="H863" s="5">
        <f t="shared" si="55"/>
        <v>0</v>
      </c>
    </row>
    <row r="864" spans="1:8" x14ac:dyDescent="0.2">
      <c r="A864" s="2">
        <v>863</v>
      </c>
      <c r="B864" s="5">
        <f t="shared" si="52"/>
        <v>0</v>
      </c>
      <c r="C864" s="5">
        <f t="shared" si="53"/>
        <v>0</v>
      </c>
      <c r="D864" s="5">
        <f>IF(ExtraPayment=0, 0, IF(AND($B864&lt;&gt;0,ExtraPayment&lt;=$B864),-ExtraPayment,-($F864)-$B864))</f>
        <v>0</v>
      </c>
      <c r="E864" s="5">
        <f>IF($B864 &lt;= 0, 0, -ROUND($B864 * (InterestRate / PaymentsPerYear), 2))</f>
        <v>0</v>
      </c>
      <c r="F864" s="5">
        <f>ROUND(IFERROR(IF(OR($B864 &lt;=0, $B864 = ExtraPayment),0,
MAX(-$B864, -(-PMT(InterestRate/PaymentsPerYear,LoanTerm*PaymentsPerYear,LoanAmount) + $E864))), 0), 2)</f>
        <v>0</v>
      </c>
      <c r="G864" s="5">
        <f t="shared" si="54"/>
        <v>0</v>
      </c>
      <c r="H864" s="5">
        <f t="shared" si="55"/>
        <v>0</v>
      </c>
    </row>
    <row r="865" spans="1:8" x14ac:dyDescent="0.2">
      <c r="A865" s="2">
        <v>864</v>
      </c>
      <c r="B865" s="5">
        <f t="shared" si="52"/>
        <v>0</v>
      </c>
      <c r="C865" s="5">
        <f t="shared" si="53"/>
        <v>0</v>
      </c>
      <c r="D865" s="5">
        <f>IF(ExtraPayment=0, 0, IF(AND($B865&lt;&gt;0,ExtraPayment&lt;=$B865),-ExtraPayment,-($F865)-$B865))</f>
        <v>0</v>
      </c>
      <c r="E865" s="5">
        <f>IF($B865 &lt;= 0, 0, -ROUND($B865 * (InterestRate / PaymentsPerYear), 2))</f>
        <v>0</v>
      </c>
      <c r="F865" s="5">
        <f>ROUND(IFERROR(IF(OR($B865 &lt;=0, $B865 = ExtraPayment),0,
MAX(-$B865, -(-PMT(InterestRate/PaymentsPerYear,LoanTerm*PaymentsPerYear,LoanAmount) + $E865))), 0), 2)</f>
        <v>0</v>
      </c>
      <c r="G865" s="5">
        <f t="shared" si="54"/>
        <v>0</v>
      </c>
      <c r="H865" s="5">
        <f t="shared" si="55"/>
        <v>0</v>
      </c>
    </row>
    <row r="866" spans="1:8" x14ac:dyDescent="0.2">
      <c r="A866" s="2">
        <v>865</v>
      </c>
      <c r="B866" s="5">
        <f t="shared" si="52"/>
        <v>0</v>
      </c>
      <c r="C866" s="5">
        <f t="shared" si="53"/>
        <v>0</v>
      </c>
      <c r="D866" s="5">
        <f>IF(ExtraPayment=0, 0, IF(AND($B866&lt;&gt;0,ExtraPayment&lt;=$B866),-ExtraPayment,-($F866)-$B866))</f>
        <v>0</v>
      </c>
      <c r="E866" s="5">
        <f>IF($B866 &lt;= 0, 0, -ROUND($B866 * (InterestRate / PaymentsPerYear), 2))</f>
        <v>0</v>
      </c>
      <c r="F866" s="5">
        <f>ROUND(IFERROR(IF(OR($B866 &lt;=0, $B866 = ExtraPayment),0,
MAX(-$B866, -(-PMT(InterestRate/PaymentsPerYear,LoanTerm*PaymentsPerYear,LoanAmount) + $E866))), 0), 2)</f>
        <v>0</v>
      </c>
      <c r="G866" s="5">
        <f t="shared" si="54"/>
        <v>0</v>
      </c>
      <c r="H866" s="5">
        <f t="shared" si="55"/>
        <v>0</v>
      </c>
    </row>
    <row r="867" spans="1:8" x14ac:dyDescent="0.2">
      <c r="A867" s="2">
        <v>866</v>
      </c>
      <c r="B867" s="5">
        <f t="shared" si="52"/>
        <v>0</v>
      </c>
      <c r="C867" s="5">
        <f t="shared" si="53"/>
        <v>0</v>
      </c>
      <c r="D867" s="5">
        <f>IF(ExtraPayment=0, 0, IF(AND($B867&lt;&gt;0,ExtraPayment&lt;=$B867),-ExtraPayment,-($F867)-$B867))</f>
        <v>0</v>
      </c>
      <c r="E867" s="5">
        <f>IF($B867 &lt;= 0, 0, -ROUND($B867 * (InterestRate / PaymentsPerYear), 2))</f>
        <v>0</v>
      </c>
      <c r="F867" s="5">
        <f>ROUND(IFERROR(IF(OR($B867 &lt;=0, $B867 = ExtraPayment),0,
MAX(-$B867, -(-PMT(InterestRate/PaymentsPerYear,LoanTerm*PaymentsPerYear,LoanAmount) + $E867))), 0), 2)</f>
        <v>0</v>
      </c>
      <c r="G867" s="5">
        <f t="shared" si="54"/>
        <v>0</v>
      </c>
      <c r="H867" s="5">
        <f t="shared" si="55"/>
        <v>0</v>
      </c>
    </row>
    <row r="868" spans="1:8" x14ac:dyDescent="0.2">
      <c r="A868" s="2">
        <v>867</v>
      </c>
      <c r="B868" s="5">
        <f t="shared" si="52"/>
        <v>0</v>
      </c>
      <c r="C868" s="5">
        <f t="shared" si="53"/>
        <v>0</v>
      </c>
      <c r="D868" s="5">
        <f>IF(ExtraPayment=0, 0, IF(AND($B868&lt;&gt;0,ExtraPayment&lt;=$B868),-ExtraPayment,-($F868)-$B868))</f>
        <v>0</v>
      </c>
      <c r="E868" s="5">
        <f>IF($B868 &lt;= 0, 0, -ROUND($B868 * (InterestRate / PaymentsPerYear), 2))</f>
        <v>0</v>
      </c>
      <c r="F868" s="5">
        <f>ROUND(IFERROR(IF(OR($B868 &lt;=0, $B868 = ExtraPayment),0,
MAX(-$B868, -(-PMT(InterestRate/PaymentsPerYear,LoanTerm*PaymentsPerYear,LoanAmount) + $E868))), 0), 2)</f>
        <v>0</v>
      </c>
      <c r="G868" s="5">
        <f t="shared" si="54"/>
        <v>0</v>
      </c>
      <c r="H868" s="5">
        <f t="shared" si="55"/>
        <v>0</v>
      </c>
    </row>
    <row r="869" spans="1:8" x14ac:dyDescent="0.2">
      <c r="A869" s="2">
        <v>868</v>
      </c>
      <c r="B869" s="5">
        <f t="shared" si="52"/>
        <v>0</v>
      </c>
      <c r="C869" s="5">
        <f t="shared" si="53"/>
        <v>0</v>
      </c>
      <c r="D869" s="5">
        <f>IF(ExtraPayment=0, 0, IF(AND($B869&lt;&gt;0,ExtraPayment&lt;=$B869),-ExtraPayment,-($F869)-$B869))</f>
        <v>0</v>
      </c>
      <c r="E869" s="5">
        <f>IF($B869 &lt;= 0, 0, -ROUND($B869 * (InterestRate / PaymentsPerYear), 2))</f>
        <v>0</v>
      </c>
      <c r="F869" s="5">
        <f>ROUND(IFERROR(IF(OR($B869 &lt;=0, $B869 = ExtraPayment),0,
MAX(-$B869, -(-PMT(InterestRate/PaymentsPerYear,LoanTerm*PaymentsPerYear,LoanAmount) + $E869))), 0), 2)</f>
        <v>0</v>
      </c>
      <c r="G869" s="5">
        <f t="shared" si="54"/>
        <v>0</v>
      </c>
      <c r="H869" s="5">
        <f t="shared" si="55"/>
        <v>0</v>
      </c>
    </row>
    <row r="870" spans="1:8" x14ac:dyDescent="0.2">
      <c r="A870" s="2">
        <v>869</v>
      </c>
      <c r="B870" s="5">
        <f t="shared" si="52"/>
        <v>0</v>
      </c>
      <c r="C870" s="5">
        <f t="shared" si="53"/>
        <v>0</v>
      </c>
      <c r="D870" s="5">
        <f>IF(ExtraPayment=0, 0, IF(AND($B870&lt;&gt;0,ExtraPayment&lt;=$B870),-ExtraPayment,-($F870)-$B870))</f>
        <v>0</v>
      </c>
      <c r="E870" s="5">
        <f>IF($B870 &lt;= 0, 0, -ROUND($B870 * (InterestRate / PaymentsPerYear), 2))</f>
        <v>0</v>
      </c>
      <c r="F870" s="5">
        <f>ROUND(IFERROR(IF(OR($B870 &lt;=0, $B870 = ExtraPayment),0,
MAX(-$B870, -(-PMT(InterestRate/PaymentsPerYear,LoanTerm*PaymentsPerYear,LoanAmount) + $E870))), 0), 2)</f>
        <v>0</v>
      </c>
      <c r="G870" s="5">
        <f t="shared" si="54"/>
        <v>0</v>
      </c>
      <c r="H870" s="5">
        <f t="shared" si="55"/>
        <v>0</v>
      </c>
    </row>
    <row r="871" spans="1:8" x14ac:dyDescent="0.2">
      <c r="A871" s="2">
        <v>870</v>
      </c>
      <c r="B871" s="5">
        <f t="shared" si="52"/>
        <v>0</v>
      </c>
      <c r="C871" s="5">
        <f t="shared" si="53"/>
        <v>0</v>
      </c>
      <c r="D871" s="5">
        <f>IF(ExtraPayment=0, 0, IF(AND($B871&lt;&gt;0,ExtraPayment&lt;=$B871),-ExtraPayment,-($F871)-$B871))</f>
        <v>0</v>
      </c>
      <c r="E871" s="5">
        <f>IF($B871 &lt;= 0, 0, -ROUND($B871 * (InterestRate / PaymentsPerYear), 2))</f>
        <v>0</v>
      </c>
      <c r="F871" s="5">
        <f>ROUND(IFERROR(IF(OR($B871 &lt;=0, $B871 = ExtraPayment),0,
MAX(-$B871, -(-PMT(InterestRate/PaymentsPerYear,LoanTerm*PaymentsPerYear,LoanAmount) + $E871))), 0), 2)</f>
        <v>0</v>
      </c>
      <c r="G871" s="5">
        <f t="shared" si="54"/>
        <v>0</v>
      </c>
      <c r="H871" s="5">
        <f t="shared" si="55"/>
        <v>0</v>
      </c>
    </row>
    <row r="872" spans="1:8" x14ac:dyDescent="0.2">
      <c r="A872" s="2">
        <v>871</v>
      </c>
      <c r="B872" s="5">
        <f t="shared" si="52"/>
        <v>0</v>
      </c>
      <c r="C872" s="5">
        <f t="shared" si="53"/>
        <v>0</v>
      </c>
      <c r="D872" s="5">
        <f>IF(ExtraPayment=0, 0, IF(AND($B872&lt;&gt;0,ExtraPayment&lt;=$B872),-ExtraPayment,-($F872)-$B872))</f>
        <v>0</v>
      </c>
      <c r="E872" s="5">
        <f>IF($B872 &lt;= 0, 0, -ROUND($B872 * (InterestRate / PaymentsPerYear), 2))</f>
        <v>0</v>
      </c>
      <c r="F872" s="5">
        <f>ROUND(IFERROR(IF(OR($B872 &lt;=0, $B872 = ExtraPayment),0,
MAX(-$B872, -(-PMT(InterestRate/PaymentsPerYear,LoanTerm*PaymentsPerYear,LoanAmount) + $E872))), 0), 2)</f>
        <v>0</v>
      </c>
      <c r="G872" s="5">
        <f t="shared" si="54"/>
        <v>0</v>
      </c>
      <c r="H872" s="5">
        <f t="shared" si="55"/>
        <v>0</v>
      </c>
    </row>
    <row r="873" spans="1:8" x14ac:dyDescent="0.2">
      <c r="A873" s="2">
        <v>872</v>
      </c>
      <c r="B873" s="5">
        <f t="shared" si="52"/>
        <v>0</v>
      </c>
      <c r="C873" s="5">
        <f t="shared" si="53"/>
        <v>0</v>
      </c>
      <c r="D873" s="5">
        <f>IF(ExtraPayment=0, 0, IF(AND($B873&lt;&gt;0,ExtraPayment&lt;=$B873),-ExtraPayment,-($F873)-$B873))</f>
        <v>0</v>
      </c>
      <c r="E873" s="5">
        <f>IF($B873 &lt;= 0, 0, -ROUND($B873 * (InterestRate / PaymentsPerYear), 2))</f>
        <v>0</v>
      </c>
      <c r="F873" s="5">
        <f>ROUND(IFERROR(IF(OR($B873 &lt;=0, $B873 = ExtraPayment),0,
MAX(-$B873, -(-PMT(InterestRate/PaymentsPerYear,LoanTerm*PaymentsPerYear,LoanAmount) + $E873))), 0), 2)</f>
        <v>0</v>
      </c>
      <c r="G873" s="5">
        <f t="shared" si="54"/>
        <v>0</v>
      </c>
      <c r="H873" s="5">
        <f t="shared" si="55"/>
        <v>0</v>
      </c>
    </row>
    <row r="874" spans="1:8" x14ac:dyDescent="0.2">
      <c r="A874" s="2">
        <v>873</v>
      </c>
      <c r="B874" s="5">
        <f t="shared" si="52"/>
        <v>0</v>
      </c>
      <c r="C874" s="5">
        <f t="shared" si="53"/>
        <v>0</v>
      </c>
      <c r="D874" s="5">
        <f>IF(ExtraPayment=0, 0, IF(AND($B874&lt;&gt;0,ExtraPayment&lt;=$B874),-ExtraPayment,-($F874)-$B874))</f>
        <v>0</v>
      </c>
      <c r="E874" s="5">
        <f>IF($B874 &lt;= 0, 0, -ROUND($B874 * (InterestRate / PaymentsPerYear), 2))</f>
        <v>0</v>
      </c>
      <c r="F874" s="5">
        <f>ROUND(IFERROR(IF(OR($B874 &lt;=0, $B874 = ExtraPayment),0,
MAX(-$B874, -(-PMT(InterestRate/PaymentsPerYear,LoanTerm*PaymentsPerYear,LoanAmount) + $E874))), 0), 2)</f>
        <v>0</v>
      </c>
      <c r="G874" s="5">
        <f t="shared" si="54"/>
        <v>0</v>
      </c>
      <c r="H874" s="5">
        <f t="shared" si="55"/>
        <v>0</v>
      </c>
    </row>
    <row r="875" spans="1:8" x14ac:dyDescent="0.2">
      <c r="A875" s="2">
        <v>874</v>
      </c>
      <c r="B875" s="5">
        <f t="shared" si="52"/>
        <v>0</v>
      </c>
      <c r="C875" s="5">
        <f t="shared" si="53"/>
        <v>0</v>
      </c>
      <c r="D875" s="5">
        <f>IF(ExtraPayment=0, 0, IF(AND($B875&lt;&gt;0,ExtraPayment&lt;=$B875),-ExtraPayment,-($F875)-$B875))</f>
        <v>0</v>
      </c>
      <c r="E875" s="5">
        <f>IF($B875 &lt;= 0, 0, -ROUND($B875 * (InterestRate / PaymentsPerYear), 2))</f>
        <v>0</v>
      </c>
      <c r="F875" s="5">
        <f>ROUND(IFERROR(IF(OR($B875 &lt;=0, $B875 = ExtraPayment),0,
MAX(-$B875, -(-PMT(InterestRate/PaymentsPerYear,LoanTerm*PaymentsPerYear,LoanAmount) + $E875))), 0), 2)</f>
        <v>0</v>
      </c>
      <c r="G875" s="5">
        <f t="shared" si="54"/>
        <v>0</v>
      </c>
      <c r="H875" s="5">
        <f t="shared" si="55"/>
        <v>0</v>
      </c>
    </row>
    <row r="876" spans="1:8" x14ac:dyDescent="0.2">
      <c r="A876" s="2">
        <v>875</v>
      </c>
      <c r="B876" s="5">
        <f t="shared" si="52"/>
        <v>0</v>
      </c>
      <c r="C876" s="5">
        <f t="shared" si="53"/>
        <v>0</v>
      </c>
      <c r="D876" s="5">
        <f>IF(ExtraPayment=0, 0, IF(AND($B876&lt;&gt;0,ExtraPayment&lt;=$B876),-ExtraPayment,-($F876)-$B876))</f>
        <v>0</v>
      </c>
      <c r="E876" s="5">
        <f>IF($B876 &lt;= 0, 0, -ROUND($B876 * (InterestRate / PaymentsPerYear), 2))</f>
        <v>0</v>
      </c>
      <c r="F876" s="5">
        <f>ROUND(IFERROR(IF(OR($B876 &lt;=0, $B876 = ExtraPayment),0,
MAX(-$B876, -(-PMT(InterestRate/PaymentsPerYear,LoanTerm*PaymentsPerYear,LoanAmount) + $E876))), 0), 2)</f>
        <v>0</v>
      </c>
      <c r="G876" s="5">
        <f t="shared" si="54"/>
        <v>0</v>
      </c>
      <c r="H876" s="5">
        <f t="shared" si="55"/>
        <v>0</v>
      </c>
    </row>
    <row r="877" spans="1:8" x14ac:dyDescent="0.2">
      <c r="A877" s="2">
        <v>876</v>
      </c>
      <c r="B877" s="5">
        <f t="shared" si="52"/>
        <v>0</v>
      </c>
      <c r="C877" s="5">
        <f t="shared" si="53"/>
        <v>0</v>
      </c>
      <c r="D877" s="5">
        <f>IF(ExtraPayment=0, 0, IF(AND($B877&lt;&gt;0,ExtraPayment&lt;=$B877),-ExtraPayment,-($F877)-$B877))</f>
        <v>0</v>
      </c>
      <c r="E877" s="5">
        <f>IF($B877 &lt;= 0, 0, -ROUND($B877 * (InterestRate / PaymentsPerYear), 2))</f>
        <v>0</v>
      </c>
      <c r="F877" s="5">
        <f>ROUND(IFERROR(IF(OR($B877 &lt;=0, $B877 = ExtraPayment),0,
MAX(-$B877, -(-PMT(InterestRate/PaymentsPerYear,LoanTerm*PaymentsPerYear,LoanAmount) + $E877))), 0), 2)</f>
        <v>0</v>
      </c>
      <c r="G877" s="5">
        <f t="shared" si="54"/>
        <v>0</v>
      </c>
      <c r="H877" s="5">
        <f t="shared" si="55"/>
        <v>0</v>
      </c>
    </row>
    <row r="878" spans="1:8" x14ac:dyDescent="0.2">
      <c r="A878" s="2">
        <v>877</v>
      </c>
      <c r="B878" s="5">
        <f t="shared" si="52"/>
        <v>0</v>
      </c>
      <c r="C878" s="5">
        <f t="shared" si="53"/>
        <v>0</v>
      </c>
      <c r="D878" s="5">
        <f>IF(ExtraPayment=0, 0, IF(AND($B878&lt;&gt;0,ExtraPayment&lt;=$B878),-ExtraPayment,-($F878)-$B878))</f>
        <v>0</v>
      </c>
      <c r="E878" s="5">
        <f>IF($B878 &lt;= 0, 0, -ROUND($B878 * (InterestRate / PaymentsPerYear), 2))</f>
        <v>0</v>
      </c>
      <c r="F878" s="5">
        <f>ROUND(IFERROR(IF(OR($B878 &lt;=0, $B878 = ExtraPayment),0,
MAX(-$B878, -(-PMT(InterestRate/PaymentsPerYear,LoanTerm*PaymentsPerYear,LoanAmount) + $E878))), 0), 2)</f>
        <v>0</v>
      </c>
      <c r="G878" s="5">
        <f t="shared" si="54"/>
        <v>0</v>
      </c>
      <c r="H878" s="5">
        <f t="shared" si="55"/>
        <v>0</v>
      </c>
    </row>
    <row r="879" spans="1:8" x14ac:dyDescent="0.2">
      <c r="A879" s="2">
        <v>878</v>
      </c>
      <c r="B879" s="5">
        <f t="shared" si="52"/>
        <v>0</v>
      </c>
      <c r="C879" s="5">
        <f t="shared" si="53"/>
        <v>0</v>
      </c>
      <c r="D879" s="5">
        <f>IF(ExtraPayment=0, 0, IF(AND($B879&lt;&gt;0,ExtraPayment&lt;=$B879),-ExtraPayment,-($F879)-$B879))</f>
        <v>0</v>
      </c>
      <c r="E879" s="5">
        <f>IF($B879 &lt;= 0, 0, -ROUND($B879 * (InterestRate / PaymentsPerYear), 2))</f>
        <v>0</v>
      </c>
      <c r="F879" s="5">
        <f>ROUND(IFERROR(IF(OR($B879 &lt;=0, $B879 = ExtraPayment),0,
MAX(-$B879, -(-PMT(InterestRate/PaymentsPerYear,LoanTerm*PaymentsPerYear,LoanAmount) + $E879))), 0), 2)</f>
        <v>0</v>
      </c>
      <c r="G879" s="5">
        <f t="shared" si="54"/>
        <v>0</v>
      </c>
      <c r="H879" s="5">
        <f t="shared" si="55"/>
        <v>0</v>
      </c>
    </row>
    <row r="880" spans="1:8" x14ac:dyDescent="0.2">
      <c r="A880" s="2">
        <v>879</v>
      </c>
      <c r="B880" s="5">
        <f t="shared" si="52"/>
        <v>0</v>
      </c>
      <c r="C880" s="5">
        <f t="shared" si="53"/>
        <v>0</v>
      </c>
      <c r="D880" s="5">
        <f>IF(ExtraPayment=0, 0, IF(AND($B880&lt;&gt;0,ExtraPayment&lt;=$B880),-ExtraPayment,-($F880)-$B880))</f>
        <v>0</v>
      </c>
      <c r="E880" s="5">
        <f>IF($B880 &lt;= 0, 0, -ROUND($B880 * (InterestRate / PaymentsPerYear), 2))</f>
        <v>0</v>
      </c>
      <c r="F880" s="5">
        <f>ROUND(IFERROR(IF(OR($B880 &lt;=0, $B880 = ExtraPayment),0,
MAX(-$B880, -(-PMT(InterestRate/PaymentsPerYear,LoanTerm*PaymentsPerYear,LoanAmount) + $E880))), 0), 2)</f>
        <v>0</v>
      </c>
      <c r="G880" s="5">
        <f t="shared" si="54"/>
        <v>0</v>
      </c>
      <c r="H880" s="5">
        <f t="shared" si="55"/>
        <v>0</v>
      </c>
    </row>
    <row r="881" spans="1:8" x14ac:dyDescent="0.2">
      <c r="A881" s="2">
        <v>880</v>
      </c>
      <c r="B881" s="5">
        <f t="shared" si="52"/>
        <v>0</v>
      </c>
      <c r="C881" s="5">
        <f t="shared" si="53"/>
        <v>0</v>
      </c>
      <c r="D881" s="5">
        <f>IF(ExtraPayment=0, 0, IF(AND($B881&lt;&gt;0,ExtraPayment&lt;=$B881),-ExtraPayment,-($F881)-$B881))</f>
        <v>0</v>
      </c>
      <c r="E881" s="5">
        <f>IF($B881 &lt;= 0, 0, -ROUND($B881 * (InterestRate / PaymentsPerYear), 2))</f>
        <v>0</v>
      </c>
      <c r="F881" s="5">
        <f>ROUND(IFERROR(IF(OR($B881 &lt;=0, $B881 = ExtraPayment),0,
MAX(-$B881, -(-PMT(InterestRate/PaymentsPerYear,LoanTerm*PaymentsPerYear,LoanAmount) + $E881))), 0), 2)</f>
        <v>0</v>
      </c>
      <c r="G881" s="5">
        <f t="shared" si="54"/>
        <v>0</v>
      </c>
      <c r="H881" s="5">
        <f t="shared" si="55"/>
        <v>0</v>
      </c>
    </row>
    <row r="882" spans="1:8" x14ac:dyDescent="0.2">
      <c r="A882" s="2">
        <v>881</v>
      </c>
      <c r="B882" s="5">
        <f t="shared" si="52"/>
        <v>0</v>
      </c>
      <c r="C882" s="5">
        <f t="shared" si="53"/>
        <v>0</v>
      </c>
      <c r="D882" s="5">
        <f>IF(ExtraPayment=0, 0, IF(AND($B882&lt;&gt;0,ExtraPayment&lt;=$B882),-ExtraPayment,-($F882)-$B882))</f>
        <v>0</v>
      </c>
      <c r="E882" s="5">
        <f>IF($B882 &lt;= 0, 0, -ROUND($B882 * (InterestRate / PaymentsPerYear), 2))</f>
        <v>0</v>
      </c>
      <c r="F882" s="5">
        <f>ROUND(IFERROR(IF(OR($B882 &lt;=0, $B882 = ExtraPayment),0,
MAX(-$B882, -(-PMT(InterestRate/PaymentsPerYear,LoanTerm*PaymentsPerYear,LoanAmount) + $E882))), 0), 2)</f>
        <v>0</v>
      </c>
      <c r="G882" s="5">
        <f t="shared" si="54"/>
        <v>0</v>
      </c>
      <c r="H882" s="5">
        <f t="shared" si="55"/>
        <v>0</v>
      </c>
    </row>
    <row r="883" spans="1:8" x14ac:dyDescent="0.2">
      <c r="A883" s="2">
        <v>882</v>
      </c>
      <c r="B883" s="5">
        <f t="shared" si="52"/>
        <v>0</v>
      </c>
      <c r="C883" s="5">
        <f t="shared" si="53"/>
        <v>0</v>
      </c>
      <c r="D883" s="5">
        <f>IF(ExtraPayment=0, 0, IF(AND($B883&lt;&gt;0,ExtraPayment&lt;=$B883),-ExtraPayment,-($F883)-$B883))</f>
        <v>0</v>
      </c>
      <c r="E883" s="5">
        <f>IF($B883 &lt;= 0, 0, -ROUND($B883 * (InterestRate / PaymentsPerYear), 2))</f>
        <v>0</v>
      </c>
      <c r="F883" s="5">
        <f>ROUND(IFERROR(IF(OR($B883 &lt;=0, $B883 = ExtraPayment),0,
MAX(-$B883, -(-PMT(InterestRate/PaymentsPerYear,LoanTerm*PaymentsPerYear,LoanAmount) + $E883))), 0), 2)</f>
        <v>0</v>
      </c>
      <c r="G883" s="5">
        <f t="shared" si="54"/>
        <v>0</v>
      </c>
      <c r="H883" s="5">
        <f t="shared" si="55"/>
        <v>0</v>
      </c>
    </row>
    <row r="884" spans="1:8" x14ac:dyDescent="0.2">
      <c r="A884" s="2">
        <v>883</v>
      </c>
      <c r="B884" s="5">
        <f t="shared" si="52"/>
        <v>0</v>
      </c>
      <c r="C884" s="5">
        <f t="shared" si="53"/>
        <v>0</v>
      </c>
      <c r="D884" s="5">
        <f>IF(ExtraPayment=0, 0, IF(AND($B884&lt;&gt;0,ExtraPayment&lt;=$B884),-ExtraPayment,-($F884)-$B884))</f>
        <v>0</v>
      </c>
      <c r="E884" s="5">
        <f>IF($B884 &lt;= 0, 0, -ROUND($B884 * (InterestRate / PaymentsPerYear), 2))</f>
        <v>0</v>
      </c>
      <c r="F884" s="5">
        <f>ROUND(IFERROR(IF(OR($B884 &lt;=0, $B884 = ExtraPayment),0,
MAX(-$B884, -(-PMT(InterestRate/PaymentsPerYear,LoanTerm*PaymentsPerYear,LoanAmount) + $E884))), 0), 2)</f>
        <v>0</v>
      </c>
      <c r="G884" s="5">
        <f t="shared" si="54"/>
        <v>0</v>
      </c>
      <c r="H884" s="5">
        <f t="shared" si="55"/>
        <v>0</v>
      </c>
    </row>
    <row r="885" spans="1:8" x14ac:dyDescent="0.2">
      <c r="A885" s="2">
        <v>884</v>
      </c>
      <c r="B885" s="5">
        <f t="shared" si="52"/>
        <v>0</v>
      </c>
      <c r="C885" s="5">
        <f t="shared" si="53"/>
        <v>0</v>
      </c>
      <c r="D885" s="5">
        <f>IF(ExtraPayment=0, 0, IF(AND($B885&lt;&gt;0,ExtraPayment&lt;=$B885),-ExtraPayment,-($F885)-$B885))</f>
        <v>0</v>
      </c>
      <c r="E885" s="5">
        <f>IF($B885 &lt;= 0, 0, -ROUND($B885 * (InterestRate / PaymentsPerYear), 2))</f>
        <v>0</v>
      </c>
      <c r="F885" s="5">
        <f>ROUND(IFERROR(IF(OR($B885 &lt;=0, $B885 = ExtraPayment),0,
MAX(-$B885, -(-PMT(InterestRate/PaymentsPerYear,LoanTerm*PaymentsPerYear,LoanAmount) + $E885))), 0), 2)</f>
        <v>0</v>
      </c>
      <c r="G885" s="5">
        <f t="shared" si="54"/>
        <v>0</v>
      </c>
      <c r="H885" s="5">
        <f t="shared" si="55"/>
        <v>0</v>
      </c>
    </row>
    <row r="886" spans="1:8" x14ac:dyDescent="0.2">
      <c r="A886" s="2">
        <v>885</v>
      </c>
      <c r="B886" s="5">
        <f t="shared" si="52"/>
        <v>0</v>
      </c>
      <c r="C886" s="5">
        <f t="shared" si="53"/>
        <v>0</v>
      </c>
      <c r="D886" s="5">
        <f>IF(ExtraPayment=0, 0, IF(AND($B886&lt;&gt;0,ExtraPayment&lt;=$B886),-ExtraPayment,-($F886)-$B886))</f>
        <v>0</v>
      </c>
      <c r="E886" s="5">
        <f>IF($B886 &lt;= 0, 0, -ROUND($B886 * (InterestRate / PaymentsPerYear), 2))</f>
        <v>0</v>
      </c>
      <c r="F886" s="5">
        <f>ROUND(IFERROR(IF(OR($B886 &lt;=0, $B886 = ExtraPayment),0,
MAX(-$B886, -(-PMT(InterestRate/PaymentsPerYear,LoanTerm*PaymentsPerYear,LoanAmount) + $E886))), 0), 2)</f>
        <v>0</v>
      </c>
      <c r="G886" s="5">
        <f t="shared" si="54"/>
        <v>0</v>
      </c>
      <c r="H886" s="5">
        <f t="shared" si="55"/>
        <v>0</v>
      </c>
    </row>
    <row r="887" spans="1:8" x14ac:dyDescent="0.2">
      <c r="A887" s="2">
        <v>886</v>
      </c>
      <c r="B887" s="5">
        <f t="shared" si="52"/>
        <v>0</v>
      </c>
      <c r="C887" s="5">
        <f t="shared" si="53"/>
        <v>0</v>
      </c>
      <c r="D887" s="5">
        <f>IF(ExtraPayment=0, 0, IF(AND($B887&lt;&gt;0,ExtraPayment&lt;=$B887),-ExtraPayment,-($F887)-$B887))</f>
        <v>0</v>
      </c>
      <c r="E887" s="5">
        <f>IF($B887 &lt;= 0, 0, -ROUND($B887 * (InterestRate / PaymentsPerYear), 2))</f>
        <v>0</v>
      </c>
      <c r="F887" s="5">
        <f>ROUND(IFERROR(IF(OR($B887 &lt;=0, $B887 = ExtraPayment),0,
MAX(-$B887, -(-PMT(InterestRate/PaymentsPerYear,LoanTerm*PaymentsPerYear,LoanAmount) + $E887))), 0), 2)</f>
        <v>0</v>
      </c>
      <c r="G887" s="5">
        <f t="shared" si="54"/>
        <v>0</v>
      </c>
      <c r="H887" s="5">
        <f t="shared" si="55"/>
        <v>0</v>
      </c>
    </row>
    <row r="888" spans="1:8" x14ac:dyDescent="0.2">
      <c r="A888" s="2">
        <v>887</v>
      </c>
      <c r="B888" s="5">
        <f t="shared" si="52"/>
        <v>0</v>
      </c>
      <c r="C888" s="5">
        <f t="shared" si="53"/>
        <v>0</v>
      </c>
      <c r="D888" s="5">
        <f>IF(ExtraPayment=0, 0, IF(AND($B888&lt;&gt;0,ExtraPayment&lt;=$B888),-ExtraPayment,-($F888)-$B888))</f>
        <v>0</v>
      </c>
      <c r="E888" s="5">
        <f>IF($B888 &lt;= 0, 0, -ROUND($B888 * (InterestRate / PaymentsPerYear), 2))</f>
        <v>0</v>
      </c>
      <c r="F888" s="5">
        <f>ROUND(IFERROR(IF(OR($B888 &lt;=0, $B888 = ExtraPayment),0,
MAX(-$B888, -(-PMT(InterestRate/PaymentsPerYear,LoanTerm*PaymentsPerYear,LoanAmount) + $E888))), 0), 2)</f>
        <v>0</v>
      </c>
      <c r="G888" s="5">
        <f t="shared" si="54"/>
        <v>0</v>
      </c>
      <c r="H888" s="5">
        <f t="shared" si="55"/>
        <v>0</v>
      </c>
    </row>
    <row r="889" spans="1:8" x14ac:dyDescent="0.2">
      <c r="A889" s="2">
        <v>888</v>
      </c>
      <c r="B889" s="5">
        <f t="shared" si="52"/>
        <v>0</v>
      </c>
      <c r="C889" s="5">
        <f t="shared" si="53"/>
        <v>0</v>
      </c>
      <c r="D889" s="5">
        <f>IF(ExtraPayment=0, 0, IF(AND($B889&lt;&gt;0,ExtraPayment&lt;=$B889),-ExtraPayment,-($F889)-$B889))</f>
        <v>0</v>
      </c>
      <c r="E889" s="5">
        <f>IF($B889 &lt;= 0, 0, -ROUND($B889 * (InterestRate / PaymentsPerYear), 2))</f>
        <v>0</v>
      </c>
      <c r="F889" s="5">
        <f>ROUND(IFERROR(IF(OR($B889 &lt;=0, $B889 = ExtraPayment),0,
MAX(-$B889, -(-PMT(InterestRate/PaymentsPerYear,LoanTerm*PaymentsPerYear,LoanAmount) + $E889))), 0), 2)</f>
        <v>0</v>
      </c>
      <c r="G889" s="5">
        <f t="shared" si="54"/>
        <v>0</v>
      </c>
      <c r="H889" s="5">
        <f t="shared" si="55"/>
        <v>0</v>
      </c>
    </row>
    <row r="890" spans="1:8" x14ac:dyDescent="0.2">
      <c r="A890" s="2">
        <v>889</v>
      </c>
      <c r="B890" s="5">
        <f t="shared" si="52"/>
        <v>0</v>
      </c>
      <c r="C890" s="5">
        <f t="shared" si="53"/>
        <v>0</v>
      </c>
      <c r="D890" s="5">
        <f>IF(ExtraPayment=0, 0, IF(AND($B890&lt;&gt;0,ExtraPayment&lt;=$B890),-ExtraPayment,-($F890)-$B890))</f>
        <v>0</v>
      </c>
      <c r="E890" s="5">
        <f>IF($B890 &lt;= 0, 0, -ROUND($B890 * (InterestRate / PaymentsPerYear), 2))</f>
        <v>0</v>
      </c>
      <c r="F890" s="5">
        <f>ROUND(IFERROR(IF(OR($B890 &lt;=0, $B890 = ExtraPayment),0,
MAX(-$B890, -(-PMT(InterestRate/PaymentsPerYear,LoanTerm*PaymentsPerYear,LoanAmount) + $E890))), 0), 2)</f>
        <v>0</v>
      </c>
      <c r="G890" s="5">
        <f t="shared" si="54"/>
        <v>0</v>
      </c>
      <c r="H890" s="5">
        <f t="shared" si="55"/>
        <v>0</v>
      </c>
    </row>
    <row r="891" spans="1:8" x14ac:dyDescent="0.2">
      <c r="A891" s="2">
        <v>890</v>
      </c>
      <c r="B891" s="5">
        <f t="shared" si="52"/>
        <v>0</v>
      </c>
      <c r="C891" s="5">
        <f t="shared" si="53"/>
        <v>0</v>
      </c>
      <c r="D891" s="5">
        <f>IF(ExtraPayment=0, 0, IF(AND($B891&lt;&gt;0,ExtraPayment&lt;=$B891),-ExtraPayment,-($F891)-$B891))</f>
        <v>0</v>
      </c>
      <c r="E891" s="5">
        <f>IF($B891 &lt;= 0, 0, -ROUND($B891 * (InterestRate / PaymentsPerYear), 2))</f>
        <v>0</v>
      </c>
      <c r="F891" s="5">
        <f>ROUND(IFERROR(IF(OR($B891 &lt;=0, $B891 = ExtraPayment),0,
MAX(-$B891, -(-PMT(InterestRate/PaymentsPerYear,LoanTerm*PaymentsPerYear,LoanAmount) + $E891))), 0), 2)</f>
        <v>0</v>
      </c>
      <c r="G891" s="5">
        <f t="shared" si="54"/>
        <v>0</v>
      </c>
      <c r="H891" s="5">
        <f t="shared" si="55"/>
        <v>0</v>
      </c>
    </row>
    <row r="892" spans="1:8" x14ac:dyDescent="0.2">
      <c r="A892" s="2">
        <v>891</v>
      </c>
      <c r="B892" s="5">
        <f t="shared" si="52"/>
        <v>0</v>
      </c>
      <c r="C892" s="5">
        <f t="shared" si="53"/>
        <v>0</v>
      </c>
      <c r="D892" s="5">
        <f>IF(ExtraPayment=0, 0, IF(AND($B892&lt;&gt;0,ExtraPayment&lt;=$B892),-ExtraPayment,-($F892)-$B892))</f>
        <v>0</v>
      </c>
      <c r="E892" s="5">
        <f>IF($B892 &lt;= 0, 0, -ROUND($B892 * (InterestRate / PaymentsPerYear), 2))</f>
        <v>0</v>
      </c>
      <c r="F892" s="5">
        <f>ROUND(IFERROR(IF(OR($B892 &lt;=0, $B892 = ExtraPayment),0,
MAX(-$B892, -(-PMT(InterestRate/PaymentsPerYear,LoanTerm*PaymentsPerYear,LoanAmount) + $E892))), 0), 2)</f>
        <v>0</v>
      </c>
      <c r="G892" s="5">
        <f t="shared" si="54"/>
        <v>0</v>
      </c>
      <c r="H892" s="5">
        <f t="shared" si="55"/>
        <v>0</v>
      </c>
    </row>
    <row r="893" spans="1:8" x14ac:dyDescent="0.2">
      <c r="A893" s="2">
        <v>892</v>
      </c>
      <c r="B893" s="5">
        <f t="shared" si="52"/>
        <v>0</v>
      </c>
      <c r="C893" s="5">
        <f t="shared" si="53"/>
        <v>0</v>
      </c>
      <c r="D893" s="5">
        <f>IF(ExtraPayment=0, 0, IF(AND($B893&lt;&gt;0,ExtraPayment&lt;=$B893),-ExtraPayment,-($F893)-$B893))</f>
        <v>0</v>
      </c>
      <c r="E893" s="5">
        <f>IF($B893 &lt;= 0, 0, -ROUND($B893 * (InterestRate / PaymentsPerYear), 2))</f>
        <v>0</v>
      </c>
      <c r="F893" s="5">
        <f>ROUND(IFERROR(IF(OR($B893 &lt;=0, $B893 = ExtraPayment),0,
MAX(-$B893, -(-PMT(InterestRate/PaymentsPerYear,LoanTerm*PaymentsPerYear,LoanAmount) + $E893))), 0), 2)</f>
        <v>0</v>
      </c>
      <c r="G893" s="5">
        <f t="shared" si="54"/>
        <v>0</v>
      </c>
      <c r="H893" s="5">
        <f t="shared" si="55"/>
        <v>0</v>
      </c>
    </row>
    <row r="894" spans="1:8" x14ac:dyDescent="0.2">
      <c r="A894" s="2">
        <v>893</v>
      </c>
      <c r="B894" s="5">
        <f t="shared" si="52"/>
        <v>0</v>
      </c>
      <c r="C894" s="5">
        <f t="shared" si="53"/>
        <v>0</v>
      </c>
      <c r="D894" s="5">
        <f>IF(ExtraPayment=0, 0, IF(AND($B894&lt;&gt;0,ExtraPayment&lt;=$B894),-ExtraPayment,-($F894)-$B894))</f>
        <v>0</v>
      </c>
      <c r="E894" s="5">
        <f>IF($B894 &lt;= 0, 0, -ROUND($B894 * (InterestRate / PaymentsPerYear), 2))</f>
        <v>0</v>
      </c>
      <c r="F894" s="5">
        <f>ROUND(IFERROR(IF(OR($B894 &lt;=0, $B894 = ExtraPayment),0,
MAX(-$B894, -(-PMT(InterestRate/PaymentsPerYear,LoanTerm*PaymentsPerYear,LoanAmount) + $E894))), 0), 2)</f>
        <v>0</v>
      </c>
      <c r="G894" s="5">
        <f t="shared" si="54"/>
        <v>0</v>
      </c>
      <c r="H894" s="5">
        <f t="shared" si="55"/>
        <v>0</v>
      </c>
    </row>
    <row r="895" spans="1:8" x14ac:dyDescent="0.2">
      <c r="A895" s="2">
        <v>894</v>
      </c>
      <c r="B895" s="5">
        <f t="shared" si="52"/>
        <v>0</v>
      </c>
      <c r="C895" s="5">
        <f t="shared" si="53"/>
        <v>0</v>
      </c>
      <c r="D895" s="5">
        <f>IF(ExtraPayment=0, 0, IF(AND($B895&lt;&gt;0,ExtraPayment&lt;=$B895),-ExtraPayment,-($F895)-$B895))</f>
        <v>0</v>
      </c>
      <c r="E895" s="5">
        <f>IF($B895 &lt;= 0, 0, -ROUND($B895 * (InterestRate / PaymentsPerYear), 2))</f>
        <v>0</v>
      </c>
      <c r="F895" s="5">
        <f>ROUND(IFERROR(IF(OR($B895 &lt;=0, $B895 = ExtraPayment),0,
MAX(-$B895, -(-PMT(InterestRate/PaymentsPerYear,LoanTerm*PaymentsPerYear,LoanAmount) + $E895))), 0), 2)</f>
        <v>0</v>
      </c>
      <c r="G895" s="5">
        <f t="shared" si="54"/>
        <v>0</v>
      </c>
      <c r="H895" s="5">
        <f t="shared" si="55"/>
        <v>0</v>
      </c>
    </row>
    <row r="896" spans="1:8" x14ac:dyDescent="0.2">
      <c r="A896" s="2">
        <v>895</v>
      </c>
      <c r="B896" s="5">
        <f t="shared" si="52"/>
        <v>0</v>
      </c>
      <c r="C896" s="5">
        <f t="shared" si="53"/>
        <v>0</v>
      </c>
      <c r="D896" s="5">
        <f>IF(ExtraPayment=0, 0, IF(AND($B896&lt;&gt;0,ExtraPayment&lt;=$B896),-ExtraPayment,-($F896)-$B896))</f>
        <v>0</v>
      </c>
      <c r="E896" s="5">
        <f>IF($B896 &lt;= 0, 0, -ROUND($B896 * (InterestRate / PaymentsPerYear), 2))</f>
        <v>0</v>
      </c>
      <c r="F896" s="5">
        <f>ROUND(IFERROR(IF(OR($B896 &lt;=0, $B896 = ExtraPayment),0,
MAX(-$B896, -(-PMT(InterestRate/PaymentsPerYear,LoanTerm*PaymentsPerYear,LoanAmount) + $E896))), 0), 2)</f>
        <v>0</v>
      </c>
      <c r="G896" s="5">
        <f t="shared" si="54"/>
        <v>0</v>
      </c>
      <c r="H896" s="5">
        <f t="shared" si="55"/>
        <v>0</v>
      </c>
    </row>
    <row r="897" spans="1:8" x14ac:dyDescent="0.2">
      <c r="A897" s="2">
        <v>896</v>
      </c>
      <c r="B897" s="5">
        <f t="shared" si="52"/>
        <v>0</v>
      </c>
      <c r="C897" s="5">
        <f t="shared" si="53"/>
        <v>0</v>
      </c>
      <c r="D897" s="5">
        <f>IF(ExtraPayment=0, 0, IF(AND($B897&lt;&gt;0,ExtraPayment&lt;=$B897),-ExtraPayment,-($F897)-$B897))</f>
        <v>0</v>
      </c>
      <c r="E897" s="5">
        <f>IF($B897 &lt;= 0, 0, -ROUND($B897 * (InterestRate / PaymentsPerYear), 2))</f>
        <v>0</v>
      </c>
      <c r="F897" s="5">
        <f>ROUND(IFERROR(IF(OR($B897 &lt;=0, $B897 = ExtraPayment),0,
MAX(-$B897, -(-PMT(InterestRate/PaymentsPerYear,LoanTerm*PaymentsPerYear,LoanAmount) + $E897))), 0), 2)</f>
        <v>0</v>
      </c>
      <c r="G897" s="5">
        <f t="shared" si="54"/>
        <v>0</v>
      </c>
      <c r="H897" s="5">
        <f t="shared" si="55"/>
        <v>0</v>
      </c>
    </row>
    <row r="898" spans="1:8" x14ac:dyDescent="0.2">
      <c r="A898" s="2">
        <v>897</v>
      </c>
      <c r="B898" s="5">
        <f t="shared" si="52"/>
        <v>0</v>
      </c>
      <c r="C898" s="5">
        <f t="shared" si="53"/>
        <v>0</v>
      </c>
      <c r="D898" s="5">
        <f>IF(ExtraPayment=0, 0, IF(AND($B898&lt;&gt;0,ExtraPayment&lt;=$B898),-ExtraPayment,-($F898)-$B898))</f>
        <v>0</v>
      </c>
      <c r="E898" s="5">
        <f>IF($B898 &lt;= 0, 0, -ROUND($B898 * (InterestRate / PaymentsPerYear), 2))</f>
        <v>0</v>
      </c>
      <c r="F898" s="5">
        <f>ROUND(IFERROR(IF(OR($B898 &lt;=0, $B898 = ExtraPayment),0,
MAX(-$B898, -(-PMT(InterestRate/PaymentsPerYear,LoanTerm*PaymentsPerYear,LoanAmount) + $E898))), 0), 2)</f>
        <v>0</v>
      </c>
      <c r="G898" s="5">
        <f t="shared" si="54"/>
        <v>0</v>
      </c>
      <c r="H898" s="5">
        <f t="shared" si="55"/>
        <v>0</v>
      </c>
    </row>
    <row r="899" spans="1:8" x14ac:dyDescent="0.2">
      <c r="A899" s="2">
        <v>898</v>
      </c>
      <c r="B899" s="5">
        <f t="shared" si="52"/>
        <v>0</v>
      </c>
      <c r="C899" s="5">
        <f t="shared" si="53"/>
        <v>0</v>
      </c>
      <c r="D899" s="5">
        <f>IF(ExtraPayment=0, 0, IF(AND($B899&lt;&gt;0,ExtraPayment&lt;=$B899),-ExtraPayment,-($F899)-$B899))</f>
        <v>0</v>
      </c>
      <c r="E899" s="5">
        <f>IF($B899 &lt;= 0, 0, -ROUND($B899 * (InterestRate / PaymentsPerYear), 2))</f>
        <v>0</v>
      </c>
      <c r="F899" s="5">
        <f>ROUND(IFERROR(IF(OR($B899 &lt;=0, $B899 = ExtraPayment),0,
MAX(-$B899, -(-PMT(InterestRate/PaymentsPerYear,LoanTerm*PaymentsPerYear,LoanAmount) + $E899))), 0), 2)</f>
        <v>0</v>
      </c>
      <c r="G899" s="5">
        <f t="shared" si="54"/>
        <v>0</v>
      </c>
      <c r="H899" s="5">
        <f t="shared" si="55"/>
        <v>0</v>
      </c>
    </row>
    <row r="900" spans="1:8" x14ac:dyDescent="0.2">
      <c r="A900" s="2">
        <v>899</v>
      </c>
      <c r="B900" s="5">
        <f t="shared" ref="B900:B963" si="56">ROUND(IF($H899 &gt;= 0, MAX($H899, $F899), 0), 2)</f>
        <v>0</v>
      </c>
      <c r="C900" s="5">
        <f t="shared" ref="C900:C963" si="57">IF($B900 &lt;= 0, 0, $D900+$E900+$F900)</f>
        <v>0</v>
      </c>
      <c r="D900" s="5">
        <f>IF(ExtraPayment=0, 0, IF(AND($B900&lt;&gt;0,ExtraPayment&lt;=$B900),-ExtraPayment,-($F900)-$B900))</f>
        <v>0</v>
      </c>
      <c r="E900" s="5">
        <f>IF($B900 &lt;= 0, 0, -ROUND($B900 * (InterestRate / PaymentsPerYear), 2))</f>
        <v>0</v>
      </c>
      <c r="F900" s="5">
        <f>ROUND(IFERROR(IF(OR($B900 &lt;=0, $B900 = ExtraPayment),0,
MAX(-$B900, -(-PMT(InterestRate/PaymentsPerYear,LoanTerm*PaymentsPerYear,LoanAmount) + $E900))), 0), 2)</f>
        <v>0</v>
      </c>
      <c r="G900" s="5">
        <f t="shared" ref="G900:G963" si="58">$D900+$F900</f>
        <v>0</v>
      </c>
      <c r="H900" s="5">
        <f t="shared" ref="H900:H963" si="59">ROUND(IF($B900 &lt;= 0, 0,MAX(0, $B900 + $G900)), 2)</f>
        <v>0</v>
      </c>
    </row>
    <row r="901" spans="1:8" x14ac:dyDescent="0.2">
      <c r="A901" s="2">
        <v>900</v>
      </c>
      <c r="B901" s="5">
        <f t="shared" si="56"/>
        <v>0</v>
      </c>
      <c r="C901" s="5">
        <f t="shared" si="57"/>
        <v>0</v>
      </c>
      <c r="D901" s="5">
        <f>IF(ExtraPayment=0, 0, IF(AND($B901&lt;&gt;0,ExtraPayment&lt;=$B901),-ExtraPayment,-($F901)-$B901))</f>
        <v>0</v>
      </c>
      <c r="E901" s="5">
        <f>IF($B901 &lt;= 0, 0, -ROUND($B901 * (InterestRate / PaymentsPerYear), 2))</f>
        <v>0</v>
      </c>
      <c r="F901" s="5">
        <f>ROUND(IFERROR(IF(OR($B901 &lt;=0, $B901 = ExtraPayment),0,
MAX(-$B901, -(-PMT(InterestRate/PaymentsPerYear,LoanTerm*PaymentsPerYear,LoanAmount) + $E901))), 0), 2)</f>
        <v>0</v>
      </c>
      <c r="G901" s="5">
        <f t="shared" si="58"/>
        <v>0</v>
      </c>
      <c r="H901" s="5">
        <f t="shared" si="59"/>
        <v>0</v>
      </c>
    </row>
    <row r="902" spans="1:8" x14ac:dyDescent="0.2">
      <c r="A902" s="2">
        <v>901</v>
      </c>
      <c r="B902" s="5">
        <f t="shared" si="56"/>
        <v>0</v>
      </c>
      <c r="C902" s="5">
        <f t="shared" si="57"/>
        <v>0</v>
      </c>
      <c r="D902" s="5">
        <f>IF(ExtraPayment=0, 0, IF(AND($B902&lt;&gt;0,ExtraPayment&lt;=$B902),-ExtraPayment,-($F902)-$B902))</f>
        <v>0</v>
      </c>
      <c r="E902" s="5">
        <f>IF($B902 &lt;= 0, 0, -ROUND($B902 * (InterestRate / PaymentsPerYear), 2))</f>
        <v>0</v>
      </c>
      <c r="F902" s="5">
        <f>ROUND(IFERROR(IF(OR($B902 &lt;=0, $B902 = ExtraPayment),0,
MAX(-$B902, -(-PMT(InterestRate/PaymentsPerYear,LoanTerm*PaymentsPerYear,LoanAmount) + $E902))), 0), 2)</f>
        <v>0</v>
      </c>
      <c r="G902" s="5">
        <f t="shared" si="58"/>
        <v>0</v>
      </c>
      <c r="H902" s="5">
        <f t="shared" si="59"/>
        <v>0</v>
      </c>
    </row>
    <row r="903" spans="1:8" x14ac:dyDescent="0.2">
      <c r="A903" s="2">
        <v>902</v>
      </c>
      <c r="B903" s="5">
        <f t="shared" si="56"/>
        <v>0</v>
      </c>
      <c r="C903" s="5">
        <f t="shared" si="57"/>
        <v>0</v>
      </c>
      <c r="D903" s="5">
        <f>IF(ExtraPayment=0, 0, IF(AND($B903&lt;&gt;0,ExtraPayment&lt;=$B903),-ExtraPayment,-($F903)-$B903))</f>
        <v>0</v>
      </c>
      <c r="E903" s="5">
        <f>IF($B903 &lt;= 0, 0, -ROUND($B903 * (InterestRate / PaymentsPerYear), 2))</f>
        <v>0</v>
      </c>
      <c r="F903" s="5">
        <f>ROUND(IFERROR(IF(OR($B903 &lt;=0, $B903 = ExtraPayment),0,
MAX(-$B903, -(-PMT(InterestRate/PaymentsPerYear,LoanTerm*PaymentsPerYear,LoanAmount) + $E903))), 0), 2)</f>
        <v>0</v>
      </c>
      <c r="G903" s="5">
        <f t="shared" si="58"/>
        <v>0</v>
      </c>
      <c r="H903" s="5">
        <f t="shared" si="59"/>
        <v>0</v>
      </c>
    </row>
    <row r="904" spans="1:8" x14ac:dyDescent="0.2">
      <c r="A904" s="2">
        <v>903</v>
      </c>
      <c r="B904" s="5">
        <f t="shared" si="56"/>
        <v>0</v>
      </c>
      <c r="C904" s="5">
        <f t="shared" si="57"/>
        <v>0</v>
      </c>
      <c r="D904" s="5">
        <f>IF(ExtraPayment=0, 0, IF(AND($B904&lt;&gt;0,ExtraPayment&lt;=$B904),-ExtraPayment,-($F904)-$B904))</f>
        <v>0</v>
      </c>
      <c r="E904" s="5">
        <f>IF($B904 &lt;= 0, 0, -ROUND($B904 * (InterestRate / PaymentsPerYear), 2))</f>
        <v>0</v>
      </c>
      <c r="F904" s="5">
        <f>ROUND(IFERROR(IF(OR($B904 &lt;=0, $B904 = ExtraPayment),0,
MAX(-$B904, -(-PMT(InterestRate/PaymentsPerYear,LoanTerm*PaymentsPerYear,LoanAmount) + $E904))), 0), 2)</f>
        <v>0</v>
      </c>
      <c r="G904" s="5">
        <f t="shared" si="58"/>
        <v>0</v>
      </c>
      <c r="H904" s="5">
        <f t="shared" si="59"/>
        <v>0</v>
      </c>
    </row>
    <row r="905" spans="1:8" x14ac:dyDescent="0.2">
      <c r="A905" s="2">
        <v>904</v>
      </c>
      <c r="B905" s="5">
        <f t="shared" si="56"/>
        <v>0</v>
      </c>
      <c r="C905" s="5">
        <f t="shared" si="57"/>
        <v>0</v>
      </c>
      <c r="D905" s="5">
        <f>IF(ExtraPayment=0, 0, IF(AND($B905&lt;&gt;0,ExtraPayment&lt;=$B905),-ExtraPayment,-($F905)-$B905))</f>
        <v>0</v>
      </c>
      <c r="E905" s="5">
        <f>IF($B905 &lt;= 0, 0, -ROUND($B905 * (InterestRate / PaymentsPerYear), 2))</f>
        <v>0</v>
      </c>
      <c r="F905" s="5">
        <f>ROUND(IFERROR(IF(OR($B905 &lt;=0, $B905 = ExtraPayment),0,
MAX(-$B905, -(-PMT(InterestRate/PaymentsPerYear,LoanTerm*PaymentsPerYear,LoanAmount) + $E905))), 0), 2)</f>
        <v>0</v>
      </c>
      <c r="G905" s="5">
        <f t="shared" si="58"/>
        <v>0</v>
      </c>
      <c r="H905" s="5">
        <f t="shared" si="59"/>
        <v>0</v>
      </c>
    </row>
    <row r="906" spans="1:8" x14ac:dyDescent="0.2">
      <c r="A906" s="2">
        <v>905</v>
      </c>
      <c r="B906" s="5">
        <f t="shared" si="56"/>
        <v>0</v>
      </c>
      <c r="C906" s="5">
        <f t="shared" si="57"/>
        <v>0</v>
      </c>
      <c r="D906" s="5">
        <f>IF(ExtraPayment=0, 0, IF(AND($B906&lt;&gt;0,ExtraPayment&lt;=$B906),-ExtraPayment,-($F906)-$B906))</f>
        <v>0</v>
      </c>
      <c r="E906" s="5">
        <f>IF($B906 &lt;= 0, 0, -ROUND($B906 * (InterestRate / PaymentsPerYear), 2))</f>
        <v>0</v>
      </c>
      <c r="F906" s="5">
        <f>ROUND(IFERROR(IF(OR($B906 &lt;=0, $B906 = ExtraPayment),0,
MAX(-$B906, -(-PMT(InterestRate/PaymentsPerYear,LoanTerm*PaymentsPerYear,LoanAmount) + $E906))), 0), 2)</f>
        <v>0</v>
      </c>
      <c r="G906" s="5">
        <f t="shared" si="58"/>
        <v>0</v>
      </c>
      <c r="H906" s="5">
        <f t="shared" si="59"/>
        <v>0</v>
      </c>
    </row>
    <row r="907" spans="1:8" x14ac:dyDescent="0.2">
      <c r="A907" s="2">
        <v>906</v>
      </c>
      <c r="B907" s="5">
        <f t="shared" si="56"/>
        <v>0</v>
      </c>
      <c r="C907" s="5">
        <f t="shared" si="57"/>
        <v>0</v>
      </c>
      <c r="D907" s="5">
        <f>IF(ExtraPayment=0, 0, IF(AND($B907&lt;&gt;0,ExtraPayment&lt;=$B907),-ExtraPayment,-($F907)-$B907))</f>
        <v>0</v>
      </c>
      <c r="E907" s="5">
        <f>IF($B907 &lt;= 0, 0, -ROUND($B907 * (InterestRate / PaymentsPerYear), 2))</f>
        <v>0</v>
      </c>
      <c r="F907" s="5">
        <f>ROUND(IFERROR(IF(OR($B907 &lt;=0, $B907 = ExtraPayment),0,
MAX(-$B907, -(-PMT(InterestRate/PaymentsPerYear,LoanTerm*PaymentsPerYear,LoanAmount) + $E907))), 0), 2)</f>
        <v>0</v>
      </c>
      <c r="G907" s="5">
        <f t="shared" si="58"/>
        <v>0</v>
      </c>
      <c r="H907" s="5">
        <f t="shared" si="59"/>
        <v>0</v>
      </c>
    </row>
    <row r="908" spans="1:8" x14ac:dyDescent="0.2">
      <c r="A908" s="2">
        <v>907</v>
      </c>
      <c r="B908" s="5">
        <f t="shared" si="56"/>
        <v>0</v>
      </c>
      <c r="C908" s="5">
        <f t="shared" si="57"/>
        <v>0</v>
      </c>
      <c r="D908" s="5">
        <f>IF(ExtraPayment=0, 0, IF(AND($B908&lt;&gt;0,ExtraPayment&lt;=$B908),-ExtraPayment,-($F908)-$B908))</f>
        <v>0</v>
      </c>
      <c r="E908" s="5">
        <f>IF($B908 &lt;= 0, 0, -ROUND($B908 * (InterestRate / PaymentsPerYear), 2))</f>
        <v>0</v>
      </c>
      <c r="F908" s="5">
        <f>ROUND(IFERROR(IF(OR($B908 &lt;=0, $B908 = ExtraPayment),0,
MAX(-$B908, -(-PMT(InterestRate/PaymentsPerYear,LoanTerm*PaymentsPerYear,LoanAmount) + $E908))), 0), 2)</f>
        <v>0</v>
      </c>
      <c r="G908" s="5">
        <f t="shared" si="58"/>
        <v>0</v>
      </c>
      <c r="H908" s="5">
        <f t="shared" si="59"/>
        <v>0</v>
      </c>
    </row>
    <row r="909" spans="1:8" x14ac:dyDescent="0.2">
      <c r="A909" s="2">
        <v>908</v>
      </c>
      <c r="B909" s="5">
        <f t="shared" si="56"/>
        <v>0</v>
      </c>
      <c r="C909" s="5">
        <f t="shared" si="57"/>
        <v>0</v>
      </c>
      <c r="D909" s="5">
        <f>IF(ExtraPayment=0, 0, IF(AND($B909&lt;&gt;0,ExtraPayment&lt;=$B909),-ExtraPayment,-($F909)-$B909))</f>
        <v>0</v>
      </c>
      <c r="E909" s="5">
        <f>IF($B909 &lt;= 0, 0, -ROUND($B909 * (InterestRate / PaymentsPerYear), 2))</f>
        <v>0</v>
      </c>
      <c r="F909" s="5">
        <f>ROUND(IFERROR(IF(OR($B909 &lt;=0, $B909 = ExtraPayment),0,
MAX(-$B909, -(-PMT(InterestRate/PaymentsPerYear,LoanTerm*PaymentsPerYear,LoanAmount) + $E909))), 0), 2)</f>
        <v>0</v>
      </c>
      <c r="G909" s="5">
        <f t="shared" si="58"/>
        <v>0</v>
      </c>
      <c r="H909" s="5">
        <f t="shared" si="59"/>
        <v>0</v>
      </c>
    </row>
    <row r="910" spans="1:8" x14ac:dyDescent="0.2">
      <c r="A910" s="2">
        <v>909</v>
      </c>
      <c r="B910" s="5">
        <f t="shared" si="56"/>
        <v>0</v>
      </c>
      <c r="C910" s="5">
        <f t="shared" si="57"/>
        <v>0</v>
      </c>
      <c r="D910" s="5">
        <f>IF(ExtraPayment=0, 0, IF(AND($B910&lt;&gt;0,ExtraPayment&lt;=$B910),-ExtraPayment,-($F910)-$B910))</f>
        <v>0</v>
      </c>
      <c r="E910" s="5">
        <f>IF($B910 &lt;= 0, 0, -ROUND($B910 * (InterestRate / PaymentsPerYear), 2))</f>
        <v>0</v>
      </c>
      <c r="F910" s="5">
        <f>ROUND(IFERROR(IF(OR($B910 &lt;=0, $B910 = ExtraPayment),0,
MAX(-$B910, -(-PMT(InterestRate/PaymentsPerYear,LoanTerm*PaymentsPerYear,LoanAmount) + $E910))), 0), 2)</f>
        <v>0</v>
      </c>
      <c r="G910" s="5">
        <f t="shared" si="58"/>
        <v>0</v>
      </c>
      <c r="H910" s="5">
        <f t="shared" si="59"/>
        <v>0</v>
      </c>
    </row>
    <row r="911" spans="1:8" x14ac:dyDescent="0.2">
      <c r="A911" s="2">
        <v>910</v>
      </c>
      <c r="B911" s="5">
        <f t="shared" si="56"/>
        <v>0</v>
      </c>
      <c r="C911" s="5">
        <f t="shared" si="57"/>
        <v>0</v>
      </c>
      <c r="D911" s="5">
        <f>IF(ExtraPayment=0, 0, IF(AND($B911&lt;&gt;0,ExtraPayment&lt;=$B911),-ExtraPayment,-($F911)-$B911))</f>
        <v>0</v>
      </c>
      <c r="E911" s="5">
        <f>IF($B911 &lt;= 0, 0, -ROUND($B911 * (InterestRate / PaymentsPerYear), 2))</f>
        <v>0</v>
      </c>
      <c r="F911" s="5">
        <f>ROUND(IFERROR(IF(OR($B911 &lt;=0, $B911 = ExtraPayment),0,
MAX(-$B911, -(-PMT(InterestRate/PaymentsPerYear,LoanTerm*PaymentsPerYear,LoanAmount) + $E911))), 0), 2)</f>
        <v>0</v>
      </c>
      <c r="G911" s="5">
        <f t="shared" si="58"/>
        <v>0</v>
      </c>
      <c r="H911" s="5">
        <f t="shared" si="59"/>
        <v>0</v>
      </c>
    </row>
    <row r="912" spans="1:8" x14ac:dyDescent="0.2">
      <c r="A912" s="2">
        <v>911</v>
      </c>
      <c r="B912" s="5">
        <f t="shared" si="56"/>
        <v>0</v>
      </c>
      <c r="C912" s="5">
        <f t="shared" si="57"/>
        <v>0</v>
      </c>
      <c r="D912" s="5">
        <f>IF(ExtraPayment=0, 0, IF(AND($B912&lt;&gt;0,ExtraPayment&lt;=$B912),-ExtraPayment,-($F912)-$B912))</f>
        <v>0</v>
      </c>
      <c r="E912" s="5">
        <f>IF($B912 &lt;= 0, 0, -ROUND($B912 * (InterestRate / PaymentsPerYear), 2))</f>
        <v>0</v>
      </c>
      <c r="F912" s="5">
        <f>ROUND(IFERROR(IF(OR($B912 &lt;=0, $B912 = ExtraPayment),0,
MAX(-$B912, -(-PMT(InterestRate/PaymentsPerYear,LoanTerm*PaymentsPerYear,LoanAmount) + $E912))), 0), 2)</f>
        <v>0</v>
      </c>
      <c r="G912" s="5">
        <f t="shared" si="58"/>
        <v>0</v>
      </c>
      <c r="H912" s="5">
        <f t="shared" si="59"/>
        <v>0</v>
      </c>
    </row>
    <row r="913" spans="1:8" x14ac:dyDescent="0.2">
      <c r="A913" s="2">
        <v>912</v>
      </c>
      <c r="B913" s="5">
        <f t="shared" si="56"/>
        <v>0</v>
      </c>
      <c r="C913" s="5">
        <f t="shared" si="57"/>
        <v>0</v>
      </c>
      <c r="D913" s="5">
        <f>IF(ExtraPayment=0, 0, IF(AND($B913&lt;&gt;0,ExtraPayment&lt;=$B913),-ExtraPayment,-($F913)-$B913))</f>
        <v>0</v>
      </c>
      <c r="E913" s="5">
        <f>IF($B913 &lt;= 0, 0, -ROUND($B913 * (InterestRate / PaymentsPerYear), 2))</f>
        <v>0</v>
      </c>
      <c r="F913" s="5">
        <f>ROUND(IFERROR(IF(OR($B913 &lt;=0, $B913 = ExtraPayment),0,
MAX(-$B913, -(-PMT(InterestRate/PaymentsPerYear,LoanTerm*PaymentsPerYear,LoanAmount) + $E913))), 0), 2)</f>
        <v>0</v>
      </c>
      <c r="G913" s="5">
        <f t="shared" si="58"/>
        <v>0</v>
      </c>
      <c r="H913" s="5">
        <f t="shared" si="59"/>
        <v>0</v>
      </c>
    </row>
    <row r="914" spans="1:8" x14ac:dyDescent="0.2">
      <c r="A914" s="2">
        <v>913</v>
      </c>
      <c r="B914" s="5">
        <f t="shared" si="56"/>
        <v>0</v>
      </c>
      <c r="C914" s="5">
        <f t="shared" si="57"/>
        <v>0</v>
      </c>
      <c r="D914" s="5">
        <f>IF(ExtraPayment=0, 0, IF(AND($B914&lt;&gt;0,ExtraPayment&lt;=$B914),-ExtraPayment,-($F914)-$B914))</f>
        <v>0</v>
      </c>
      <c r="E914" s="5">
        <f>IF($B914 &lt;= 0, 0, -ROUND($B914 * (InterestRate / PaymentsPerYear), 2))</f>
        <v>0</v>
      </c>
      <c r="F914" s="5">
        <f>ROUND(IFERROR(IF(OR($B914 &lt;=0, $B914 = ExtraPayment),0,
MAX(-$B914, -(-PMT(InterestRate/PaymentsPerYear,LoanTerm*PaymentsPerYear,LoanAmount) + $E914))), 0), 2)</f>
        <v>0</v>
      </c>
      <c r="G914" s="5">
        <f t="shared" si="58"/>
        <v>0</v>
      </c>
      <c r="H914" s="5">
        <f t="shared" si="59"/>
        <v>0</v>
      </c>
    </row>
    <row r="915" spans="1:8" x14ac:dyDescent="0.2">
      <c r="A915" s="2">
        <v>914</v>
      </c>
      <c r="B915" s="5">
        <f t="shared" si="56"/>
        <v>0</v>
      </c>
      <c r="C915" s="5">
        <f t="shared" si="57"/>
        <v>0</v>
      </c>
      <c r="D915" s="5">
        <f>IF(ExtraPayment=0, 0, IF(AND($B915&lt;&gt;0,ExtraPayment&lt;=$B915),-ExtraPayment,-($F915)-$B915))</f>
        <v>0</v>
      </c>
      <c r="E915" s="5">
        <f>IF($B915 &lt;= 0, 0, -ROUND($B915 * (InterestRate / PaymentsPerYear), 2))</f>
        <v>0</v>
      </c>
      <c r="F915" s="5">
        <f>ROUND(IFERROR(IF(OR($B915 &lt;=0, $B915 = ExtraPayment),0,
MAX(-$B915, -(-PMT(InterestRate/PaymentsPerYear,LoanTerm*PaymentsPerYear,LoanAmount) + $E915))), 0), 2)</f>
        <v>0</v>
      </c>
      <c r="G915" s="5">
        <f t="shared" si="58"/>
        <v>0</v>
      </c>
      <c r="H915" s="5">
        <f t="shared" si="59"/>
        <v>0</v>
      </c>
    </row>
    <row r="916" spans="1:8" x14ac:dyDescent="0.2">
      <c r="A916" s="2">
        <v>915</v>
      </c>
      <c r="B916" s="5">
        <f t="shared" si="56"/>
        <v>0</v>
      </c>
      <c r="C916" s="5">
        <f t="shared" si="57"/>
        <v>0</v>
      </c>
      <c r="D916" s="5">
        <f>IF(ExtraPayment=0, 0, IF(AND($B916&lt;&gt;0,ExtraPayment&lt;=$B916),-ExtraPayment,-($F916)-$B916))</f>
        <v>0</v>
      </c>
      <c r="E916" s="5">
        <f>IF($B916 &lt;= 0, 0, -ROUND($B916 * (InterestRate / PaymentsPerYear), 2))</f>
        <v>0</v>
      </c>
      <c r="F916" s="5">
        <f>ROUND(IFERROR(IF(OR($B916 &lt;=0, $B916 = ExtraPayment),0,
MAX(-$B916, -(-PMT(InterestRate/PaymentsPerYear,LoanTerm*PaymentsPerYear,LoanAmount) + $E916))), 0), 2)</f>
        <v>0</v>
      </c>
      <c r="G916" s="5">
        <f t="shared" si="58"/>
        <v>0</v>
      </c>
      <c r="H916" s="5">
        <f t="shared" si="59"/>
        <v>0</v>
      </c>
    </row>
    <row r="917" spans="1:8" x14ac:dyDescent="0.2">
      <c r="A917" s="2">
        <v>916</v>
      </c>
      <c r="B917" s="5">
        <f t="shared" si="56"/>
        <v>0</v>
      </c>
      <c r="C917" s="5">
        <f t="shared" si="57"/>
        <v>0</v>
      </c>
      <c r="D917" s="5">
        <f>IF(ExtraPayment=0, 0, IF(AND($B917&lt;&gt;0,ExtraPayment&lt;=$B917),-ExtraPayment,-($F917)-$B917))</f>
        <v>0</v>
      </c>
      <c r="E917" s="5">
        <f>IF($B917 &lt;= 0, 0, -ROUND($B917 * (InterestRate / PaymentsPerYear), 2))</f>
        <v>0</v>
      </c>
      <c r="F917" s="5">
        <f>ROUND(IFERROR(IF(OR($B917 &lt;=0, $B917 = ExtraPayment),0,
MAX(-$B917, -(-PMT(InterestRate/PaymentsPerYear,LoanTerm*PaymentsPerYear,LoanAmount) + $E917))), 0), 2)</f>
        <v>0</v>
      </c>
      <c r="G917" s="5">
        <f t="shared" si="58"/>
        <v>0</v>
      </c>
      <c r="H917" s="5">
        <f t="shared" si="59"/>
        <v>0</v>
      </c>
    </row>
    <row r="918" spans="1:8" x14ac:dyDescent="0.2">
      <c r="A918" s="2">
        <v>917</v>
      </c>
      <c r="B918" s="5">
        <f t="shared" si="56"/>
        <v>0</v>
      </c>
      <c r="C918" s="5">
        <f t="shared" si="57"/>
        <v>0</v>
      </c>
      <c r="D918" s="5">
        <f>IF(ExtraPayment=0, 0, IF(AND($B918&lt;&gt;0,ExtraPayment&lt;=$B918),-ExtraPayment,-($F918)-$B918))</f>
        <v>0</v>
      </c>
      <c r="E918" s="5">
        <f>IF($B918 &lt;= 0, 0, -ROUND($B918 * (InterestRate / PaymentsPerYear), 2))</f>
        <v>0</v>
      </c>
      <c r="F918" s="5">
        <f>ROUND(IFERROR(IF(OR($B918 &lt;=0, $B918 = ExtraPayment),0,
MAX(-$B918, -(-PMT(InterestRate/PaymentsPerYear,LoanTerm*PaymentsPerYear,LoanAmount) + $E918))), 0), 2)</f>
        <v>0</v>
      </c>
      <c r="G918" s="5">
        <f t="shared" si="58"/>
        <v>0</v>
      </c>
      <c r="H918" s="5">
        <f t="shared" si="59"/>
        <v>0</v>
      </c>
    </row>
    <row r="919" spans="1:8" x14ac:dyDescent="0.2">
      <c r="A919" s="2">
        <v>918</v>
      </c>
      <c r="B919" s="5">
        <f t="shared" si="56"/>
        <v>0</v>
      </c>
      <c r="C919" s="5">
        <f t="shared" si="57"/>
        <v>0</v>
      </c>
      <c r="D919" s="5">
        <f>IF(ExtraPayment=0, 0, IF(AND($B919&lt;&gt;0,ExtraPayment&lt;=$B919),-ExtraPayment,-($F919)-$B919))</f>
        <v>0</v>
      </c>
      <c r="E919" s="5">
        <f>IF($B919 &lt;= 0, 0, -ROUND($B919 * (InterestRate / PaymentsPerYear), 2))</f>
        <v>0</v>
      </c>
      <c r="F919" s="5">
        <f>ROUND(IFERROR(IF(OR($B919 &lt;=0, $B919 = ExtraPayment),0,
MAX(-$B919, -(-PMT(InterestRate/PaymentsPerYear,LoanTerm*PaymentsPerYear,LoanAmount) + $E919))), 0), 2)</f>
        <v>0</v>
      </c>
      <c r="G919" s="5">
        <f t="shared" si="58"/>
        <v>0</v>
      </c>
      <c r="H919" s="5">
        <f t="shared" si="59"/>
        <v>0</v>
      </c>
    </row>
    <row r="920" spans="1:8" x14ac:dyDescent="0.2">
      <c r="A920" s="2">
        <v>919</v>
      </c>
      <c r="B920" s="5">
        <f t="shared" si="56"/>
        <v>0</v>
      </c>
      <c r="C920" s="5">
        <f t="shared" si="57"/>
        <v>0</v>
      </c>
      <c r="D920" s="5">
        <f>IF(ExtraPayment=0, 0, IF(AND($B920&lt;&gt;0,ExtraPayment&lt;=$B920),-ExtraPayment,-($F920)-$B920))</f>
        <v>0</v>
      </c>
      <c r="E920" s="5">
        <f>IF($B920 &lt;= 0, 0, -ROUND($B920 * (InterestRate / PaymentsPerYear), 2))</f>
        <v>0</v>
      </c>
      <c r="F920" s="5">
        <f>ROUND(IFERROR(IF(OR($B920 &lt;=0, $B920 = ExtraPayment),0,
MAX(-$B920, -(-PMT(InterestRate/PaymentsPerYear,LoanTerm*PaymentsPerYear,LoanAmount) + $E920))), 0), 2)</f>
        <v>0</v>
      </c>
      <c r="G920" s="5">
        <f t="shared" si="58"/>
        <v>0</v>
      </c>
      <c r="H920" s="5">
        <f t="shared" si="59"/>
        <v>0</v>
      </c>
    </row>
    <row r="921" spans="1:8" x14ac:dyDescent="0.2">
      <c r="A921" s="2">
        <v>920</v>
      </c>
      <c r="B921" s="5">
        <f t="shared" si="56"/>
        <v>0</v>
      </c>
      <c r="C921" s="5">
        <f t="shared" si="57"/>
        <v>0</v>
      </c>
      <c r="D921" s="5">
        <f>IF(ExtraPayment=0, 0, IF(AND($B921&lt;&gt;0,ExtraPayment&lt;=$B921),-ExtraPayment,-($F921)-$B921))</f>
        <v>0</v>
      </c>
      <c r="E921" s="5">
        <f>IF($B921 &lt;= 0, 0, -ROUND($B921 * (InterestRate / PaymentsPerYear), 2))</f>
        <v>0</v>
      </c>
      <c r="F921" s="5">
        <f>ROUND(IFERROR(IF(OR($B921 &lt;=0, $B921 = ExtraPayment),0,
MAX(-$B921, -(-PMT(InterestRate/PaymentsPerYear,LoanTerm*PaymentsPerYear,LoanAmount) + $E921))), 0), 2)</f>
        <v>0</v>
      </c>
      <c r="G921" s="5">
        <f t="shared" si="58"/>
        <v>0</v>
      </c>
      <c r="H921" s="5">
        <f t="shared" si="59"/>
        <v>0</v>
      </c>
    </row>
    <row r="922" spans="1:8" x14ac:dyDescent="0.2">
      <c r="A922" s="2">
        <v>921</v>
      </c>
      <c r="B922" s="5">
        <f t="shared" si="56"/>
        <v>0</v>
      </c>
      <c r="C922" s="5">
        <f t="shared" si="57"/>
        <v>0</v>
      </c>
      <c r="D922" s="5">
        <f>IF(ExtraPayment=0, 0, IF(AND($B922&lt;&gt;0,ExtraPayment&lt;=$B922),-ExtraPayment,-($F922)-$B922))</f>
        <v>0</v>
      </c>
      <c r="E922" s="5">
        <f>IF($B922 &lt;= 0, 0, -ROUND($B922 * (InterestRate / PaymentsPerYear), 2))</f>
        <v>0</v>
      </c>
      <c r="F922" s="5">
        <f>ROUND(IFERROR(IF(OR($B922 &lt;=0, $B922 = ExtraPayment),0,
MAX(-$B922, -(-PMT(InterestRate/PaymentsPerYear,LoanTerm*PaymentsPerYear,LoanAmount) + $E922))), 0), 2)</f>
        <v>0</v>
      </c>
      <c r="G922" s="5">
        <f t="shared" si="58"/>
        <v>0</v>
      </c>
      <c r="H922" s="5">
        <f t="shared" si="59"/>
        <v>0</v>
      </c>
    </row>
    <row r="923" spans="1:8" x14ac:dyDescent="0.2">
      <c r="A923" s="2">
        <v>922</v>
      </c>
      <c r="B923" s="5">
        <f t="shared" si="56"/>
        <v>0</v>
      </c>
      <c r="C923" s="5">
        <f t="shared" si="57"/>
        <v>0</v>
      </c>
      <c r="D923" s="5">
        <f>IF(ExtraPayment=0, 0, IF(AND($B923&lt;&gt;0,ExtraPayment&lt;=$B923),-ExtraPayment,-($F923)-$B923))</f>
        <v>0</v>
      </c>
      <c r="E923" s="5">
        <f>IF($B923 &lt;= 0, 0, -ROUND($B923 * (InterestRate / PaymentsPerYear), 2))</f>
        <v>0</v>
      </c>
      <c r="F923" s="5">
        <f>ROUND(IFERROR(IF(OR($B923 &lt;=0, $B923 = ExtraPayment),0,
MAX(-$B923, -(-PMT(InterestRate/PaymentsPerYear,LoanTerm*PaymentsPerYear,LoanAmount) + $E923))), 0), 2)</f>
        <v>0</v>
      </c>
      <c r="G923" s="5">
        <f t="shared" si="58"/>
        <v>0</v>
      </c>
      <c r="H923" s="5">
        <f t="shared" si="59"/>
        <v>0</v>
      </c>
    </row>
    <row r="924" spans="1:8" x14ac:dyDescent="0.2">
      <c r="A924" s="2">
        <v>923</v>
      </c>
      <c r="B924" s="5">
        <f t="shared" si="56"/>
        <v>0</v>
      </c>
      <c r="C924" s="5">
        <f t="shared" si="57"/>
        <v>0</v>
      </c>
      <c r="D924" s="5">
        <f>IF(ExtraPayment=0, 0, IF(AND($B924&lt;&gt;0,ExtraPayment&lt;=$B924),-ExtraPayment,-($F924)-$B924))</f>
        <v>0</v>
      </c>
      <c r="E924" s="5">
        <f>IF($B924 &lt;= 0, 0, -ROUND($B924 * (InterestRate / PaymentsPerYear), 2))</f>
        <v>0</v>
      </c>
      <c r="F924" s="5">
        <f>ROUND(IFERROR(IF(OR($B924 &lt;=0, $B924 = ExtraPayment),0,
MAX(-$B924, -(-PMT(InterestRate/PaymentsPerYear,LoanTerm*PaymentsPerYear,LoanAmount) + $E924))), 0), 2)</f>
        <v>0</v>
      </c>
      <c r="G924" s="5">
        <f t="shared" si="58"/>
        <v>0</v>
      </c>
      <c r="H924" s="5">
        <f t="shared" si="59"/>
        <v>0</v>
      </c>
    </row>
    <row r="925" spans="1:8" x14ac:dyDescent="0.2">
      <c r="A925" s="2">
        <v>924</v>
      </c>
      <c r="B925" s="5">
        <f t="shared" si="56"/>
        <v>0</v>
      </c>
      <c r="C925" s="5">
        <f t="shared" si="57"/>
        <v>0</v>
      </c>
      <c r="D925" s="5">
        <f>IF(ExtraPayment=0, 0, IF(AND($B925&lt;&gt;0,ExtraPayment&lt;=$B925),-ExtraPayment,-($F925)-$B925))</f>
        <v>0</v>
      </c>
      <c r="E925" s="5">
        <f>IF($B925 &lt;= 0, 0, -ROUND($B925 * (InterestRate / PaymentsPerYear), 2))</f>
        <v>0</v>
      </c>
      <c r="F925" s="5">
        <f>ROUND(IFERROR(IF(OR($B925 &lt;=0, $B925 = ExtraPayment),0,
MAX(-$B925, -(-PMT(InterestRate/PaymentsPerYear,LoanTerm*PaymentsPerYear,LoanAmount) + $E925))), 0), 2)</f>
        <v>0</v>
      </c>
      <c r="G925" s="5">
        <f t="shared" si="58"/>
        <v>0</v>
      </c>
      <c r="H925" s="5">
        <f t="shared" si="59"/>
        <v>0</v>
      </c>
    </row>
    <row r="926" spans="1:8" x14ac:dyDescent="0.2">
      <c r="A926" s="2">
        <v>925</v>
      </c>
      <c r="B926" s="5">
        <f t="shared" si="56"/>
        <v>0</v>
      </c>
      <c r="C926" s="5">
        <f t="shared" si="57"/>
        <v>0</v>
      </c>
      <c r="D926" s="5">
        <f>IF(ExtraPayment=0, 0, IF(AND($B926&lt;&gt;0,ExtraPayment&lt;=$B926),-ExtraPayment,-($F926)-$B926))</f>
        <v>0</v>
      </c>
      <c r="E926" s="5">
        <f>IF($B926 &lt;= 0, 0, -ROUND($B926 * (InterestRate / PaymentsPerYear), 2))</f>
        <v>0</v>
      </c>
      <c r="F926" s="5">
        <f>ROUND(IFERROR(IF(OR($B926 &lt;=0, $B926 = ExtraPayment),0,
MAX(-$B926, -(-PMT(InterestRate/PaymentsPerYear,LoanTerm*PaymentsPerYear,LoanAmount) + $E926))), 0), 2)</f>
        <v>0</v>
      </c>
      <c r="G926" s="5">
        <f t="shared" si="58"/>
        <v>0</v>
      </c>
      <c r="H926" s="5">
        <f t="shared" si="59"/>
        <v>0</v>
      </c>
    </row>
    <row r="927" spans="1:8" x14ac:dyDescent="0.2">
      <c r="A927" s="2">
        <v>926</v>
      </c>
      <c r="B927" s="5">
        <f t="shared" si="56"/>
        <v>0</v>
      </c>
      <c r="C927" s="5">
        <f t="shared" si="57"/>
        <v>0</v>
      </c>
      <c r="D927" s="5">
        <f>IF(ExtraPayment=0, 0, IF(AND($B927&lt;&gt;0,ExtraPayment&lt;=$B927),-ExtraPayment,-($F927)-$B927))</f>
        <v>0</v>
      </c>
      <c r="E927" s="5">
        <f>IF($B927 &lt;= 0, 0, -ROUND($B927 * (InterestRate / PaymentsPerYear), 2))</f>
        <v>0</v>
      </c>
      <c r="F927" s="5">
        <f>ROUND(IFERROR(IF(OR($B927 &lt;=0, $B927 = ExtraPayment),0,
MAX(-$B927, -(-PMT(InterestRate/PaymentsPerYear,LoanTerm*PaymentsPerYear,LoanAmount) + $E927))), 0), 2)</f>
        <v>0</v>
      </c>
      <c r="G927" s="5">
        <f t="shared" si="58"/>
        <v>0</v>
      </c>
      <c r="H927" s="5">
        <f t="shared" si="59"/>
        <v>0</v>
      </c>
    </row>
    <row r="928" spans="1:8" x14ac:dyDescent="0.2">
      <c r="A928" s="2">
        <v>927</v>
      </c>
      <c r="B928" s="5">
        <f t="shared" si="56"/>
        <v>0</v>
      </c>
      <c r="C928" s="5">
        <f t="shared" si="57"/>
        <v>0</v>
      </c>
      <c r="D928" s="5">
        <f>IF(ExtraPayment=0, 0, IF(AND($B928&lt;&gt;0,ExtraPayment&lt;=$B928),-ExtraPayment,-($F928)-$B928))</f>
        <v>0</v>
      </c>
      <c r="E928" s="5">
        <f>IF($B928 &lt;= 0, 0, -ROUND($B928 * (InterestRate / PaymentsPerYear), 2))</f>
        <v>0</v>
      </c>
      <c r="F928" s="5">
        <f>ROUND(IFERROR(IF(OR($B928 &lt;=0, $B928 = ExtraPayment),0,
MAX(-$B928, -(-PMT(InterestRate/PaymentsPerYear,LoanTerm*PaymentsPerYear,LoanAmount) + $E928))), 0), 2)</f>
        <v>0</v>
      </c>
      <c r="G928" s="5">
        <f t="shared" si="58"/>
        <v>0</v>
      </c>
      <c r="H928" s="5">
        <f t="shared" si="59"/>
        <v>0</v>
      </c>
    </row>
    <row r="929" spans="1:8" x14ac:dyDescent="0.2">
      <c r="A929" s="2">
        <v>928</v>
      </c>
      <c r="B929" s="5">
        <f t="shared" si="56"/>
        <v>0</v>
      </c>
      <c r="C929" s="5">
        <f t="shared" si="57"/>
        <v>0</v>
      </c>
      <c r="D929" s="5">
        <f>IF(ExtraPayment=0, 0, IF(AND($B929&lt;&gt;0,ExtraPayment&lt;=$B929),-ExtraPayment,-($F929)-$B929))</f>
        <v>0</v>
      </c>
      <c r="E929" s="5">
        <f>IF($B929 &lt;= 0, 0, -ROUND($B929 * (InterestRate / PaymentsPerYear), 2))</f>
        <v>0</v>
      </c>
      <c r="F929" s="5">
        <f>ROUND(IFERROR(IF(OR($B929 &lt;=0, $B929 = ExtraPayment),0,
MAX(-$B929, -(-PMT(InterestRate/PaymentsPerYear,LoanTerm*PaymentsPerYear,LoanAmount) + $E929))), 0), 2)</f>
        <v>0</v>
      </c>
      <c r="G929" s="5">
        <f t="shared" si="58"/>
        <v>0</v>
      </c>
      <c r="H929" s="5">
        <f t="shared" si="59"/>
        <v>0</v>
      </c>
    </row>
    <row r="930" spans="1:8" x14ac:dyDescent="0.2">
      <c r="A930" s="2">
        <v>929</v>
      </c>
      <c r="B930" s="5">
        <f t="shared" si="56"/>
        <v>0</v>
      </c>
      <c r="C930" s="5">
        <f t="shared" si="57"/>
        <v>0</v>
      </c>
      <c r="D930" s="5">
        <f>IF(ExtraPayment=0, 0, IF(AND($B930&lt;&gt;0,ExtraPayment&lt;=$B930),-ExtraPayment,-($F930)-$B930))</f>
        <v>0</v>
      </c>
      <c r="E930" s="5">
        <f>IF($B930 &lt;= 0, 0, -ROUND($B930 * (InterestRate / PaymentsPerYear), 2))</f>
        <v>0</v>
      </c>
      <c r="F930" s="5">
        <f>ROUND(IFERROR(IF(OR($B930 &lt;=0, $B930 = ExtraPayment),0,
MAX(-$B930, -(-PMT(InterestRate/PaymentsPerYear,LoanTerm*PaymentsPerYear,LoanAmount) + $E930))), 0), 2)</f>
        <v>0</v>
      </c>
      <c r="G930" s="5">
        <f t="shared" si="58"/>
        <v>0</v>
      </c>
      <c r="H930" s="5">
        <f t="shared" si="59"/>
        <v>0</v>
      </c>
    </row>
    <row r="931" spans="1:8" x14ac:dyDescent="0.2">
      <c r="A931" s="2">
        <v>930</v>
      </c>
      <c r="B931" s="5">
        <f t="shared" si="56"/>
        <v>0</v>
      </c>
      <c r="C931" s="5">
        <f t="shared" si="57"/>
        <v>0</v>
      </c>
      <c r="D931" s="5">
        <f>IF(ExtraPayment=0, 0, IF(AND($B931&lt;&gt;0,ExtraPayment&lt;=$B931),-ExtraPayment,-($F931)-$B931))</f>
        <v>0</v>
      </c>
      <c r="E931" s="5">
        <f>IF($B931 &lt;= 0, 0, -ROUND($B931 * (InterestRate / PaymentsPerYear), 2))</f>
        <v>0</v>
      </c>
      <c r="F931" s="5">
        <f>ROUND(IFERROR(IF(OR($B931 &lt;=0, $B931 = ExtraPayment),0,
MAX(-$B931, -(-PMT(InterestRate/PaymentsPerYear,LoanTerm*PaymentsPerYear,LoanAmount) + $E931))), 0), 2)</f>
        <v>0</v>
      </c>
      <c r="G931" s="5">
        <f t="shared" si="58"/>
        <v>0</v>
      </c>
      <c r="H931" s="5">
        <f t="shared" si="59"/>
        <v>0</v>
      </c>
    </row>
    <row r="932" spans="1:8" x14ac:dyDescent="0.2">
      <c r="A932" s="2">
        <v>931</v>
      </c>
      <c r="B932" s="5">
        <f t="shared" si="56"/>
        <v>0</v>
      </c>
      <c r="C932" s="5">
        <f t="shared" si="57"/>
        <v>0</v>
      </c>
      <c r="D932" s="5">
        <f>IF(ExtraPayment=0, 0, IF(AND($B932&lt;&gt;0,ExtraPayment&lt;=$B932),-ExtraPayment,-($F932)-$B932))</f>
        <v>0</v>
      </c>
      <c r="E932" s="5">
        <f>IF($B932 &lt;= 0, 0, -ROUND($B932 * (InterestRate / PaymentsPerYear), 2))</f>
        <v>0</v>
      </c>
      <c r="F932" s="5">
        <f>ROUND(IFERROR(IF(OR($B932 &lt;=0, $B932 = ExtraPayment),0,
MAX(-$B932, -(-PMT(InterestRate/PaymentsPerYear,LoanTerm*PaymentsPerYear,LoanAmount) + $E932))), 0), 2)</f>
        <v>0</v>
      </c>
      <c r="G932" s="5">
        <f t="shared" si="58"/>
        <v>0</v>
      </c>
      <c r="H932" s="5">
        <f t="shared" si="59"/>
        <v>0</v>
      </c>
    </row>
    <row r="933" spans="1:8" x14ac:dyDescent="0.2">
      <c r="A933" s="2">
        <v>932</v>
      </c>
      <c r="B933" s="5">
        <f t="shared" si="56"/>
        <v>0</v>
      </c>
      <c r="C933" s="5">
        <f t="shared" si="57"/>
        <v>0</v>
      </c>
      <c r="D933" s="5">
        <f>IF(ExtraPayment=0, 0, IF(AND($B933&lt;&gt;0,ExtraPayment&lt;=$B933),-ExtraPayment,-($F933)-$B933))</f>
        <v>0</v>
      </c>
      <c r="E933" s="5">
        <f>IF($B933 &lt;= 0, 0, -ROUND($B933 * (InterestRate / PaymentsPerYear), 2))</f>
        <v>0</v>
      </c>
      <c r="F933" s="5">
        <f>ROUND(IFERROR(IF(OR($B933 &lt;=0, $B933 = ExtraPayment),0,
MAX(-$B933, -(-PMT(InterestRate/PaymentsPerYear,LoanTerm*PaymentsPerYear,LoanAmount) + $E933))), 0), 2)</f>
        <v>0</v>
      </c>
      <c r="G933" s="5">
        <f t="shared" si="58"/>
        <v>0</v>
      </c>
      <c r="H933" s="5">
        <f t="shared" si="59"/>
        <v>0</v>
      </c>
    </row>
    <row r="934" spans="1:8" x14ac:dyDescent="0.2">
      <c r="A934" s="2">
        <v>933</v>
      </c>
      <c r="B934" s="5">
        <f t="shared" si="56"/>
        <v>0</v>
      </c>
      <c r="C934" s="5">
        <f t="shared" si="57"/>
        <v>0</v>
      </c>
      <c r="D934" s="5">
        <f>IF(ExtraPayment=0, 0, IF(AND($B934&lt;&gt;0,ExtraPayment&lt;=$B934),-ExtraPayment,-($F934)-$B934))</f>
        <v>0</v>
      </c>
      <c r="E934" s="5">
        <f>IF($B934 &lt;= 0, 0, -ROUND($B934 * (InterestRate / PaymentsPerYear), 2))</f>
        <v>0</v>
      </c>
      <c r="F934" s="5">
        <f>ROUND(IFERROR(IF(OR($B934 &lt;=0, $B934 = ExtraPayment),0,
MAX(-$B934, -(-PMT(InterestRate/PaymentsPerYear,LoanTerm*PaymentsPerYear,LoanAmount) + $E934))), 0), 2)</f>
        <v>0</v>
      </c>
      <c r="G934" s="5">
        <f t="shared" si="58"/>
        <v>0</v>
      </c>
      <c r="H934" s="5">
        <f t="shared" si="59"/>
        <v>0</v>
      </c>
    </row>
    <row r="935" spans="1:8" x14ac:dyDescent="0.2">
      <c r="A935" s="2">
        <v>934</v>
      </c>
      <c r="B935" s="5">
        <f t="shared" si="56"/>
        <v>0</v>
      </c>
      <c r="C935" s="5">
        <f t="shared" si="57"/>
        <v>0</v>
      </c>
      <c r="D935" s="5">
        <f>IF(ExtraPayment=0, 0, IF(AND($B935&lt;&gt;0,ExtraPayment&lt;=$B935),-ExtraPayment,-($F935)-$B935))</f>
        <v>0</v>
      </c>
      <c r="E935" s="5">
        <f>IF($B935 &lt;= 0, 0, -ROUND($B935 * (InterestRate / PaymentsPerYear), 2))</f>
        <v>0</v>
      </c>
      <c r="F935" s="5">
        <f>ROUND(IFERROR(IF(OR($B935 &lt;=0, $B935 = ExtraPayment),0,
MAX(-$B935, -(-PMT(InterestRate/PaymentsPerYear,LoanTerm*PaymentsPerYear,LoanAmount) + $E935))), 0), 2)</f>
        <v>0</v>
      </c>
      <c r="G935" s="5">
        <f t="shared" si="58"/>
        <v>0</v>
      </c>
      <c r="H935" s="5">
        <f t="shared" si="59"/>
        <v>0</v>
      </c>
    </row>
    <row r="936" spans="1:8" x14ac:dyDescent="0.2">
      <c r="A936" s="2">
        <v>935</v>
      </c>
      <c r="B936" s="5">
        <f t="shared" si="56"/>
        <v>0</v>
      </c>
      <c r="C936" s="5">
        <f t="shared" si="57"/>
        <v>0</v>
      </c>
      <c r="D936" s="5">
        <f>IF(ExtraPayment=0, 0, IF(AND($B936&lt;&gt;0,ExtraPayment&lt;=$B936),-ExtraPayment,-($F936)-$B936))</f>
        <v>0</v>
      </c>
      <c r="E936" s="5">
        <f>IF($B936 &lt;= 0, 0, -ROUND($B936 * (InterestRate / PaymentsPerYear), 2))</f>
        <v>0</v>
      </c>
      <c r="F936" s="5">
        <f>ROUND(IFERROR(IF(OR($B936 &lt;=0, $B936 = ExtraPayment),0,
MAX(-$B936, -(-PMT(InterestRate/PaymentsPerYear,LoanTerm*PaymentsPerYear,LoanAmount) + $E936))), 0), 2)</f>
        <v>0</v>
      </c>
      <c r="G936" s="5">
        <f t="shared" si="58"/>
        <v>0</v>
      </c>
      <c r="H936" s="5">
        <f t="shared" si="59"/>
        <v>0</v>
      </c>
    </row>
    <row r="937" spans="1:8" x14ac:dyDescent="0.2">
      <c r="A937" s="2">
        <v>936</v>
      </c>
      <c r="B937" s="5">
        <f t="shared" si="56"/>
        <v>0</v>
      </c>
      <c r="C937" s="5">
        <f t="shared" si="57"/>
        <v>0</v>
      </c>
      <c r="D937" s="5">
        <f>IF(ExtraPayment=0, 0, IF(AND($B937&lt;&gt;0,ExtraPayment&lt;=$B937),-ExtraPayment,-($F937)-$B937))</f>
        <v>0</v>
      </c>
      <c r="E937" s="5">
        <f>IF($B937 &lt;= 0, 0, -ROUND($B937 * (InterestRate / PaymentsPerYear), 2))</f>
        <v>0</v>
      </c>
      <c r="F937" s="5">
        <f>ROUND(IFERROR(IF(OR($B937 &lt;=0, $B937 = ExtraPayment),0,
MAX(-$B937, -(-PMT(InterestRate/PaymentsPerYear,LoanTerm*PaymentsPerYear,LoanAmount) + $E937))), 0), 2)</f>
        <v>0</v>
      </c>
      <c r="G937" s="5">
        <f t="shared" si="58"/>
        <v>0</v>
      </c>
      <c r="H937" s="5">
        <f t="shared" si="59"/>
        <v>0</v>
      </c>
    </row>
    <row r="938" spans="1:8" x14ac:dyDescent="0.2">
      <c r="A938" s="2">
        <v>937</v>
      </c>
      <c r="B938" s="5">
        <f t="shared" si="56"/>
        <v>0</v>
      </c>
      <c r="C938" s="5">
        <f t="shared" si="57"/>
        <v>0</v>
      </c>
      <c r="D938" s="5">
        <f>IF(ExtraPayment=0, 0, IF(AND($B938&lt;&gt;0,ExtraPayment&lt;=$B938),-ExtraPayment,-($F938)-$B938))</f>
        <v>0</v>
      </c>
      <c r="E938" s="5">
        <f>IF($B938 &lt;= 0, 0, -ROUND($B938 * (InterestRate / PaymentsPerYear), 2))</f>
        <v>0</v>
      </c>
      <c r="F938" s="5">
        <f>ROUND(IFERROR(IF(OR($B938 &lt;=0, $B938 = ExtraPayment),0,
MAX(-$B938, -(-PMT(InterestRate/PaymentsPerYear,LoanTerm*PaymentsPerYear,LoanAmount) + $E938))), 0), 2)</f>
        <v>0</v>
      </c>
      <c r="G938" s="5">
        <f t="shared" si="58"/>
        <v>0</v>
      </c>
      <c r="H938" s="5">
        <f t="shared" si="59"/>
        <v>0</v>
      </c>
    </row>
    <row r="939" spans="1:8" x14ac:dyDescent="0.2">
      <c r="A939" s="2">
        <v>938</v>
      </c>
      <c r="B939" s="5">
        <f t="shared" si="56"/>
        <v>0</v>
      </c>
      <c r="C939" s="5">
        <f t="shared" si="57"/>
        <v>0</v>
      </c>
      <c r="D939" s="5">
        <f>IF(ExtraPayment=0, 0, IF(AND($B939&lt;&gt;0,ExtraPayment&lt;=$B939),-ExtraPayment,-($F939)-$B939))</f>
        <v>0</v>
      </c>
      <c r="E939" s="5">
        <f>IF($B939 &lt;= 0, 0, -ROUND($B939 * (InterestRate / PaymentsPerYear), 2))</f>
        <v>0</v>
      </c>
      <c r="F939" s="5">
        <f>ROUND(IFERROR(IF(OR($B939 &lt;=0, $B939 = ExtraPayment),0,
MAX(-$B939, -(-PMT(InterestRate/PaymentsPerYear,LoanTerm*PaymentsPerYear,LoanAmount) + $E939))), 0), 2)</f>
        <v>0</v>
      </c>
      <c r="G939" s="5">
        <f t="shared" si="58"/>
        <v>0</v>
      </c>
      <c r="H939" s="5">
        <f t="shared" si="59"/>
        <v>0</v>
      </c>
    </row>
    <row r="940" spans="1:8" x14ac:dyDescent="0.2">
      <c r="A940" s="2">
        <v>939</v>
      </c>
      <c r="B940" s="5">
        <f t="shared" si="56"/>
        <v>0</v>
      </c>
      <c r="C940" s="5">
        <f t="shared" si="57"/>
        <v>0</v>
      </c>
      <c r="D940" s="5">
        <f>IF(ExtraPayment=0, 0, IF(AND($B940&lt;&gt;0,ExtraPayment&lt;=$B940),-ExtraPayment,-($F940)-$B940))</f>
        <v>0</v>
      </c>
      <c r="E940" s="5">
        <f>IF($B940 &lt;= 0, 0, -ROUND($B940 * (InterestRate / PaymentsPerYear), 2))</f>
        <v>0</v>
      </c>
      <c r="F940" s="5">
        <f>ROUND(IFERROR(IF(OR($B940 &lt;=0, $B940 = ExtraPayment),0,
MAX(-$B940, -(-PMT(InterestRate/PaymentsPerYear,LoanTerm*PaymentsPerYear,LoanAmount) + $E940))), 0), 2)</f>
        <v>0</v>
      </c>
      <c r="G940" s="5">
        <f t="shared" si="58"/>
        <v>0</v>
      </c>
      <c r="H940" s="5">
        <f t="shared" si="59"/>
        <v>0</v>
      </c>
    </row>
    <row r="941" spans="1:8" x14ac:dyDescent="0.2">
      <c r="A941" s="2">
        <v>940</v>
      </c>
      <c r="B941" s="5">
        <f t="shared" si="56"/>
        <v>0</v>
      </c>
      <c r="C941" s="5">
        <f t="shared" si="57"/>
        <v>0</v>
      </c>
      <c r="D941" s="5">
        <f>IF(ExtraPayment=0, 0, IF(AND($B941&lt;&gt;0,ExtraPayment&lt;=$B941),-ExtraPayment,-($F941)-$B941))</f>
        <v>0</v>
      </c>
      <c r="E941" s="5">
        <f>IF($B941 &lt;= 0, 0, -ROUND($B941 * (InterestRate / PaymentsPerYear), 2))</f>
        <v>0</v>
      </c>
      <c r="F941" s="5">
        <f>ROUND(IFERROR(IF(OR($B941 &lt;=0, $B941 = ExtraPayment),0,
MAX(-$B941, -(-PMT(InterestRate/PaymentsPerYear,LoanTerm*PaymentsPerYear,LoanAmount) + $E941))), 0), 2)</f>
        <v>0</v>
      </c>
      <c r="G941" s="5">
        <f t="shared" si="58"/>
        <v>0</v>
      </c>
      <c r="H941" s="5">
        <f t="shared" si="59"/>
        <v>0</v>
      </c>
    </row>
    <row r="942" spans="1:8" x14ac:dyDescent="0.2">
      <c r="A942" s="2">
        <v>941</v>
      </c>
      <c r="B942" s="5">
        <f t="shared" si="56"/>
        <v>0</v>
      </c>
      <c r="C942" s="5">
        <f t="shared" si="57"/>
        <v>0</v>
      </c>
      <c r="D942" s="5">
        <f>IF(ExtraPayment=0, 0, IF(AND($B942&lt;&gt;0,ExtraPayment&lt;=$B942),-ExtraPayment,-($F942)-$B942))</f>
        <v>0</v>
      </c>
      <c r="E942" s="5">
        <f>IF($B942 &lt;= 0, 0, -ROUND($B942 * (InterestRate / PaymentsPerYear), 2))</f>
        <v>0</v>
      </c>
      <c r="F942" s="5">
        <f>ROUND(IFERROR(IF(OR($B942 &lt;=0, $B942 = ExtraPayment),0,
MAX(-$B942, -(-PMT(InterestRate/PaymentsPerYear,LoanTerm*PaymentsPerYear,LoanAmount) + $E942))), 0), 2)</f>
        <v>0</v>
      </c>
      <c r="G942" s="5">
        <f t="shared" si="58"/>
        <v>0</v>
      </c>
      <c r="H942" s="5">
        <f t="shared" si="59"/>
        <v>0</v>
      </c>
    </row>
    <row r="943" spans="1:8" x14ac:dyDescent="0.2">
      <c r="A943" s="2">
        <v>942</v>
      </c>
      <c r="B943" s="5">
        <f t="shared" si="56"/>
        <v>0</v>
      </c>
      <c r="C943" s="5">
        <f t="shared" si="57"/>
        <v>0</v>
      </c>
      <c r="D943" s="5">
        <f>IF(ExtraPayment=0, 0, IF(AND($B943&lt;&gt;0,ExtraPayment&lt;=$B943),-ExtraPayment,-($F943)-$B943))</f>
        <v>0</v>
      </c>
      <c r="E943" s="5">
        <f>IF($B943 &lt;= 0, 0, -ROUND($B943 * (InterestRate / PaymentsPerYear), 2))</f>
        <v>0</v>
      </c>
      <c r="F943" s="5">
        <f>ROUND(IFERROR(IF(OR($B943 &lt;=0, $B943 = ExtraPayment),0,
MAX(-$B943, -(-PMT(InterestRate/PaymentsPerYear,LoanTerm*PaymentsPerYear,LoanAmount) + $E943))), 0), 2)</f>
        <v>0</v>
      </c>
      <c r="G943" s="5">
        <f t="shared" si="58"/>
        <v>0</v>
      </c>
      <c r="H943" s="5">
        <f t="shared" si="59"/>
        <v>0</v>
      </c>
    </row>
    <row r="944" spans="1:8" x14ac:dyDescent="0.2">
      <c r="A944" s="2">
        <v>943</v>
      </c>
      <c r="B944" s="5">
        <f t="shared" si="56"/>
        <v>0</v>
      </c>
      <c r="C944" s="5">
        <f t="shared" si="57"/>
        <v>0</v>
      </c>
      <c r="D944" s="5">
        <f>IF(ExtraPayment=0, 0, IF(AND($B944&lt;&gt;0,ExtraPayment&lt;=$B944),-ExtraPayment,-($F944)-$B944))</f>
        <v>0</v>
      </c>
      <c r="E944" s="5">
        <f>IF($B944 &lt;= 0, 0, -ROUND($B944 * (InterestRate / PaymentsPerYear), 2))</f>
        <v>0</v>
      </c>
      <c r="F944" s="5">
        <f>ROUND(IFERROR(IF(OR($B944 &lt;=0, $B944 = ExtraPayment),0,
MAX(-$B944, -(-PMT(InterestRate/PaymentsPerYear,LoanTerm*PaymentsPerYear,LoanAmount) + $E944))), 0), 2)</f>
        <v>0</v>
      </c>
      <c r="G944" s="5">
        <f t="shared" si="58"/>
        <v>0</v>
      </c>
      <c r="H944" s="5">
        <f t="shared" si="59"/>
        <v>0</v>
      </c>
    </row>
    <row r="945" spans="1:8" x14ac:dyDescent="0.2">
      <c r="A945" s="2">
        <v>944</v>
      </c>
      <c r="B945" s="5">
        <f t="shared" si="56"/>
        <v>0</v>
      </c>
      <c r="C945" s="5">
        <f t="shared" si="57"/>
        <v>0</v>
      </c>
      <c r="D945" s="5">
        <f>IF(ExtraPayment=0, 0, IF(AND($B945&lt;&gt;0,ExtraPayment&lt;=$B945),-ExtraPayment,-($F945)-$B945))</f>
        <v>0</v>
      </c>
      <c r="E945" s="5">
        <f>IF($B945 &lt;= 0, 0, -ROUND($B945 * (InterestRate / PaymentsPerYear), 2))</f>
        <v>0</v>
      </c>
      <c r="F945" s="5">
        <f>ROUND(IFERROR(IF(OR($B945 &lt;=0, $B945 = ExtraPayment),0,
MAX(-$B945, -(-PMT(InterestRate/PaymentsPerYear,LoanTerm*PaymentsPerYear,LoanAmount) + $E945))), 0), 2)</f>
        <v>0</v>
      </c>
      <c r="G945" s="5">
        <f t="shared" si="58"/>
        <v>0</v>
      </c>
      <c r="H945" s="5">
        <f t="shared" si="59"/>
        <v>0</v>
      </c>
    </row>
    <row r="946" spans="1:8" x14ac:dyDescent="0.2">
      <c r="A946" s="2">
        <v>945</v>
      </c>
      <c r="B946" s="5">
        <f t="shared" si="56"/>
        <v>0</v>
      </c>
      <c r="C946" s="5">
        <f t="shared" si="57"/>
        <v>0</v>
      </c>
      <c r="D946" s="5">
        <f>IF(ExtraPayment=0, 0, IF(AND($B946&lt;&gt;0,ExtraPayment&lt;=$B946),-ExtraPayment,-($F946)-$B946))</f>
        <v>0</v>
      </c>
      <c r="E946" s="5">
        <f>IF($B946 &lt;= 0, 0, -ROUND($B946 * (InterestRate / PaymentsPerYear), 2))</f>
        <v>0</v>
      </c>
      <c r="F946" s="5">
        <f>ROUND(IFERROR(IF(OR($B946 &lt;=0, $B946 = ExtraPayment),0,
MAX(-$B946, -(-PMT(InterestRate/PaymentsPerYear,LoanTerm*PaymentsPerYear,LoanAmount) + $E946))), 0), 2)</f>
        <v>0</v>
      </c>
      <c r="G946" s="5">
        <f t="shared" si="58"/>
        <v>0</v>
      </c>
      <c r="H946" s="5">
        <f t="shared" si="59"/>
        <v>0</v>
      </c>
    </row>
    <row r="947" spans="1:8" x14ac:dyDescent="0.2">
      <c r="A947" s="2">
        <v>946</v>
      </c>
      <c r="B947" s="5">
        <f t="shared" si="56"/>
        <v>0</v>
      </c>
      <c r="C947" s="5">
        <f t="shared" si="57"/>
        <v>0</v>
      </c>
      <c r="D947" s="5">
        <f>IF(ExtraPayment=0, 0, IF(AND($B947&lt;&gt;0,ExtraPayment&lt;=$B947),-ExtraPayment,-($F947)-$B947))</f>
        <v>0</v>
      </c>
      <c r="E947" s="5">
        <f>IF($B947 &lt;= 0, 0, -ROUND($B947 * (InterestRate / PaymentsPerYear), 2))</f>
        <v>0</v>
      </c>
      <c r="F947" s="5">
        <f>ROUND(IFERROR(IF(OR($B947 &lt;=0, $B947 = ExtraPayment),0,
MAX(-$B947, -(-PMT(InterestRate/PaymentsPerYear,LoanTerm*PaymentsPerYear,LoanAmount) + $E947))), 0), 2)</f>
        <v>0</v>
      </c>
      <c r="G947" s="5">
        <f t="shared" si="58"/>
        <v>0</v>
      </c>
      <c r="H947" s="5">
        <f t="shared" si="59"/>
        <v>0</v>
      </c>
    </row>
    <row r="948" spans="1:8" x14ac:dyDescent="0.2">
      <c r="A948" s="2">
        <v>947</v>
      </c>
      <c r="B948" s="5">
        <f t="shared" si="56"/>
        <v>0</v>
      </c>
      <c r="C948" s="5">
        <f t="shared" si="57"/>
        <v>0</v>
      </c>
      <c r="D948" s="5">
        <f>IF(ExtraPayment=0, 0, IF(AND($B948&lt;&gt;0,ExtraPayment&lt;=$B948),-ExtraPayment,-($F948)-$B948))</f>
        <v>0</v>
      </c>
      <c r="E948" s="5">
        <f>IF($B948 &lt;= 0, 0, -ROUND($B948 * (InterestRate / PaymentsPerYear), 2))</f>
        <v>0</v>
      </c>
      <c r="F948" s="5">
        <f>ROUND(IFERROR(IF(OR($B948 &lt;=0, $B948 = ExtraPayment),0,
MAX(-$B948, -(-PMT(InterestRate/PaymentsPerYear,LoanTerm*PaymentsPerYear,LoanAmount) + $E948))), 0), 2)</f>
        <v>0</v>
      </c>
      <c r="G948" s="5">
        <f t="shared" si="58"/>
        <v>0</v>
      </c>
      <c r="H948" s="5">
        <f t="shared" si="59"/>
        <v>0</v>
      </c>
    </row>
    <row r="949" spans="1:8" x14ac:dyDescent="0.2">
      <c r="A949" s="2">
        <v>948</v>
      </c>
      <c r="B949" s="5">
        <f t="shared" si="56"/>
        <v>0</v>
      </c>
      <c r="C949" s="5">
        <f t="shared" si="57"/>
        <v>0</v>
      </c>
      <c r="D949" s="5">
        <f>IF(ExtraPayment=0, 0, IF(AND($B949&lt;&gt;0,ExtraPayment&lt;=$B949),-ExtraPayment,-($F949)-$B949))</f>
        <v>0</v>
      </c>
      <c r="E949" s="5">
        <f>IF($B949 &lt;= 0, 0, -ROUND($B949 * (InterestRate / PaymentsPerYear), 2))</f>
        <v>0</v>
      </c>
      <c r="F949" s="5">
        <f>ROUND(IFERROR(IF(OR($B949 &lt;=0, $B949 = ExtraPayment),0,
MAX(-$B949, -(-PMT(InterestRate/PaymentsPerYear,LoanTerm*PaymentsPerYear,LoanAmount) + $E949))), 0), 2)</f>
        <v>0</v>
      </c>
      <c r="G949" s="5">
        <f t="shared" si="58"/>
        <v>0</v>
      </c>
      <c r="H949" s="5">
        <f t="shared" si="59"/>
        <v>0</v>
      </c>
    </row>
    <row r="950" spans="1:8" x14ac:dyDescent="0.2">
      <c r="A950" s="2">
        <v>949</v>
      </c>
      <c r="B950" s="5">
        <f t="shared" si="56"/>
        <v>0</v>
      </c>
      <c r="C950" s="5">
        <f t="shared" si="57"/>
        <v>0</v>
      </c>
      <c r="D950" s="5">
        <f>IF(ExtraPayment=0, 0, IF(AND($B950&lt;&gt;0,ExtraPayment&lt;=$B950),-ExtraPayment,-($F950)-$B950))</f>
        <v>0</v>
      </c>
      <c r="E950" s="5">
        <f>IF($B950 &lt;= 0, 0, -ROUND($B950 * (InterestRate / PaymentsPerYear), 2))</f>
        <v>0</v>
      </c>
      <c r="F950" s="5">
        <f>ROUND(IFERROR(IF(OR($B950 &lt;=0, $B950 = ExtraPayment),0,
MAX(-$B950, -(-PMT(InterestRate/PaymentsPerYear,LoanTerm*PaymentsPerYear,LoanAmount) + $E950))), 0), 2)</f>
        <v>0</v>
      </c>
      <c r="G950" s="5">
        <f t="shared" si="58"/>
        <v>0</v>
      </c>
      <c r="H950" s="5">
        <f t="shared" si="59"/>
        <v>0</v>
      </c>
    </row>
    <row r="951" spans="1:8" x14ac:dyDescent="0.2">
      <c r="A951" s="2">
        <v>950</v>
      </c>
      <c r="B951" s="5">
        <f t="shared" si="56"/>
        <v>0</v>
      </c>
      <c r="C951" s="5">
        <f t="shared" si="57"/>
        <v>0</v>
      </c>
      <c r="D951" s="5">
        <f>IF(ExtraPayment=0, 0, IF(AND($B951&lt;&gt;0,ExtraPayment&lt;=$B951),-ExtraPayment,-($F951)-$B951))</f>
        <v>0</v>
      </c>
      <c r="E951" s="5">
        <f>IF($B951 &lt;= 0, 0, -ROUND($B951 * (InterestRate / PaymentsPerYear), 2))</f>
        <v>0</v>
      </c>
      <c r="F951" s="5">
        <f>ROUND(IFERROR(IF(OR($B951 &lt;=0, $B951 = ExtraPayment),0,
MAX(-$B951, -(-PMT(InterestRate/PaymentsPerYear,LoanTerm*PaymentsPerYear,LoanAmount) + $E951))), 0), 2)</f>
        <v>0</v>
      </c>
      <c r="G951" s="5">
        <f t="shared" si="58"/>
        <v>0</v>
      </c>
      <c r="H951" s="5">
        <f t="shared" si="59"/>
        <v>0</v>
      </c>
    </row>
    <row r="952" spans="1:8" x14ac:dyDescent="0.2">
      <c r="A952" s="2">
        <v>951</v>
      </c>
      <c r="B952" s="5">
        <f t="shared" si="56"/>
        <v>0</v>
      </c>
      <c r="C952" s="5">
        <f t="shared" si="57"/>
        <v>0</v>
      </c>
      <c r="D952" s="5">
        <f>IF(ExtraPayment=0, 0, IF(AND($B952&lt;&gt;0,ExtraPayment&lt;=$B952),-ExtraPayment,-($F952)-$B952))</f>
        <v>0</v>
      </c>
      <c r="E952" s="5">
        <f>IF($B952 &lt;= 0, 0, -ROUND($B952 * (InterestRate / PaymentsPerYear), 2))</f>
        <v>0</v>
      </c>
      <c r="F952" s="5">
        <f>ROUND(IFERROR(IF(OR($B952 &lt;=0, $B952 = ExtraPayment),0,
MAX(-$B952, -(-PMT(InterestRate/PaymentsPerYear,LoanTerm*PaymentsPerYear,LoanAmount) + $E952))), 0), 2)</f>
        <v>0</v>
      </c>
      <c r="G952" s="5">
        <f t="shared" si="58"/>
        <v>0</v>
      </c>
      <c r="H952" s="5">
        <f t="shared" si="59"/>
        <v>0</v>
      </c>
    </row>
    <row r="953" spans="1:8" x14ac:dyDescent="0.2">
      <c r="A953" s="2">
        <v>952</v>
      </c>
      <c r="B953" s="5">
        <f t="shared" si="56"/>
        <v>0</v>
      </c>
      <c r="C953" s="5">
        <f t="shared" si="57"/>
        <v>0</v>
      </c>
      <c r="D953" s="5">
        <f>IF(ExtraPayment=0, 0, IF(AND($B953&lt;&gt;0,ExtraPayment&lt;=$B953),-ExtraPayment,-($F953)-$B953))</f>
        <v>0</v>
      </c>
      <c r="E953" s="5">
        <f>IF($B953 &lt;= 0, 0, -ROUND($B953 * (InterestRate / PaymentsPerYear), 2))</f>
        <v>0</v>
      </c>
      <c r="F953" s="5">
        <f>ROUND(IFERROR(IF(OR($B953 &lt;=0, $B953 = ExtraPayment),0,
MAX(-$B953, -(-PMT(InterestRate/PaymentsPerYear,LoanTerm*PaymentsPerYear,LoanAmount) + $E953))), 0), 2)</f>
        <v>0</v>
      </c>
      <c r="G953" s="5">
        <f t="shared" si="58"/>
        <v>0</v>
      </c>
      <c r="H953" s="5">
        <f t="shared" si="59"/>
        <v>0</v>
      </c>
    </row>
    <row r="954" spans="1:8" x14ac:dyDescent="0.2">
      <c r="A954" s="2">
        <v>953</v>
      </c>
      <c r="B954" s="5">
        <f t="shared" si="56"/>
        <v>0</v>
      </c>
      <c r="C954" s="5">
        <f t="shared" si="57"/>
        <v>0</v>
      </c>
      <c r="D954" s="5">
        <f>IF(ExtraPayment=0, 0, IF(AND($B954&lt;&gt;0,ExtraPayment&lt;=$B954),-ExtraPayment,-($F954)-$B954))</f>
        <v>0</v>
      </c>
      <c r="E954" s="5">
        <f>IF($B954 &lt;= 0, 0, -ROUND($B954 * (InterestRate / PaymentsPerYear), 2))</f>
        <v>0</v>
      </c>
      <c r="F954" s="5">
        <f>ROUND(IFERROR(IF(OR($B954 &lt;=0, $B954 = ExtraPayment),0,
MAX(-$B954, -(-PMT(InterestRate/PaymentsPerYear,LoanTerm*PaymentsPerYear,LoanAmount) + $E954))), 0), 2)</f>
        <v>0</v>
      </c>
      <c r="G954" s="5">
        <f t="shared" si="58"/>
        <v>0</v>
      </c>
      <c r="H954" s="5">
        <f t="shared" si="59"/>
        <v>0</v>
      </c>
    </row>
    <row r="955" spans="1:8" x14ac:dyDescent="0.2">
      <c r="A955" s="2">
        <v>954</v>
      </c>
      <c r="B955" s="5">
        <f t="shared" si="56"/>
        <v>0</v>
      </c>
      <c r="C955" s="5">
        <f t="shared" si="57"/>
        <v>0</v>
      </c>
      <c r="D955" s="5">
        <f>IF(ExtraPayment=0, 0, IF(AND($B955&lt;&gt;0,ExtraPayment&lt;=$B955),-ExtraPayment,-($F955)-$B955))</f>
        <v>0</v>
      </c>
      <c r="E955" s="5">
        <f>IF($B955 &lt;= 0, 0, -ROUND($B955 * (InterestRate / PaymentsPerYear), 2))</f>
        <v>0</v>
      </c>
      <c r="F955" s="5">
        <f>ROUND(IFERROR(IF(OR($B955 &lt;=0, $B955 = ExtraPayment),0,
MAX(-$B955, -(-PMT(InterestRate/PaymentsPerYear,LoanTerm*PaymentsPerYear,LoanAmount) + $E955))), 0), 2)</f>
        <v>0</v>
      </c>
      <c r="G955" s="5">
        <f t="shared" si="58"/>
        <v>0</v>
      </c>
      <c r="H955" s="5">
        <f t="shared" si="59"/>
        <v>0</v>
      </c>
    </row>
    <row r="956" spans="1:8" x14ac:dyDescent="0.2">
      <c r="A956" s="2">
        <v>955</v>
      </c>
      <c r="B956" s="5">
        <f t="shared" si="56"/>
        <v>0</v>
      </c>
      <c r="C956" s="5">
        <f t="shared" si="57"/>
        <v>0</v>
      </c>
      <c r="D956" s="5">
        <f>IF(ExtraPayment=0, 0, IF(AND($B956&lt;&gt;0,ExtraPayment&lt;=$B956),-ExtraPayment,-($F956)-$B956))</f>
        <v>0</v>
      </c>
      <c r="E956" s="5">
        <f>IF($B956 &lt;= 0, 0, -ROUND($B956 * (InterestRate / PaymentsPerYear), 2))</f>
        <v>0</v>
      </c>
      <c r="F956" s="5">
        <f>ROUND(IFERROR(IF(OR($B956 &lt;=0, $B956 = ExtraPayment),0,
MAX(-$B956, -(-PMT(InterestRate/PaymentsPerYear,LoanTerm*PaymentsPerYear,LoanAmount) + $E956))), 0), 2)</f>
        <v>0</v>
      </c>
      <c r="G956" s="5">
        <f t="shared" si="58"/>
        <v>0</v>
      </c>
      <c r="H956" s="5">
        <f t="shared" si="59"/>
        <v>0</v>
      </c>
    </row>
    <row r="957" spans="1:8" x14ac:dyDescent="0.2">
      <c r="A957" s="2">
        <v>956</v>
      </c>
      <c r="B957" s="5">
        <f t="shared" si="56"/>
        <v>0</v>
      </c>
      <c r="C957" s="5">
        <f t="shared" si="57"/>
        <v>0</v>
      </c>
      <c r="D957" s="5">
        <f>IF(ExtraPayment=0, 0, IF(AND($B957&lt;&gt;0,ExtraPayment&lt;=$B957),-ExtraPayment,-($F957)-$B957))</f>
        <v>0</v>
      </c>
      <c r="E957" s="5">
        <f>IF($B957 &lt;= 0, 0, -ROUND($B957 * (InterestRate / PaymentsPerYear), 2))</f>
        <v>0</v>
      </c>
      <c r="F957" s="5">
        <f>ROUND(IFERROR(IF(OR($B957 &lt;=0, $B957 = ExtraPayment),0,
MAX(-$B957, -(-PMT(InterestRate/PaymentsPerYear,LoanTerm*PaymentsPerYear,LoanAmount) + $E957))), 0), 2)</f>
        <v>0</v>
      </c>
      <c r="G957" s="5">
        <f t="shared" si="58"/>
        <v>0</v>
      </c>
      <c r="H957" s="5">
        <f t="shared" si="59"/>
        <v>0</v>
      </c>
    </row>
    <row r="958" spans="1:8" x14ac:dyDescent="0.2">
      <c r="A958" s="2">
        <v>957</v>
      </c>
      <c r="B958" s="5">
        <f t="shared" si="56"/>
        <v>0</v>
      </c>
      <c r="C958" s="5">
        <f t="shared" si="57"/>
        <v>0</v>
      </c>
      <c r="D958" s="5">
        <f>IF(ExtraPayment=0, 0, IF(AND($B958&lt;&gt;0,ExtraPayment&lt;=$B958),-ExtraPayment,-($F958)-$B958))</f>
        <v>0</v>
      </c>
      <c r="E958" s="5">
        <f>IF($B958 &lt;= 0, 0, -ROUND($B958 * (InterestRate / PaymentsPerYear), 2))</f>
        <v>0</v>
      </c>
      <c r="F958" s="5">
        <f>ROUND(IFERROR(IF(OR($B958 &lt;=0, $B958 = ExtraPayment),0,
MAX(-$B958, -(-PMT(InterestRate/PaymentsPerYear,LoanTerm*PaymentsPerYear,LoanAmount) + $E958))), 0), 2)</f>
        <v>0</v>
      </c>
      <c r="G958" s="5">
        <f t="shared" si="58"/>
        <v>0</v>
      </c>
      <c r="H958" s="5">
        <f t="shared" si="59"/>
        <v>0</v>
      </c>
    </row>
    <row r="959" spans="1:8" x14ac:dyDescent="0.2">
      <c r="A959" s="2">
        <v>958</v>
      </c>
      <c r="B959" s="5">
        <f t="shared" si="56"/>
        <v>0</v>
      </c>
      <c r="C959" s="5">
        <f t="shared" si="57"/>
        <v>0</v>
      </c>
      <c r="D959" s="5">
        <f>IF(ExtraPayment=0, 0, IF(AND($B959&lt;&gt;0,ExtraPayment&lt;=$B959),-ExtraPayment,-($F959)-$B959))</f>
        <v>0</v>
      </c>
      <c r="E959" s="5">
        <f>IF($B959 &lt;= 0, 0, -ROUND($B959 * (InterestRate / PaymentsPerYear), 2))</f>
        <v>0</v>
      </c>
      <c r="F959" s="5">
        <f>ROUND(IFERROR(IF(OR($B959 &lt;=0, $B959 = ExtraPayment),0,
MAX(-$B959, -(-PMT(InterestRate/PaymentsPerYear,LoanTerm*PaymentsPerYear,LoanAmount) + $E959))), 0), 2)</f>
        <v>0</v>
      </c>
      <c r="G959" s="5">
        <f t="shared" si="58"/>
        <v>0</v>
      </c>
      <c r="H959" s="5">
        <f t="shared" si="59"/>
        <v>0</v>
      </c>
    </row>
    <row r="960" spans="1:8" x14ac:dyDescent="0.2">
      <c r="A960" s="2">
        <v>959</v>
      </c>
      <c r="B960" s="5">
        <f t="shared" si="56"/>
        <v>0</v>
      </c>
      <c r="C960" s="5">
        <f t="shared" si="57"/>
        <v>0</v>
      </c>
      <c r="D960" s="5">
        <f>IF(ExtraPayment=0, 0, IF(AND($B960&lt;&gt;0,ExtraPayment&lt;=$B960),-ExtraPayment,-($F960)-$B960))</f>
        <v>0</v>
      </c>
      <c r="E960" s="5">
        <f>IF($B960 &lt;= 0, 0, -ROUND($B960 * (InterestRate / PaymentsPerYear), 2))</f>
        <v>0</v>
      </c>
      <c r="F960" s="5">
        <f>ROUND(IFERROR(IF(OR($B960 &lt;=0, $B960 = ExtraPayment),0,
MAX(-$B960, -(-PMT(InterestRate/PaymentsPerYear,LoanTerm*PaymentsPerYear,LoanAmount) + $E960))), 0), 2)</f>
        <v>0</v>
      </c>
      <c r="G960" s="5">
        <f t="shared" si="58"/>
        <v>0</v>
      </c>
      <c r="H960" s="5">
        <f t="shared" si="59"/>
        <v>0</v>
      </c>
    </row>
    <row r="961" spans="1:8" x14ac:dyDescent="0.2">
      <c r="A961" s="2">
        <v>960</v>
      </c>
      <c r="B961" s="5">
        <f t="shared" si="56"/>
        <v>0</v>
      </c>
      <c r="C961" s="5">
        <f t="shared" si="57"/>
        <v>0</v>
      </c>
      <c r="D961" s="5">
        <f>IF(ExtraPayment=0, 0, IF(AND($B961&lt;&gt;0,ExtraPayment&lt;=$B961),-ExtraPayment,-($F961)-$B961))</f>
        <v>0</v>
      </c>
      <c r="E961" s="5">
        <f>IF($B961 &lt;= 0, 0, -ROUND($B961 * (InterestRate / PaymentsPerYear), 2))</f>
        <v>0</v>
      </c>
      <c r="F961" s="5">
        <f>ROUND(IFERROR(IF(OR($B961 &lt;=0, $B961 = ExtraPayment),0,
MAX(-$B961, -(-PMT(InterestRate/PaymentsPerYear,LoanTerm*PaymentsPerYear,LoanAmount) + $E961))), 0), 2)</f>
        <v>0</v>
      </c>
      <c r="G961" s="5">
        <f t="shared" si="58"/>
        <v>0</v>
      </c>
      <c r="H961" s="5">
        <f t="shared" si="59"/>
        <v>0</v>
      </c>
    </row>
    <row r="962" spans="1:8" x14ac:dyDescent="0.2">
      <c r="A962" s="2">
        <v>961</v>
      </c>
      <c r="B962" s="5">
        <f t="shared" si="56"/>
        <v>0</v>
      </c>
      <c r="C962" s="5">
        <f t="shared" si="57"/>
        <v>0</v>
      </c>
      <c r="D962" s="5">
        <f>IF(ExtraPayment=0, 0, IF(AND($B962&lt;&gt;0,ExtraPayment&lt;=$B962),-ExtraPayment,-($F962)-$B962))</f>
        <v>0</v>
      </c>
      <c r="E962" s="5">
        <f>IF($B962 &lt;= 0, 0, -ROUND($B962 * (InterestRate / PaymentsPerYear), 2))</f>
        <v>0</v>
      </c>
      <c r="F962" s="5">
        <f>ROUND(IFERROR(IF(OR($B962 &lt;=0, $B962 = ExtraPayment),0,
MAX(-$B962, -(-PMT(InterestRate/PaymentsPerYear,LoanTerm*PaymentsPerYear,LoanAmount) + $E962))), 0), 2)</f>
        <v>0</v>
      </c>
      <c r="G962" s="5">
        <f t="shared" si="58"/>
        <v>0</v>
      </c>
      <c r="H962" s="5">
        <f t="shared" si="59"/>
        <v>0</v>
      </c>
    </row>
    <row r="963" spans="1:8" x14ac:dyDescent="0.2">
      <c r="A963" s="2">
        <v>962</v>
      </c>
      <c r="B963" s="5">
        <f t="shared" si="56"/>
        <v>0</v>
      </c>
      <c r="C963" s="5">
        <f t="shared" si="57"/>
        <v>0</v>
      </c>
      <c r="D963" s="5">
        <f>IF(ExtraPayment=0, 0, IF(AND($B963&lt;&gt;0,ExtraPayment&lt;=$B963),-ExtraPayment,-($F963)-$B963))</f>
        <v>0</v>
      </c>
      <c r="E963" s="5">
        <f>IF($B963 &lt;= 0, 0, -ROUND($B963 * (InterestRate / PaymentsPerYear), 2))</f>
        <v>0</v>
      </c>
      <c r="F963" s="5">
        <f>ROUND(IFERROR(IF(OR($B963 &lt;=0, $B963 = ExtraPayment),0,
MAX(-$B963, -(-PMT(InterestRate/PaymentsPerYear,LoanTerm*PaymentsPerYear,LoanAmount) + $E963))), 0), 2)</f>
        <v>0</v>
      </c>
      <c r="G963" s="5">
        <f t="shared" si="58"/>
        <v>0</v>
      </c>
      <c r="H963" s="5">
        <f t="shared" si="59"/>
        <v>0</v>
      </c>
    </row>
    <row r="964" spans="1:8" x14ac:dyDescent="0.2">
      <c r="A964" s="2">
        <v>963</v>
      </c>
      <c r="B964" s="5">
        <f t="shared" ref="B964:B1027" si="60">ROUND(IF($H963 &gt;= 0, MAX($H963, $F963), 0), 2)</f>
        <v>0</v>
      </c>
      <c r="C964" s="5">
        <f t="shared" ref="C964:C1027" si="61">IF($B964 &lt;= 0, 0, $D964+$E964+$F964)</f>
        <v>0</v>
      </c>
      <c r="D964" s="5">
        <f>IF(ExtraPayment=0, 0, IF(AND($B964&lt;&gt;0,ExtraPayment&lt;=$B964),-ExtraPayment,-($F964)-$B964))</f>
        <v>0</v>
      </c>
      <c r="E964" s="5">
        <f>IF($B964 &lt;= 0, 0, -ROUND($B964 * (InterestRate / PaymentsPerYear), 2))</f>
        <v>0</v>
      </c>
      <c r="F964" s="5">
        <f>ROUND(IFERROR(IF(OR($B964 &lt;=0, $B964 = ExtraPayment),0,
MAX(-$B964, -(-PMT(InterestRate/PaymentsPerYear,LoanTerm*PaymentsPerYear,LoanAmount) + $E964))), 0), 2)</f>
        <v>0</v>
      </c>
      <c r="G964" s="5">
        <f t="shared" ref="G964:G1027" si="62">$D964+$F964</f>
        <v>0</v>
      </c>
      <c r="H964" s="5">
        <f t="shared" ref="H964:H1027" si="63">ROUND(IF($B964 &lt;= 0, 0,MAX(0, $B964 + $G964)), 2)</f>
        <v>0</v>
      </c>
    </row>
    <row r="965" spans="1:8" x14ac:dyDescent="0.2">
      <c r="A965" s="2">
        <v>964</v>
      </c>
      <c r="B965" s="5">
        <f t="shared" si="60"/>
        <v>0</v>
      </c>
      <c r="C965" s="5">
        <f t="shared" si="61"/>
        <v>0</v>
      </c>
      <c r="D965" s="5">
        <f>IF(ExtraPayment=0, 0, IF(AND($B965&lt;&gt;0,ExtraPayment&lt;=$B965),-ExtraPayment,-($F965)-$B965))</f>
        <v>0</v>
      </c>
      <c r="E965" s="5">
        <f>IF($B965 &lt;= 0, 0, -ROUND($B965 * (InterestRate / PaymentsPerYear), 2))</f>
        <v>0</v>
      </c>
      <c r="F965" s="5">
        <f>ROUND(IFERROR(IF(OR($B965 &lt;=0, $B965 = ExtraPayment),0,
MAX(-$B965, -(-PMT(InterestRate/PaymentsPerYear,LoanTerm*PaymentsPerYear,LoanAmount) + $E965))), 0), 2)</f>
        <v>0</v>
      </c>
      <c r="G965" s="5">
        <f t="shared" si="62"/>
        <v>0</v>
      </c>
      <c r="H965" s="5">
        <f t="shared" si="63"/>
        <v>0</v>
      </c>
    </row>
    <row r="966" spans="1:8" x14ac:dyDescent="0.2">
      <c r="A966" s="2">
        <v>965</v>
      </c>
      <c r="B966" s="5">
        <f t="shared" si="60"/>
        <v>0</v>
      </c>
      <c r="C966" s="5">
        <f t="shared" si="61"/>
        <v>0</v>
      </c>
      <c r="D966" s="5">
        <f>IF(ExtraPayment=0, 0, IF(AND($B966&lt;&gt;0,ExtraPayment&lt;=$B966),-ExtraPayment,-($F966)-$B966))</f>
        <v>0</v>
      </c>
      <c r="E966" s="5">
        <f>IF($B966 &lt;= 0, 0, -ROUND($B966 * (InterestRate / PaymentsPerYear), 2))</f>
        <v>0</v>
      </c>
      <c r="F966" s="5">
        <f>ROUND(IFERROR(IF(OR($B966 &lt;=0, $B966 = ExtraPayment),0,
MAX(-$B966, -(-PMT(InterestRate/PaymentsPerYear,LoanTerm*PaymentsPerYear,LoanAmount) + $E966))), 0), 2)</f>
        <v>0</v>
      </c>
      <c r="G966" s="5">
        <f t="shared" si="62"/>
        <v>0</v>
      </c>
      <c r="H966" s="5">
        <f t="shared" si="63"/>
        <v>0</v>
      </c>
    </row>
    <row r="967" spans="1:8" x14ac:dyDescent="0.2">
      <c r="A967" s="2">
        <v>966</v>
      </c>
      <c r="B967" s="5">
        <f t="shared" si="60"/>
        <v>0</v>
      </c>
      <c r="C967" s="5">
        <f t="shared" si="61"/>
        <v>0</v>
      </c>
      <c r="D967" s="5">
        <f>IF(ExtraPayment=0, 0, IF(AND($B967&lt;&gt;0,ExtraPayment&lt;=$B967),-ExtraPayment,-($F967)-$B967))</f>
        <v>0</v>
      </c>
      <c r="E967" s="5">
        <f>IF($B967 &lt;= 0, 0, -ROUND($B967 * (InterestRate / PaymentsPerYear), 2))</f>
        <v>0</v>
      </c>
      <c r="F967" s="5">
        <f>ROUND(IFERROR(IF(OR($B967 &lt;=0, $B967 = ExtraPayment),0,
MAX(-$B967, -(-PMT(InterestRate/PaymentsPerYear,LoanTerm*PaymentsPerYear,LoanAmount) + $E967))), 0), 2)</f>
        <v>0</v>
      </c>
      <c r="G967" s="5">
        <f t="shared" si="62"/>
        <v>0</v>
      </c>
      <c r="H967" s="5">
        <f t="shared" si="63"/>
        <v>0</v>
      </c>
    </row>
    <row r="968" spans="1:8" x14ac:dyDescent="0.2">
      <c r="A968" s="2">
        <v>967</v>
      </c>
      <c r="B968" s="5">
        <f t="shared" si="60"/>
        <v>0</v>
      </c>
      <c r="C968" s="5">
        <f t="shared" si="61"/>
        <v>0</v>
      </c>
      <c r="D968" s="5">
        <f>IF(ExtraPayment=0, 0, IF(AND($B968&lt;&gt;0,ExtraPayment&lt;=$B968),-ExtraPayment,-($F968)-$B968))</f>
        <v>0</v>
      </c>
      <c r="E968" s="5">
        <f>IF($B968 &lt;= 0, 0, -ROUND($B968 * (InterestRate / PaymentsPerYear), 2))</f>
        <v>0</v>
      </c>
      <c r="F968" s="5">
        <f>ROUND(IFERROR(IF(OR($B968 &lt;=0, $B968 = ExtraPayment),0,
MAX(-$B968, -(-PMT(InterestRate/PaymentsPerYear,LoanTerm*PaymentsPerYear,LoanAmount) + $E968))), 0), 2)</f>
        <v>0</v>
      </c>
      <c r="G968" s="5">
        <f t="shared" si="62"/>
        <v>0</v>
      </c>
      <c r="H968" s="5">
        <f t="shared" si="63"/>
        <v>0</v>
      </c>
    </row>
    <row r="969" spans="1:8" x14ac:dyDescent="0.2">
      <c r="A969" s="2">
        <v>968</v>
      </c>
      <c r="B969" s="5">
        <f t="shared" si="60"/>
        <v>0</v>
      </c>
      <c r="C969" s="5">
        <f t="shared" si="61"/>
        <v>0</v>
      </c>
      <c r="D969" s="5">
        <f>IF(ExtraPayment=0, 0, IF(AND($B969&lt;&gt;0,ExtraPayment&lt;=$B969),-ExtraPayment,-($F969)-$B969))</f>
        <v>0</v>
      </c>
      <c r="E969" s="5">
        <f>IF($B969 &lt;= 0, 0, -ROUND($B969 * (InterestRate / PaymentsPerYear), 2))</f>
        <v>0</v>
      </c>
      <c r="F969" s="5">
        <f>ROUND(IFERROR(IF(OR($B969 &lt;=0, $B969 = ExtraPayment),0,
MAX(-$B969, -(-PMT(InterestRate/PaymentsPerYear,LoanTerm*PaymentsPerYear,LoanAmount) + $E969))), 0), 2)</f>
        <v>0</v>
      </c>
      <c r="G969" s="5">
        <f t="shared" si="62"/>
        <v>0</v>
      </c>
      <c r="H969" s="5">
        <f t="shared" si="63"/>
        <v>0</v>
      </c>
    </row>
    <row r="970" spans="1:8" x14ac:dyDescent="0.2">
      <c r="A970" s="2">
        <v>969</v>
      </c>
      <c r="B970" s="5">
        <f t="shared" si="60"/>
        <v>0</v>
      </c>
      <c r="C970" s="5">
        <f t="shared" si="61"/>
        <v>0</v>
      </c>
      <c r="D970" s="5">
        <f>IF(ExtraPayment=0, 0, IF(AND($B970&lt;&gt;0,ExtraPayment&lt;=$B970),-ExtraPayment,-($F970)-$B970))</f>
        <v>0</v>
      </c>
      <c r="E970" s="5">
        <f>IF($B970 &lt;= 0, 0, -ROUND($B970 * (InterestRate / PaymentsPerYear), 2))</f>
        <v>0</v>
      </c>
      <c r="F970" s="5">
        <f>ROUND(IFERROR(IF(OR($B970 &lt;=0, $B970 = ExtraPayment),0,
MAX(-$B970, -(-PMT(InterestRate/PaymentsPerYear,LoanTerm*PaymentsPerYear,LoanAmount) + $E970))), 0), 2)</f>
        <v>0</v>
      </c>
      <c r="G970" s="5">
        <f t="shared" si="62"/>
        <v>0</v>
      </c>
      <c r="H970" s="5">
        <f t="shared" si="63"/>
        <v>0</v>
      </c>
    </row>
    <row r="971" spans="1:8" x14ac:dyDescent="0.2">
      <c r="A971" s="2">
        <v>970</v>
      </c>
      <c r="B971" s="5">
        <f t="shared" si="60"/>
        <v>0</v>
      </c>
      <c r="C971" s="5">
        <f t="shared" si="61"/>
        <v>0</v>
      </c>
      <c r="D971" s="5">
        <f>IF(ExtraPayment=0, 0, IF(AND($B971&lt;&gt;0,ExtraPayment&lt;=$B971),-ExtraPayment,-($F971)-$B971))</f>
        <v>0</v>
      </c>
      <c r="E971" s="5">
        <f>IF($B971 &lt;= 0, 0, -ROUND($B971 * (InterestRate / PaymentsPerYear), 2))</f>
        <v>0</v>
      </c>
      <c r="F971" s="5">
        <f>ROUND(IFERROR(IF(OR($B971 &lt;=0, $B971 = ExtraPayment),0,
MAX(-$B971, -(-PMT(InterestRate/PaymentsPerYear,LoanTerm*PaymentsPerYear,LoanAmount) + $E971))), 0), 2)</f>
        <v>0</v>
      </c>
      <c r="G971" s="5">
        <f t="shared" si="62"/>
        <v>0</v>
      </c>
      <c r="H971" s="5">
        <f t="shared" si="63"/>
        <v>0</v>
      </c>
    </row>
    <row r="972" spans="1:8" x14ac:dyDescent="0.2">
      <c r="A972" s="2">
        <v>971</v>
      </c>
      <c r="B972" s="5">
        <f t="shared" si="60"/>
        <v>0</v>
      </c>
      <c r="C972" s="5">
        <f t="shared" si="61"/>
        <v>0</v>
      </c>
      <c r="D972" s="5">
        <f>IF(ExtraPayment=0, 0, IF(AND($B972&lt;&gt;0,ExtraPayment&lt;=$B972),-ExtraPayment,-($F972)-$B972))</f>
        <v>0</v>
      </c>
      <c r="E972" s="5">
        <f>IF($B972 &lt;= 0, 0, -ROUND($B972 * (InterestRate / PaymentsPerYear), 2))</f>
        <v>0</v>
      </c>
      <c r="F972" s="5">
        <f>ROUND(IFERROR(IF(OR($B972 &lt;=0, $B972 = ExtraPayment),0,
MAX(-$B972, -(-PMT(InterestRate/PaymentsPerYear,LoanTerm*PaymentsPerYear,LoanAmount) + $E972))), 0), 2)</f>
        <v>0</v>
      </c>
      <c r="G972" s="5">
        <f t="shared" si="62"/>
        <v>0</v>
      </c>
      <c r="H972" s="5">
        <f t="shared" si="63"/>
        <v>0</v>
      </c>
    </row>
    <row r="973" spans="1:8" x14ac:dyDescent="0.2">
      <c r="A973" s="2">
        <v>972</v>
      </c>
      <c r="B973" s="5">
        <f t="shared" si="60"/>
        <v>0</v>
      </c>
      <c r="C973" s="5">
        <f t="shared" si="61"/>
        <v>0</v>
      </c>
      <c r="D973" s="5">
        <f>IF(ExtraPayment=0, 0, IF(AND($B973&lt;&gt;0,ExtraPayment&lt;=$B973),-ExtraPayment,-($F973)-$B973))</f>
        <v>0</v>
      </c>
      <c r="E973" s="5">
        <f>IF($B973 &lt;= 0, 0, -ROUND($B973 * (InterestRate / PaymentsPerYear), 2))</f>
        <v>0</v>
      </c>
      <c r="F973" s="5">
        <f>ROUND(IFERROR(IF(OR($B973 &lt;=0, $B973 = ExtraPayment),0,
MAX(-$B973, -(-PMT(InterestRate/PaymentsPerYear,LoanTerm*PaymentsPerYear,LoanAmount) + $E973))), 0), 2)</f>
        <v>0</v>
      </c>
      <c r="G973" s="5">
        <f t="shared" si="62"/>
        <v>0</v>
      </c>
      <c r="H973" s="5">
        <f t="shared" si="63"/>
        <v>0</v>
      </c>
    </row>
    <row r="974" spans="1:8" x14ac:dyDescent="0.2">
      <c r="A974" s="2">
        <v>973</v>
      </c>
      <c r="B974" s="5">
        <f t="shared" si="60"/>
        <v>0</v>
      </c>
      <c r="C974" s="5">
        <f t="shared" si="61"/>
        <v>0</v>
      </c>
      <c r="D974" s="5">
        <f>IF(ExtraPayment=0, 0, IF(AND($B974&lt;&gt;0,ExtraPayment&lt;=$B974),-ExtraPayment,-($F974)-$B974))</f>
        <v>0</v>
      </c>
      <c r="E974" s="5">
        <f>IF($B974 &lt;= 0, 0, -ROUND($B974 * (InterestRate / PaymentsPerYear), 2))</f>
        <v>0</v>
      </c>
      <c r="F974" s="5">
        <f>ROUND(IFERROR(IF(OR($B974 &lt;=0, $B974 = ExtraPayment),0,
MAX(-$B974, -(-PMT(InterestRate/PaymentsPerYear,LoanTerm*PaymentsPerYear,LoanAmount) + $E974))), 0), 2)</f>
        <v>0</v>
      </c>
      <c r="G974" s="5">
        <f t="shared" si="62"/>
        <v>0</v>
      </c>
      <c r="H974" s="5">
        <f t="shared" si="63"/>
        <v>0</v>
      </c>
    </row>
    <row r="975" spans="1:8" x14ac:dyDescent="0.2">
      <c r="A975" s="2">
        <v>974</v>
      </c>
      <c r="B975" s="5">
        <f t="shared" si="60"/>
        <v>0</v>
      </c>
      <c r="C975" s="5">
        <f t="shared" si="61"/>
        <v>0</v>
      </c>
      <c r="D975" s="5">
        <f>IF(ExtraPayment=0, 0, IF(AND($B975&lt;&gt;0,ExtraPayment&lt;=$B975),-ExtraPayment,-($F975)-$B975))</f>
        <v>0</v>
      </c>
      <c r="E975" s="5">
        <f>IF($B975 &lt;= 0, 0, -ROUND($B975 * (InterestRate / PaymentsPerYear), 2))</f>
        <v>0</v>
      </c>
      <c r="F975" s="5">
        <f>ROUND(IFERROR(IF(OR($B975 &lt;=0, $B975 = ExtraPayment),0,
MAX(-$B975, -(-PMT(InterestRate/PaymentsPerYear,LoanTerm*PaymentsPerYear,LoanAmount) + $E975))), 0), 2)</f>
        <v>0</v>
      </c>
      <c r="G975" s="5">
        <f t="shared" si="62"/>
        <v>0</v>
      </c>
      <c r="H975" s="5">
        <f t="shared" si="63"/>
        <v>0</v>
      </c>
    </row>
    <row r="976" spans="1:8" x14ac:dyDescent="0.2">
      <c r="A976" s="2">
        <v>975</v>
      </c>
      <c r="B976" s="5">
        <f t="shared" si="60"/>
        <v>0</v>
      </c>
      <c r="C976" s="5">
        <f t="shared" si="61"/>
        <v>0</v>
      </c>
      <c r="D976" s="5">
        <f>IF(ExtraPayment=0, 0, IF(AND($B976&lt;&gt;0,ExtraPayment&lt;=$B976),-ExtraPayment,-($F976)-$B976))</f>
        <v>0</v>
      </c>
      <c r="E976" s="5">
        <f>IF($B976 &lt;= 0, 0, -ROUND($B976 * (InterestRate / PaymentsPerYear), 2))</f>
        <v>0</v>
      </c>
      <c r="F976" s="5">
        <f>ROUND(IFERROR(IF(OR($B976 &lt;=0, $B976 = ExtraPayment),0,
MAX(-$B976, -(-PMT(InterestRate/PaymentsPerYear,LoanTerm*PaymentsPerYear,LoanAmount) + $E976))), 0), 2)</f>
        <v>0</v>
      </c>
      <c r="G976" s="5">
        <f t="shared" si="62"/>
        <v>0</v>
      </c>
      <c r="H976" s="5">
        <f t="shared" si="63"/>
        <v>0</v>
      </c>
    </row>
    <row r="977" spans="1:8" x14ac:dyDescent="0.2">
      <c r="A977" s="2">
        <v>976</v>
      </c>
      <c r="B977" s="5">
        <f t="shared" si="60"/>
        <v>0</v>
      </c>
      <c r="C977" s="5">
        <f t="shared" si="61"/>
        <v>0</v>
      </c>
      <c r="D977" s="5">
        <f>IF(ExtraPayment=0, 0, IF(AND($B977&lt;&gt;0,ExtraPayment&lt;=$B977),-ExtraPayment,-($F977)-$B977))</f>
        <v>0</v>
      </c>
      <c r="E977" s="5">
        <f>IF($B977 &lt;= 0, 0, -ROUND($B977 * (InterestRate / PaymentsPerYear), 2))</f>
        <v>0</v>
      </c>
      <c r="F977" s="5">
        <f>ROUND(IFERROR(IF(OR($B977 &lt;=0, $B977 = ExtraPayment),0,
MAX(-$B977, -(-PMT(InterestRate/PaymentsPerYear,LoanTerm*PaymentsPerYear,LoanAmount) + $E977))), 0), 2)</f>
        <v>0</v>
      </c>
      <c r="G977" s="5">
        <f t="shared" si="62"/>
        <v>0</v>
      </c>
      <c r="H977" s="5">
        <f t="shared" si="63"/>
        <v>0</v>
      </c>
    </row>
    <row r="978" spans="1:8" x14ac:dyDescent="0.2">
      <c r="A978" s="2">
        <v>977</v>
      </c>
      <c r="B978" s="5">
        <f t="shared" si="60"/>
        <v>0</v>
      </c>
      <c r="C978" s="5">
        <f t="shared" si="61"/>
        <v>0</v>
      </c>
      <c r="D978" s="5">
        <f>IF(ExtraPayment=0, 0, IF(AND($B978&lt;&gt;0,ExtraPayment&lt;=$B978),-ExtraPayment,-($F978)-$B978))</f>
        <v>0</v>
      </c>
      <c r="E978" s="5">
        <f>IF($B978 &lt;= 0, 0, -ROUND($B978 * (InterestRate / PaymentsPerYear), 2))</f>
        <v>0</v>
      </c>
      <c r="F978" s="5">
        <f>ROUND(IFERROR(IF(OR($B978 &lt;=0, $B978 = ExtraPayment),0,
MAX(-$B978, -(-PMT(InterestRate/PaymentsPerYear,LoanTerm*PaymentsPerYear,LoanAmount) + $E978))), 0), 2)</f>
        <v>0</v>
      </c>
      <c r="G978" s="5">
        <f t="shared" si="62"/>
        <v>0</v>
      </c>
      <c r="H978" s="5">
        <f t="shared" si="63"/>
        <v>0</v>
      </c>
    </row>
    <row r="979" spans="1:8" x14ac:dyDescent="0.2">
      <c r="A979" s="2">
        <v>978</v>
      </c>
      <c r="B979" s="5">
        <f t="shared" si="60"/>
        <v>0</v>
      </c>
      <c r="C979" s="5">
        <f t="shared" si="61"/>
        <v>0</v>
      </c>
      <c r="D979" s="5">
        <f>IF(ExtraPayment=0, 0, IF(AND($B979&lt;&gt;0,ExtraPayment&lt;=$B979),-ExtraPayment,-($F979)-$B979))</f>
        <v>0</v>
      </c>
      <c r="E979" s="5">
        <f>IF($B979 &lt;= 0, 0, -ROUND($B979 * (InterestRate / PaymentsPerYear), 2))</f>
        <v>0</v>
      </c>
      <c r="F979" s="5">
        <f>ROUND(IFERROR(IF(OR($B979 &lt;=0, $B979 = ExtraPayment),0,
MAX(-$B979, -(-PMT(InterestRate/PaymentsPerYear,LoanTerm*PaymentsPerYear,LoanAmount) + $E979))), 0), 2)</f>
        <v>0</v>
      </c>
      <c r="G979" s="5">
        <f t="shared" si="62"/>
        <v>0</v>
      </c>
      <c r="H979" s="5">
        <f t="shared" si="63"/>
        <v>0</v>
      </c>
    </row>
    <row r="980" spans="1:8" x14ac:dyDescent="0.2">
      <c r="A980" s="2">
        <v>979</v>
      </c>
      <c r="B980" s="5">
        <f t="shared" si="60"/>
        <v>0</v>
      </c>
      <c r="C980" s="5">
        <f t="shared" si="61"/>
        <v>0</v>
      </c>
      <c r="D980" s="5">
        <f>IF(ExtraPayment=0, 0, IF(AND($B980&lt;&gt;0,ExtraPayment&lt;=$B980),-ExtraPayment,-($F980)-$B980))</f>
        <v>0</v>
      </c>
      <c r="E980" s="5">
        <f>IF($B980 &lt;= 0, 0, -ROUND($B980 * (InterestRate / PaymentsPerYear), 2))</f>
        <v>0</v>
      </c>
      <c r="F980" s="5">
        <f>ROUND(IFERROR(IF(OR($B980 &lt;=0, $B980 = ExtraPayment),0,
MAX(-$B980, -(-PMT(InterestRate/PaymentsPerYear,LoanTerm*PaymentsPerYear,LoanAmount) + $E980))), 0), 2)</f>
        <v>0</v>
      </c>
      <c r="G980" s="5">
        <f t="shared" si="62"/>
        <v>0</v>
      </c>
      <c r="H980" s="5">
        <f t="shared" si="63"/>
        <v>0</v>
      </c>
    </row>
    <row r="981" spans="1:8" x14ac:dyDescent="0.2">
      <c r="A981" s="2">
        <v>980</v>
      </c>
      <c r="B981" s="5">
        <f t="shared" si="60"/>
        <v>0</v>
      </c>
      <c r="C981" s="5">
        <f t="shared" si="61"/>
        <v>0</v>
      </c>
      <c r="D981" s="5">
        <f>IF(ExtraPayment=0, 0, IF(AND($B981&lt;&gt;0,ExtraPayment&lt;=$B981),-ExtraPayment,-($F981)-$B981))</f>
        <v>0</v>
      </c>
      <c r="E981" s="5">
        <f>IF($B981 &lt;= 0, 0, -ROUND($B981 * (InterestRate / PaymentsPerYear), 2))</f>
        <v>0</v>
      </c>
      <c r="F981" s="5">
        <f>ROUND(IFERROR(IF(OR($B981 &lt;=0, $B981 = ExtraPayment),0,
MAX(-$B981, -(-PMT(InterestRate/PaymentsPerYear,LoanTerm*PaymentsPerYear,LoanAmount) + $E981))), 0), 2)</f>
        <v>0</v>
      </c>
      <c r="G981" s="5">
        <f t="shared" si="62"/>
        <v>0</v>
      </c>
      <c r="H981" s="5">
        <f t="shared" si="63"/>
        <v>0</v>
      </c>
    </row>
    <row r="982" spans="1:8" x14ac:dyDescent="0.2">
      <c r="A982" s="2">
        <v>981</v>
      </c>
      <c r="B982" s="5">
        <f t="shared" si="60"/>
        <v>0</v>
      </c>
      <c r="C982" s="5">
        <f t="shared" si="61"/>
        <v>0</v>
      </c>
      <c r="D982" s="5">
        <f>IF(ExtraPayment=0, 0, IF(AND($B982&lt;&gt;0,ExtraPayment&lt;=$B982),-ExtraPayment,-($F982)-$B982))</f>
        <v>0</v>
      </c>
      <c r="E982" s="5">
        <f>IF($B982 &lt;= 0, 0, -ROUND($B982 * (InterestRate / PaymentsPerYear), 2))</f>
        <v>0</v>
      </c>
      <c r="F982" s="5">
        <f>ROUND(IFERROR(IF(OR($B982 &lt;=0, $B982 = ExtraPayment),0,
MAX(-$B982, -(-PMT(InterestRate/PaymentsPerYear,LoanTerm*PaymentsPerYear,LoanAmount) + $E982))), 0), 2)</f>
        <v>0</v>
      </c>
      <c r="G982" s="5">
        <f t="shared" si="62"/>
        <v>0</v>
      </c>
      <c r="H982" s="5">
        <f t="shared" si="63"/>
        <v>0</v>
      </c>
    </row>
    <row r="983" spans="1:8" x14ac:dyDescent="0.2">
      <c r="A983" s="2">
        <v>982</v>
      </c>
      <c r="B983" s="5">
        <f t="shared" si="60"/>
        <v>0</v>
      </c>
      <c r="C983" s="5">
        <f t="shared" si="61"/>
        <v>0</v>
      </c>
      <c r="D983" s="5">
        <f>IF(ExtraPayment=0, 0, IF(AND($B983&lt;&gt;0,ExtraPayment&lt;=$B983),-ExtraPayment,-($F983)-$B983))</f>
        <v>0</v>
      </c>
      <c r="E983" s="5">
        <f>IF($B983 &lt;= 0, 0, -ROUND($B983 * (InterestRate / PaymentsPerYear), 2))</f>
        <v>0</v>
      </c>
      <c r="F983" s="5">
        <f>ROUND(IFERROR(IF(OR($B983 &lt;=0, $B983 = ExtraPayment),0,
MAX(-$B983, -(-PMT(InterestRate/PaymentsPerYear,LoanTerm*PaymentsPerYear,LoanAmount) + $E983))), 0), 2)</f>
        <v>0</v>
      </c>
      <c r="G983" s="5">
        <f t="shared" si="62"/>
        <v>0</v>
      </c>
      <c r="H983" s="5">
        <f t="shared" si="63"/>
        <v>0</v>
      </c>
    </row>
    <row r="984" spans="1:8" x14ac:dyDescent="0.2">
      <c r="A984" s="2">
        <v>983</v>
      </c>
      <c r="B984" s="5">
        <f t="shared" si="60"/>
        <v>0</v>
      </c>
      <c r="C984" s="5">
        <f t="shared" si="61"/>
        <v>0</v>
      </c>
      <c r="D984" s="5">
        <f>IF(ExtraPayment=0, 0, IF(AND($B984&lt;&gt;0,ExtraPayment&lt;=$B984),-ExtraPayment,-($F984)-$B984))</f>
        <v>0</v>
      </c>
      <c r="E984" s="5">
        <f>IF($B984 &lt;= 0, 0, -ROUND($B984 * (InterestRate / PaymentsPerYear), 2))</f>
        <v>0</v>
      </c>
      <c r="F984" s="5">
        <f>ROUND(IFERROR(IF(OR($B984 &lt;=0, $B984 = ExtraPayment),0,
MAX(-$B984, -(-PMT(InterestRate/PaymentsPerYear,LoanTerm*PaymentsPerYear,LoanAmount) + $E984))), 0), 2)</f>
        <v>0</v>
      </c>
      <c r="G984" s="5">
        <f t="shared" si="62"/>
        <v>0</v>
      </c>
      <c r="H984" s="5">
        <f t="shared" si="63"/>
        <v>0</v>
      </c>
    </row>
    <row r="985" spans="1:8" x14ac:dyDescent="0.2">
      <c r="A985" s="2">
        <v>984</v>
      </c>
      <c r="B985" s="5">
        <f t="shared" si="60"/>
        <v>0</v>
      </c>
      <c r="C985" s="5">
        <f t="shared" si="61"/>
        <v>0</v>
      </c>
      <c r="D985" s="5">
        <f>IF(ExtraPayment=0, 0, IF(AND($B985&lt;&gt;0,ExtraPayment&lt;=$B985),-ExtraPayment,-($F985)-$B985))</f>
        <v>0</v>
      </c>
      <c r="E985" s="5">
        <f>IF($B985 &lt;= 0, 0, -ROUND($B985 * (InterestRate / PaymentsPerYear), 2))</f>
        <v>0</v>
      </c>
      <c r="F985" s="5">
        <f>ROUND(IFERROR(IF(OR($B985 &lt;=0, $B985 = ExtraPayment),0,
MAX(-$B985, -(-PMT(InterestRate/PaymentsPerYear,LoanTerm*PaymentsPerYear,LoanAmount) + $E985))), 0), 2)</f>
        <v>0</v>
      </c>
      <c r="G985" s="5">
        <f t="shared" si="62"/>
        <v>0</v>
      </c>
      <c r="H985" s="5">
        <f t="shared" si="63"/>
        <v>0</v>
      </c>
    </row>
    <row r="986" spans="1:8" x14ac:dyDescent="0.2">
      <c r="A986" s="2">
        <v>985</v>
      </c>
      <c r="B986" s="5">
        <f t="shared" si="60"/>
        <v>0</v>
      </c>
      <c r="C986" s="5">
        <f t="shared" si="61"/>
        <v>0</v>
      </c>
      <c r="D986" s="5">
        <f>IF(ExtraPayment=0, 0, IF(AND($B986&lt;&gt;0,ExtraPayment&lt;=$B986),-ExtraPayment,-($F986)-$B986))</f>
        <v>0</v>
      </c>
      <c r="E986" s="5">
        <f>IF($B986 &lt;= 0, 0, -ROUND($B986 * (InterestRate / PaymentsPerYear), 2))</f>
        <v>0</v>
      </c>
      <c r="F986" s="5">
        <f>ROUND(IFERROR(IF(OR($B986 &lt;=0, $B986 = ExtraPayment),0,
MAX(-$B986, -(-PMT(InterestRate/PaymentsPerYear,LoanTerm*PaymentsPerYear,LoanAmount) + $E986))), 0), 2)</f>
        <v>0</v>
      </c>
      <c r="G986" s="5">
        <f t="shared" si="62"/>
        <v>0</v>
      </c>
      <c r="H986" s="5">
        <f t="shared" si="63"/>
        <v>0</v>
      </c>
    </row>
    <row r="987" spans="1:8" x14ac:dyDescent="0.2">
      <c r="A987" s="2">
        <v>986</v>
      </c>
      <c r="B987" s="5">
        <f t="shared" si="60"/>
        <v>0</v>
      </c>
      <c r="C987" s="5">
        <f t="shared" si="61"/>
        <v>0</v>
      </c>
      <c r="D987" s="5">
        <f>IF(ExtraPayment=0, 0, IF(AND($B987&lt;&gt;0,ExtraPayment&lt;=$B987),-ExtraPayment,-($F987)-$B987))</f>
        <v>0</v>
      </c>
      <c r="E987" s="5">
        <f>IF($B987 &lt;= 0, 0, -ROUND($B987 * (InterestRate / PaymentsPerYear), 2))</f>
        <v>0</v>
      </c>
      <c r="F987" s="5">
        <f>ROUND(IFERROR(IF(OR($B987 &lt;=0, $B987 = ExtraPayment),0,
MAX(-$B987, -(-PMT(InterestRate/PaymentsPerYear,LoanTerm*PaymentsPerYear,LoanAmount) + $E987))), 0), 2)</f>
        <v>0</v>
      </c>
      <c r="G987" s="5">
        <f t="shared" si="62"/>
        <v>0</v>
      </c>
      <c r="H987" s="5">
        <f t="shared" si="63"/>
        <v>0</v>
      </c>
    </row>
    <row r="988" spans="1:8" x14ac:dyDescent="0.2">
      <c r="A988" s="2">
        <v>987</v>
      </c>
      <c r="B988" s="5">
        <f t="shared" si="60"/>
        <v>0</v>
      </c>
      <c r="C988" s="5">
        <f t="shared" si="61"/>
        <v>0</v>
      </c>
      <c r="D988" s="5">
        <f>IF(ExtraPayment=0, 0, IF(AND($B988&lt;&gt;0,ExtraPayment&lt;=$B988),-ExtraPayment,-($F988)-$B988))</f>
        <v>0</v>
      </c>
      <c r="E988" s="5">
        <f>IF($B988 &lt;= 0, 0, -ROUND($B988 * (InterestRate / PaymentsPerYear), 2))</f>
        <v>0</v>
      </c>
      <c r="F988" s="5">
        <f>ROUND(IFERROR(IF(OR($B988 &lt;=0, $B988 = ExtraPayment),0,
MAX(-$B988, -(-PMT(InterestRate/PaymentsPerYear,LoanTerm*PaymentsPerYear,LoanAmount) + $E988))), 0), 2)</f>
        <v>0</v>
      </c>
      <c r="G988" s="5">
        <f t="shared" si="62"/>
        <v>0</v>
      </c>
      <c r="H988" s="5">
        <f t="shared" si="63"/>
        <v>0</v>
      </c>
    </row>
    <row r="989" spans="1:8" x14ac:dyDescent="0.2">
      <c r="A989" s="2">
        <v>988</v>
      </c>
      <c r="B989" s="5">
        <f t="shared" si="60"/>
        <v>0</v>
      </c>
      <c r="C989" s="5">
        <f t="shared" si="61"/>
        <v>0</v>
      </c>
      <c r="D989" s="5">
        <f>IF(ExtraPayment=0, 0, IF(AND($B989&lt;&gt;0,ExtraPayment&lt;=$B989),-ExtraPayment,-($F989)-$B989))</f>
        <v>0</v>
      </c>
      <c r="E989" s="5">
        <f>IF($B989 &lt;= 0, 0, -ROUND($B989 * (InterestRate / PaymentsPerYear), 2))</f>
        <v>0</v>
      </c>
      <c r="F989" s="5">
        <f>ROUND(IFERROR(IF(OR($B989 &lt;=0, $B989 = ExtraPayment),0,
MAX(-$B989, -(-PMT(InterestRate/PaymentsPerYear,LoanTerm*PaymentsPerYear,LoanAmount) + $E989))), 0), 2)</f>
        <v>0</v>
      </c>
      <c r="G989" s="5">
        <f t="shared" si="62"/>
        <v>0</v>
      </c>
      <c r="H989" s="5">
        <f t="shared" si="63"/>
        <v>0</v>
      </c>
    </row>
    <row r="990" spans="1:8" x14ac:dyDescent="0.2">
      <c r="A990" s="2">
        <v>989</v>
      </c>
      <c r="B990" s="5">
        <f t="shared" si="60"/>
        <v>0</v>
      </c>
      <c r="C990" s="5">
        <f t="shared" si="61"/>
        <v>0</v>
      </c>
      <c r="D990" s="5">
        <f>IF(ExtraPayment=0, 0, IF(AND($B990&lt;&gt;0,ExtraPayment&lt;=$B990),-ExtraPayment,-($F990)-$B990))</f>
        <v>0</v>
      </c>
      <c r="E990" s="5">
        <f>IF($B990 &lt;= 0, 0, -ROUND($B990 * (InterestRate / PaymentsPerYear), 2))</f>
        <v>0</v>
      </c>
      <c r="F990" s="5">
        <f>ROUND(IFERROR(IF(OR($B990 &lt;=0, $B990 = ExtraPayment),0,
MAX(-$B990, -(-PMT(InterestRate/PaymentsPerYear,LoanTerm*PaymentsPerYear,LoanAmount) + $E990))), 0), 2)</f>
        <v>0</v>
      </c>
      <c r="G990" s="5">
        <f t="shared" si="62"/>
        <v>0</v>
      </c>
      <c r="H990" s="5">
        <f t="shared" si="63"/>
        <v>0</v>
      </c>
    </row>
    <row r="991" spans="1:8" x14ac:dyDescent="0.2">
      <c r="A991" s="2">
        <v>990</v>
      </c>
      <c r="B991" s="5">
        <f t="shared" si="60"/>
        <v>0</v>
      </c>
      <c r="C991" s="5">
        <f t="shared" si="61"/>
        <v>0</v>
      </c>
      <c r="D991" s="5">
        <f>IF(ExtraPayment=0, 0, IF(AND($B991&lt;&gt;0,ExtraPayment&lt;=$B991),-ExtraPayment,-($F991)-$B991))</f>
        <v>0</v>
      </c>
      <c r="E991" s="5">
        <f>IF($B991 &lt;= 0, 0, -ROUND($B991 * (InterestRate / PaymentsPerYear), 2))</f>
        <v>0</v>
      </c>
      <c r="F991" s="5">
        <f>ROUND(IFERROR(IF(OR($B991 &lt;=0, $B991 = ExtraPayment),0,
MAX(-$B991, -(-PMT(InterestRate/PaymentsPerYear,LoanTerm*PaymentsPerYear,LoanAmount) + $E991))), 0), 2)</f>
        <v>0</v>
      </c>
      <c r="G991" s="5">
        <f t="shared" si="62"/>
        <v>0</v>
      </c>
      <c r="H991" s="5">
        <f t="shared" si="63"/>
        <v>0</v>
      </c>
    </row>
    <row r="992" spans="1:8" x14ac:dyDescent="0.2">
      <c r="A992" s="2">
        <v>991</v>
      </c>
      <c r="B992" s="5">
        <f t="shared" si="60"/>
        <v>0</v>
      </c>
      <c r="C992" s="5">
        <f t="shared" si="61"/>
        <v>0</v>
      </c>
      <c r="D992" s="5">
        <f>IF(ExtraPayment=0, 0, IF(AND($B992&lt;&gt;0,ExtraPayment&lt;=$B992),-ExtraPayment,-($F992)-$B992))</f>
        <v>0</v>
      </c>
      <c r="E992" s="5">
        <f>IF($B992 &lt;= 0, 0, -ROUND($B992 * (InterestRate / PaymentsPerYear), 2))</f>
        <v>0</v>
      </c>
      <c r="F992" s="5">
        <f>ROUND(IFERROR(IF(OR($B992 &lt;=0, $B992 = ExtraPayment),0,
MAX(-$B992, -(-PMT(InterestRate/PaymentsPerYear,LoanTerm*PaymentsPerYear,LoanAmount) + $E992))), 0), 2)</f>
        <v>0</v>
      </c>
      <c r="G992" s="5">
        <f t="shared" si="62"/>
        <v>0</v>
      </c>
      <c r="H992" s="5">
        <f t="shared" si="63"/>
        <v>0</v>
      </c>
    </row>
    <row r="993" spans="1:8" x14ac:dyDescent="0.2">
      <c r="A993" s="2">
        <v>992</v>
      </c>
      <c r="B993" s="5">
        <f t="shared" si="60"/>
        <v>0</v>
      </c>
      <c r="C993" s="5">
        <f t="shared" si="61"/>
        <v>0</v>
      </c>
      <c r="D993" s="5">
        <f>IF(ExtraPayment=0, 0, IF(AND($B993&lt;&gt;0,ExtraPayment&lt;=$B993),-ExtraPayment,-($F993)-$B993))</f>
        <v>0</v>
      </c>
      <c r="E993" s="5">
        <f>IF($B993 &lt;= 0, 0, -ROUND($B993 * (InterestRate / PaymentsPerYear), 2))</f>
        <v>0</v>
      </c>
      <c r="F993" s="5">
        <f>ROUND(IFERROR(IF(OR($B993 &lt;=0, $B993 = ExtraPayment),0,
MAX(-$B993, -(-PMT(InterestRate/PaymentsPerYear,LoanTerm*PaymentsPerYear,LoanAmount) + $E993))), 0), 2)</f>
        <v>0</v>
      </c>
      <c r="G993" s="5">
        <f t="shared" si="62"/>
        <v>0</v>
      </c>
      <c r="H993" s="5">
        <f t="shared" si="63"/>
        <v>0</v>
      </c>
    </row>
    <row r="994" spans="1:8" x14ac:dyDescent="0.2">
      <c r="A994" s="2">
        <v>993</v>
      </c>
      <c r="B994" s="5">
        <f t="shared" si="60"/>
        <v>0</v>
      </c>
      <c r="C994" s="5">
        <f t="shared" si="61"/>
        <v>0</v>
      </c>
      <c r="D994" s="5">
        <f>IF(ExtraPayment=0, 0, IF(AND($B994&lt;&gt;0,ExtraPayment&lt;=$B994),-ExtraPayment,-($F994)-$B994))</f>
        <v>0</v>
      </c>
      <c r="E994" s="5">
        <f>IF($B994 &lt;= 0, 0, -ROUND($B994 * (InterestRate / PaymentsPerYear), 2))</f>
        <v>0</v>
      </c>
      <c r="F994" s="5">
        <f>ROUND(IFERROR(IF(OR($B994 &lt;=0, $B994 = ExtraPayment),0,
MAX(-$B994, -(-PMT(InterestRate/PaymentsPerYear,LoanTerm*PaymentsPerYear,LoanAmount) + $E994))), 0), 2)</f>
        <v>0</v>
      </c>
      <c r="G994" s="5">
        <f t="shared" si="62"/>
        <v>0</v>
      </c>
      <c r="H994" s="5">
        <f t="shared" si="63"/>
        <v>0</v>
      </c>
    </row>
    <row r="995" spans="1:8" x14ac:dyDescent="0.2">
      <c r="A995" s="2">
        <v>994</v>
      </c>
      <c r="B995" s="5">
        <f t="shared" si="60"/>
        <v>0</v>
      </c>
      <c r="C995" s="5">
        <f t="shared" si="61"/>
        <v>0</v>
      </c>
      <c r="D995" s="5">
        <f>IF(ExtraPayment=0, 0, IF(AND($B995&lt;&gt;0,ExtraPayment&lt;=$B995),-ExtraPayment,-($F995)-$B995))</f>
        <v>0</v>
      </c>
      <c r="E995" s="5">
        <f>IF($B995 &lt;= 0, 0, -ROUND($B995 * (InterestRate / PaymentsPerYear), 2))</f>
        <v>0</v>
      </c>
      <c r="F995" s="5">
        <f>ROUND(IFERROR(IF(OR($B995 &lt;=0, $B995 = ExtraPayment),0,
MAX(-$B995, -(-PMT(InterestRate/PaymentsPerYear,LoanTerm*PaymentsPerYear,LoanAmount) + $E995))), 0), 2)</f>
        <v>0</v>
      </c>
      <c r="G995" s="5">
        <f t="shared" si="62"/>
        <v>0</v>
      </c>
      <c r="H995" s="5">
        <f t="shared" si="63"/>
        <v>0</v>
      </c>
    </row>
    <row r="996" spans="1:8" x14ac:dyDescent="0.2">
      <c r="A996" s="2">
        <v>995</v>
      </c>
      <c r="B996" s="5">
        <f t="shared" si="60"/>
        <v>0</v>
      </c>
      <c r="C996" s="5">
        <f t="shared" si="61"/>
        <v>0</v>
      </c>
      <c r="D996" s="5">
        <f>IF(ExtraPayment=0, 0, IF(AND($B996&lt;&gt;0,ExtraPayment&lt;=$B996),-ExtraPayment,-($F996)-$B996))</f>
        <v>0</v>
      </c>
      <c r="E996" s="5">
        <f>IF($B996 &lt;= 0, 0, -ROUND($B996 * (InterestRate / PaymentsPerYear), 2))</f>
        <v>0</v>
      </c>
      <c r="F996" s="5">
        <f>ROUND(IFERROR(IF(OR($B996 &lt;=0, $B996 = ExtraPayment),0,
MAX(-$B996, -(-PMT(InterestRate/PaymentsPerYear,LoanTerm*PaymentsPerYear,LoanAmount) + $E996))), 0), 2)</f>
        <v>0</v>
      </c>
      <c r="G996" s="5">
        <f t="shared" si="62"/>
        <v>0</v>
      </c>
      <c r="H996" s="5">
        <f t="shared" si="63"/>
        <v>0</v>
      </c>
    </row>
    <row r="997" spans="1:8" x14ac:dyDescent="0.2">
      <c r="A997" s="2">
        <v>996</v>
      </c>
      <c r="B997" s="5">
        <f t="shared" si="60"/>
        <v>0</v>
      </c>
      <c r="C997" s="5">
        <f t="shared" si="61"/>
        <v>0</v>
      </c>
      <c r="D997" s="5">
        <f>IF(ExtraPayment=0, 0, IF(AND($B997&lt;&gt;0,ExtraPayment&lt;=$B997),-ExtraPayment,-($F997)-$B997))</f>
        <v>0</v>
      </c>
      <c r="E997" s="5">
        <f>IF($B997 &lt;= 0, 0, -ROUND($B997 * (InterestRate / PaymentsPerYear), 2))</f>
        <v>0</v>
      </c>
      <c r="F997" s="5">
        <f>ROUND(IFERROR(IF(OR($B997 &lt;=0, $B997 = ExtraPayment),0,
MAX(-$B997, -(-PMT(InterestRate/PaymentsPerYear,LoanTerm*PaymentsPerYear,LoanAmount) + $E997))), 0), 2)</f>
        <v>0</v>
      </c>
      <c r="G997" s="5">
        <f t="shared" si="62"/>
        <v>0</v>
      </c>
      <c r="H997" s="5">
        <f t="shared" si="63"/>
        <v>0</v>
      </c>
    </row>
    <row r="998" spans="1:8" x14ac:dyDescent="0.2">
      <c r="A998" s="2">
        <v>997</v>
      </c>
      <c r="B998" s="5">
        <f t="shared" si="60"/>
        <v>0</v>
      </c>
      <c r="C998" s="5">
        <f t="shared" si="61"/>
        <v>0</v>
      </c>
      <c r="D998" s="5">
        <f>IF(ExtraPayment=0, 0, IF(AND($B998&lt;&gt;0,ExtraPayment&lt;=$B998),-ExtraPayment,-($F998)-$B998))</f>
        <v>0</v>
      </c>
      <c r="E998" s="5">
        <f>IF($B998 &lt;= 0, 0, -ROUND($B998 * (InterestRate / PaymentsPerYear), 2))</f>
        <v>0</v>
      </c>
      <c r="F998" s="5">
        <f>ROUND(IFERROR(IF(OR($B998 &lt;=0, $B998 = ExtraPayment),0,
MAX(-$B998, -(-PMT(InterestRate/PaymentsPerYear,LoanTerm*PaymentsPerYear,LoanAmount) + $E998))), 0), 2)</f>
        <v>0</v>
      </c>
      <c r="G998" s="5">
        <f t="shared" si="62"/>
        <v>0</v>
      </c>
      <c r="H998" s="5">
        <f t="shared" si="63"/>
        <v>0</v>
      </c>
    </row>
    <row r="999" spans="1:8" x14ac:dyDescent="0.2">
      <c r="A999" s="2">
        <v>998</v>
      </c>
      <c r="B999" s="5">
        <f t="shared" si="60"/>
        <v>0</v>
      </c>
      <c r="C999" s="5">
        <f t="shared" si="61"/>
        <v>0</v>
      </c>
      <c r="D999" s="5">
        <f>IF(ExtraPayment=0, 0, IF(AND($B999&lt;&gt;0,ExtraPayment&lt;=$B999),-ExtraPayment,-($F999)-$B999))</f>
        <v>0</v>
      </c>
      <c r="E999" s="5">
        <f>IF($B999 &lt;= 0, 0, -ROUND($B999 * (InterestRate / PaymentsPerYear), 2))</f>
        <v>0</v>
      </c>
      <c r="F999" s="5">
        <f>ROUND(IFERROR(IF(OR($B999 &lt;=0, $B999 = ExtraPayment),0,
MAX(-$B999, -(-PMT(InterestRate/PaymentsPerYear,LoanTerm*PaymentsPerYear,LoanAmount) + $E999))), 0), 2)</f>
        <v>0</v>
      </c>
      <c r="G999" s="5">
        <f t="shared" si="62"/>
        <v>0</v>
      </c>
      <c r="H999" s="5">
        <f t="shared" si="63"/>
        <v>0</v>
      </c>
    </row>
    <row r="1000" spans="1:8" x14ac:dyDescent="0.2">
      <c r="A1000" s="2">
        <v>999</v>
      </c>
      <c r="B1000" s="5">
        <f t="shared" si="60"/>
        <v>0</v>
      </c>
      <c r="C1000" s="5">
        <f t="shared" si="61"/>
        <v>0</v>
      </c>
      <c r="D1000" s="5">
        <f>IF(ExtraPayment=0, 0, IF(AND($B1000&lt;&gt;0,ExtraPayment&lt;=$B1000),-ExtraPayment,-($F1000)-$B1000))</f>
        <v>0</v>
      </c>
      <c r="E1000" s="5">
        <f>IF($B1000 &lt;= 0, 0, -ROUND($B1000 * (InterestRate / PaymentsPerYear), 2))</f>
        <v>0</v>
      </c>
      <c r="F1000" s="5">
        <f>ROUND(IFERROR(IF(OR($B1000 &lt;=0, $B1000 = ExtraPayment),0,
MAX(-$B1000, -(-PMT(InterestRate/PaymentsPerYear,LoanTerm*PaymentsPerYear,LoanAmount) + $E1000))), 0), 2)</f>
        <v>0</v>
      </c>
      <c r="G1000" s="5">
        <f t="shared" si="62"/>
        <v>0</v>
      </c>
      <c r="H1000" s="5">
        <f t="shared" si="63"/>
        <v>0</v>
      </c>
    </row>
    <row r="1001" spans="1:8" x14ac:dyDescent="0.2">
      <c r="A1001" s="2">
        <v>1000</v>
      </c>
      <c r="B1001" s="5">
        <f t="shared" si="60"/>
        <v>0</v>
      </c>
      <c r="C1001" s="5">
        <f t="shared" si="61"/>
        <v>0</v>
      </c>
      <c r="D1001" s="5">
        <f>IF(ExtraPayment=0, 0, IF(AND($B1001&lt;&gt;0,ExtraPayment&lt;=$B1001),-ExtraPayment,-($F1001)-$B1001))</f>
        <v>0</v>
      </c>
      <c r="E1001" s="5">
        <f>IF($B1001 &lt;= 0, 0, -ROUND($B1001 * (InterestRate / PaymentsPerYear), 2))</f>
        <v>0</v>
      </c>
      <c r="F1001" s="5">
        <f>ROUND(IFERROR(IF(OR($B1001 &lt;=0, $B1001 = ExtraPayment),0,
MAX(-$B1001, -(-PMT(InterestRate/PaymentsPerYear,LoanTerm*PaymentsPerYear,LoanAmount) + $E1001))), 0), 2)</f>
        <v>0</v>
      </c>
      <c r="G1001" s="5">
        <f t="shared" si="62"/>
        <v>0</v>
      </c>
      <c r="H1001" s="5">
        <f t="shared" si="63"/>
        <v>0</v>
      </c>
    </row>
    <row r="1002" spans="1:8" x14ac:dyDescent="0.2">
      <c r="A1002" s="2">
        <v>1001</v>
      </c>
      <c r="B1002" s="5">
        <f t="shared" si="60"/>
        <v>0</v>
      </c>
      <c r="C1002" s="5">
        <f t="shared" si="61"/>
        <v>0</v>
      </c>
      <c r="D1002" s="5">
        <f>IF(ExtraPayment=0, 0, IF(AND($B1002&lt;&gt;0,ExtraPayment&lt;=$B1002),-ExtraPayment,-($F1002)-$B1002))</f>
        <v>0</v>
      </c>
      <c r="E1002" s="5">
        <f>IF($B1002 &lt;= 0, 0, -ROUND($B1002 * (InterestRate / PaymentsPerYear), 2))</f>
        <v>0</v>
      </c>
      <c r="F1002" s="5">
        <f>ROUND(IFERROR(IF(OR($B1002 &lt;=0, $B1002 = ExtraPayment),0,
MAX(-$B1002, -(-PMT(InterestRate/PaymentsPerYear,LoanTerm*PaymentsPerYear,LoanAmount) + $E1002))), 0), 2)</f>
        <v>0</v>
      </c>
      <c r="G1002" s="5">
        <f t="shared" si="62"/>
        <v>0</v>
      </c>
      <c r="H1002" s="5">
        <f t="shared" si="63"/>
        <v>0</v>
      </c>
    </row>
    <row r="1003" spans="1:8" x14ac:dyDescent="0.2">
      <c r="A1003" s="2">
        <v>1002</v>
      </c>
      <c r="B1003" s="5">
        <f t="shared" si="60"/>
        <v>0</v>
      </c>
      <c r="C1003" s="5">
        <f t="shared" si="61"/>
        <v>0</v>
      </c>
      <c r="D1003" s="5">
        <f>IF(ExtraPayment=0, 0, IF(AND($B1003&lt;&gt;0,ExtraPayment&lt;=$B1003),-ExtraPayment,-($F1003)-$B1003))</f>
        <v>0</v>
      </c>
      <c r="E1003" s="5">
        <f>IF($B1003 &lt;= 0, 0, -ROUND($B1003 * (InterestRate / PaymentsPerYear), 2))</f>
        <v>0</v>
      </c>
      <c r="F1003" s="5">
        <f>ROUND(IFERROR(IF(OR($B1003 &lt;=0, $B1003 = ExtraPayment),0,
MAX(-$B1003, -(-PMT(InterestRate/PaymentsPerYear,LoanTerm*PaymentsPerYear,LoanAmount) + $E1003))), 0), 2)</f>
        <v>0</v>
      </c>
      <c r="G1003" s="5">
        <f t="shared" si="62"/>
        <v>0</v>
      </c>
      <c r="H1003" s="5">
        <f t="shared" si="63"/>
        <v>0</v>
      </c>
    </row>
    <row r="1004" spans="1:8" x14ac:dyDescent="0.2">
      <c r="A1004" s="2">
        <v>1003</v>
      </c>
      <c r="B1004" s="5">
        <f t="shared" si="60"/>
        <v>0</v>
      </c>
      <c r="C1004" s="5">
        <f t="shared" si="61"/>
        <v>0</v>
      </c>
      <c r="D1004" s="5">
        <f>IF(ExtraPayment=0, 0, IF(AND($B1004&lt;&gt;0,ExtraPayment&lt;=$B1004),-ExtraPayment,-($F1004)-$B1004))</f>
        <v>0</v>
      </c>
      <c r="E1004" s="5">
        <f>IF($B1004 &lt;= 0, 0, -ROUND($B1004 * (InterestRate / PaymentsPerYear), 2))</f>
        <v>0</v>
      </c>
      <c r="F1004" s="5">
        <f>ROUND(IFERROR(IF(OR($B1004 &lt;=0, $B1004 = ExtraPayment),0,
MAX(-$B1004, -(-PMT(InterestRate/PaymentsPerYear,LoanTerm*PaymentsPerYear,LoanAmount) + $E1004))), 0), 2)</f>
        <v>0</v>
      </c>
      <c r="G1004" s="5">
        <f t="shared" si="62"/>
        <v>0</v>
      </c>
      <c r="H1004" s="5">
        <f t="shared" si="63"/>
        <v>0</v>
      </c>
    </row>
    <row r="1005" spans="1:8" x14ac:dyDescent="0.2">
      <c r="A1005" s="2">
        <v>1004</v>
      </c>
      <c r="B1005" s="5">
        <f t="shared" si="60"/>
        <v>0</v>
      </c>
      <c r="C1005" s="5">
        <f t="shared" si="61"/>
        <v>0</v>
      </c>
      <c r="D1005" s="5">
        <f>IF(ExtraPayment=0, 0, IF(AND($B1005&lt;&gt;0,ExtraPayment&lt;=$B1005),-ExtraPayment,-($F1005)-$B1005))</f>
        <v>0</v>
      </c>
      <c r="E1005" s="5">
        <f>IF($B1005 &lt;= 0, 0, -ROUND($B1005 * (InterestRate / PaymentsPerYear), 2))</f>
        <v>0</v>
      </c>
      <c r="F1005" s="5">
        <f>ROUND(IFERROR(IF(OR($B1005 &lt;=0, $B1005 = ExtraPayment),0,
MAX(-$B1005, -(-PMT(InterestRate/PaymentsPerYear,LoanTerm*PaymentsPerYear,LoanAmount) + $E1005))), 0), 2)</f>
        <v>0</v>
      </c>
      <c r="G1005" s="5">
        <f t="shared" si="62"/>
        <v>0</v>
      </c>
      <c r="H1005" s="5">
        <f t="shared" si="63"/>
        <v>0</v>
      </c>
    </row>
    <row r="1006" spans="1:8" x14ac:dyDescent="0.2">
      <c r="A1006" s="2">
        <v>1005</v>
      </c>
      <c r="B1006" s="5">
        <f t="shared" si="60"/>
        <v>0</v>
      </c>
      <c r="C1006" s="5">
        <f t="shared" si="61"/>
        <v>0</v>
      </c>
      <c r="D1006" s="5">
        <f>IF(ExtraPayment=0, 0, IF(AND($B1006&lt;&gt;0,ExtraPayment&lt;=$B1006),-ExtraPayment,-($F1006)-$B1006))</f>
        <v>0</v>
      </c>
      <c r="E1006" s="5">
        <f>IF($B1006 &lt;= 0, 0, -ROUND($B1006 * (InterestRate / PaymentsPerYear), 2))</f>
        <v>0</v>
      </c>
      <c r="F1006" s="5">
        <f>ROUND(IFERROR(IF(OR($B1006 &lt;=0, $B1006 = ExtraPayment),0,
MAX(-$B1006, -(-PMT(InterestRate/PaymentsPerYear,LoanTerm*PaymentsPerYear,LoanAmount) + $E1006))), 0), 2)</f>
        <v>0</v>
      </c>
      <c r="G1006" s="5">
        <f t="shared" si="62"/>
        <v>0</v>
      </c>
      <c r="H1006" s="5">
        <f t="shared" si="63"/>
        <v>0</v>
      </c>
    </row>
    <row r="1007" spans="1:8" x14ac:dyDescent="0.2">
      <c r="A1007" s="2">
        <v>1006</v>
      </c>
      <c r="B1007" s="5">
        <f t="shared" si="60"/>
        <v>0</v>
      </c>
      <c r="C1007" s="5">
        <f t="shared" si="61"/>
        <v>0</v>
      </c>
      <c r="D1007" s="5">
        <f>IF(ExtraPayment=0, 0, IF(AND($B1007&lt;&gt;0,ExtraPayment&lt;=$B1007),-ExtraPayment,-($F1007)-$B1007))</f>
        <v>0</v>
      </c>
      <c r="E1007" s="5">
        <f>IF($B1007 &lt;= 0, 0, -ROUND($B1007 * (InterestRate / PaymentsPerYear), 2))</f>
        <v>0</v>
      </c>
      <c r="F1007" s="5">
        <f>ROUND(IFERROR(IF(OR($B1007 &lt;=0, $B1007 = ExtraPayment),0,
MAX(-$B1007, -(-PMT(InterestRate/PaymentsPerYear,LoanTerm*PaymentsPerYear,LoanAmount) + $E1007))), 0), 2)</f>
        <v>0</v>
      </c>
      <c r="G1007" s="5">
        <f t="shared" si="62"/>
        <v>0</v>
      </c>
      <c r="H1007" s="5">
        <f t="shared" si="63"/>
        <v>0</v>
      </c>
    </row>
    <row r="1008" spans="1:8" x14ac:dyDescent="0.2">
      <c r="A1008" s="2">
        <v>1007</v>
      </c>
      <c r="B1008" s="5">
        <f t="shared" si="60"/>
        <v>0</v>
      </c>
      <c r="C1008" s="5">
        <f t="shared" si="61"/>
        <v>0</v>
      </c>
      <c r="D1008" s="5">
        <f>IF(ExtraPayment=0, 0, IF(AND($B1008&lt;&gt;0,ExtraPayment&lt;=$B1008),-ExtraPayment,-($F1008)-$B1008))</f>
        <v>0</v>
      </c>
      <c r="E1008" s="5">
        <f>IF($B1008 &lt;= 0, 0, -ROUND($B1008 * (InterestRate / PaymentsPerYear), 2))</f>
        <v>0</v>
      </c>
      <c r="F1008" s="5">
        <f>ROUND(IFERROR(IF(OR($B1008 &lt;=0, $B1008 = ExtraPayment),0,
MAX(-$B1008, -(-PMT(InterestRate/PaymentsPerYear,LoanTerm*PaymentsPerYear,LoanAmount) + $E1008))), 0), 2)</f>
        <v>0</v>
      </c>
      <c r="G1008" s="5">
        <f t="shared" si="62"/>
        <v>0</v>
      </c>
      <c r="H1008" s="5">
        <f t="shared" si="63"/>
        <v>0</v>
      </c>
    </row>
    <row r="1009" spans="1:8" x14ac:dyDescent="0.2">
      <c r="A1009" s="2">
        <v>1008</v>
      </c>
      <c r="B1009" s="5">
        <f t="shared" si="60"/>
        <v>0</v>
      </c>
      <c r="C1009" s="5">
        <f t="shared" si="61"/>
        <v>0</v>
      </c>
      <c r="D1009" s="5">
        <f>IF(ExtraPayment=0, 0, IF(AND($B1009&lt;&gt;0,ExtraPayment&lt;=$B1009),-ExtraPayment,-($F1009)-$B1009))</f>
        <v>0</v>
      </c>
      <c r="E1009" s="5">
        <f>IF($B1009 &lt;= 0, 0, -ROUND($B1009 * (InterestRate / PaymentsPerYear), 2))</f>
        <v>0</v>
      </c>
      <c r="F1009" s="5">
        <f>ROUND(IFERROR(IF(OR($B1009 &lt;=0, $B1009 = ExtraPayment),0,
MAX(-$B1009, -(-PMT(InterestRate/PaymentsPerYear,LoanTerm*PaymentsPerYear,LoanAmount) + $E1009))), 0), 2)</f>
        <v>0</v>
      </c>
      <c r="G1009" s="5">
        <f t="shared" si="62"/>
        <v>0</v>
      </c>
      <c r="H1009" s="5">
        <f t="shared" si="63"/>
        <v>0</v>
      </c>
    </row>
    <row r="1010" spans="1:8" x14ac:dyDescent="0.2">
      <c r="A1010" s="2">
        <v>1009</v>
      </c>
      <c r="B1010" s="5">
        <f t="shared" si="60"/>
        <v>0</v>
      </c>
      <c r="C1010" s="5">
        <f t="shared" si="61"/>
        <v>0</v>
      </c>
      <c r="D1010" s="5">
        <f>IF(ExtraPayment=0, 0, IF(AND($B1010&lt;&gt;0,ExtraPayment&lt;=$B1010),-ExtraPayment,-($F1010)-$B1010))</f>
        <v>0</v>
      </c>
      <c r="E1010" s="5">
        <f>IF($B1010 &lt;= 0, 0, -ROUND($B1010 * (InterestRate / PaymentsPerYear), 2))</f>
        <v>0</v>
      </c>
      <c r="F1010" s="5">
        <f>ROUND(IFERROR(IF(OR($B1010 &lt;=0, $B1010 = ExtraPayment),0,
MAX(-$B1010, -(-PMT(InterestRate/PaymentsPerYear,LoanTerm*PaymentsPerYear,LoanAmount) + $E1010))), 0), 2)</f>
        <v>0</v>
      </c>
      <c r="G1010" s="5">
        <f t="shared" si="62"/>
        <v>0</v>
      </c>
      <c r="H1010" s="5">
        <f t="shared" si="63"/>
        <v>0</v>
      </c>
    </row>
    <row r="1011" spans="1:8" x14ac:dyDescent="0.2">
      <c r="A1011" s="2">
        <v>1010</v>
      </c>
      <c r="B1011" s="5">
        <f t="shared" si="60"/>
        <v>0</v>
      </c>
      <c r="C1011" s="5">
        <f t="shared" si="61"/>
        <v>0</v>
      </c>
      <c r="D1011" s="5">
        <f>IF(ExtraPayment=0, 0, IF(AND($B1011&lt;&gt;0,ExtraPayment&lt;=$B1011),-ExtraPayment,-($F1011)-$B1011))</f>
        <v>0</v>
      </c>
      <c r="E1011" s="5">
        <f>IF($B1011 &lt;= 0, 0, -ROUND($B1011 * (InterestRate / PaymentsPerYear), 2))</f>
        <v>0</v>
      </c>
      <c r="F1011" s="5">
        <f>ROUND(IFERROR(IF(OR($B1011 &lt;=0, $B1011 = ExtraPayment),0,
MAX(-$B1011, -(-PMT(InterestRate/PaymentsPerYear,LoanTerm*PaymentsPerYear,LoanAmount) + $E1011))), 0), 2)</f>
        <v>0</v>
      </c>
      <c r="G1011" s="5">
        <f t="shared" si="62"/>
        <v>0</v>
      </c>
      <c r="H1011" s="5">
        <f t="shared" si="63"/>
        <v>0</v>
      </c>
    </row>
    <row r="1012" spans="1:8" x14ac:dyDescent="0.2">
      <c r="A1012" s="2">
        <v>1011</v>
      </c>
      <c r="B1012" s="5">
        <f t="shared" si="60"/>
        <v>0</v>
      </c>
      <c r="C1012" s="5">
        <f t="shared" si="61"/>
        <v>0</v>
      </c>
      <c r="D1012" s="5">
        <f>IF(ExtraPayment=0, 0, IF(AND($B1012&lt;&gt;0,ExtraPayment&lt;=$B1012),-ExtraPayment,-($F1012)-$B1012))</f>
        <v>0</v>
      </c>
      <c r="E1012" s="5">
        <f>IF($B1012 &lt;= 0, 0, -ROUND($B1012 * (InterestRate / PaymentsPerYear), 2))</f>
        <v>0</v>
      </c>
      <c r="F1012" s="5">
        <f>ROUND(IFERROR(IF(OR($B1012 &lt;=0, $B1012 = ExtraPayment),0,
MAX(-$B1012, -(-PMT(InterestRate/PaymentsPerYear,LoanTerm*PaymentsPerYear,LoanAmount) + $E1012))), 0), 2)</f>
        <v>0</v>
      </c>
      <c r="G1012" s="5">
        <f t="shared" si="62"/>
        <v>0</v>
      </c>
      <c r="H1012" s="5">
        <f t="shared" si="63"/>
        <v>0</v>
      </c>
    </row>
    <row r="1013" spans="1:8" x14ac:dyDescent="0.2">
      <c r="A1013" s="2">
        <v>1012</v>
      </c>
      <c r="B1013" s="5">
        <f t="shared" si="60"/>
        <v>0</v>
      </c>
      <c r="C1013" s="5">
        <f t="shared" si="61"/>
        <v>0</v>
      </c>
      <c r="D1013" s="5">
        <f>IF(ExtraPayment=0, 0, IF(AND($B1013&lt;&gt;0,ExtraPayment&lt;=$B1013),-ExtraPayment,-($F1013)-$B1013))</f>
        <v>0</v>
      </c>
      <c r="E1013" s="5">
        <f>IF($B1013 &lt;= 0, 0, -ROUND($B1013 * (InterestRate / PaymentsPerYear), 2))</f>
        <v>0</v>
      </c>
      <c r="F1013" s="5">
        <f>ROUND(IFERROR(IF(OR($B1013 &lt;=0, $B1013 = ExtraPayment),0,
MAX(-$B1013, -(-PMT(InterestRate/PaymentsPerYear,LoanTerm*PaymentsPerYear,LoanAmount) + $E1013))), 0), 2)</f>
        <v>0</v>
      </c>
      <c r="G1013" s="5">
        <f t="shared" si="62"/>
        <v>0</v>
      </c>
      <c r="H1013" s="5">
        <f t="shared" si="63"/>
        <v>0</v>
      </c>
    </row>
    <row r="1014" spans="1:8" x14ac:dyDescent="0.2">
      <c r="A1014" s="2">
        <v>1013</v>
      </c>
      <c r="B1014" s="5">
        <f t="shared" si="60"/>
        <v>0</v>
      </c>
      <c r="C1014" s="5">
        <f t="shared" si="61"/>
        <v>0</v>
      </c>
      <c r="D1014" s="5">
        <f>IF(ExtraPayment=0, 0, IF(AND($B1014&lt;&gt;0,ExtraPayment&lt;=$B1014),-ExtraPayment,-($F1014)-$B1014))</f>
        <v>0</v>
      </c>
      <c r="E1014" s="5">
        <f>IF($B1014 &lt;= 0, 0, -ROUND($B1014 * (InterestRate / PaymentsPerYear), 2))</f>
        <v>0</v>
      </c>
      <c r="F1014" s="5">
        <f>ROUND(IFERROR(IF(OR($B1014 &lt;=0, $B1014 = ExtraPayment),0,
MAX(-$B1014, -(-PMT(InterestRate/PaymentsPerYear,LoanTerm*PaymentsPerYear,LoanAmount) + $E1014))), 0), 2)</f>
        <v>0</v>
      </c>
      <c r="G1014" s="5">
        <f t="shared" si="62"/>
        <v>0</v>
      </c>
      <c r="H1014" s="5">
        <f t="shared" si="63"/>
        <v>0</v>
      </c>
    </row>
    <row r="1015" spans="1:8" x14ac:dyDescent="0.2">
      <c r="A1015" s="2">
        <v>1014</v>
      </c>
      <c r="B1015" s="5">
        <f t="shared" si="60"/>
        <v>0</v>
      </c>
      <c r="C1015" s="5">
        <f t="shared" si="61"/>
        <v>0</v>
      </c>
      <c r="D1015" s="5">
        <f>IF(ExtraPayment=0, 0, IF(AND($B1015&lt;&gt;0,ExtraPayment&lt;=$B1015),-ExtraPayment,-($F1015)-$B1015))</f>
        <v>0</v>
      </c>
      <c r="E1015" s="5">
        <f>IF($B1015 &lt;= 0, 0, -ROUND($B1015 * (InterestRate / PaymentsPerYear), 2))</f>
        <v>0</v>
      </c>
      <c r="F1015" s="5">
        <f>ROUND(IFERROR(IF(OR($B1015 &lt;=0, $B1015 = ExtraPayment),0,
MAX(-$B1015, -(-PMT(InterestRate/PaymentsPerYear,LoanTerm*PaymentsPerYear,LoanAmount) + $E1015))), 0), 2)</f>
        <v>0</v>
      </c>
      <c r="G1015" s="5">
        <f t="shared" si="62"/>
        <v>0</v>
      </c>
      <c r="H1015" s="5">
        <f t="shared" si="63"/>
        <v>0</v>
      </c>
    </row>
    <row r="1016" spans="1:8" x14ac:dyDescent="0.2">
      <c r="A1016" s="2">
        <v>1015</v>
      </c>
      <c r="B1016" s="5">
        <f t="shared" si="60"/>
        <v>0</v>
      </c>
      <c r="C1016" s="5">
        <f t="shared" si="61"/>
        <v>0</v>
      </c>
      <c r="D1016" s="5">
        <f>IF(ExtraPayment=0, 0, IF(AND($B1016&lt;&gt;0,ExtraPayment&lt;=$B1016),-ExtraPayment,-($F1016)-$B1016))</f>
        <v>0</v>
      </c>
      <c r="E1016" s="5">
        <f>IF($B1016 &lt;= 0, 0, -ROUND($B1016 * (InterestRate / PaymentsPerYear), 2))</f>
        <v>0</v>
      </c>
      <c r="F1016" s="5">
        <f>ROUND(IFERROR(IF(OR($B1016 &lt;=0, $B1016 = ExtraPayment),0,
MAX(-$B1016, -(-PMT(InterestRate/PaymentsPerYear,LoanTerm*PaymentsPerYear,LoanAmount) + $E1016))), 0), 2)</f>
        <v>0</v>
      </c>
      <c r="G1016" s="5">
        <f t="shared" si="62"/>
        <v>0</v>
      </c>
      <c r="H1016" s="5">
        <f t="shared" si="63"/>
        <v>0</v>
      </c>
    </row>
    <row r="1017" spans="1:8" x14ac:dyDescent="0.2">
      <c r="A1017" s="2">
        <v>1016</v>
      </c>
      <c r="B1017" s="5">
        <f t="shared" si="60"/>
        <v>0</v>
      </c>
      <c r="C1017" s="5">
        <f t="shared" si="61"/>
        <v>0</v>
      </c>
      <c r="D1017" s="5">
        <f>IF(ExtraPayment=0, 0, IF(AND($B1017&lt;&gt;0,ExtraPayment&lt;=$B1017),-ExtraPayment,-($F1017)-$B1017))</f>
        <v>0</v>
      </c>
      <c r="E1017" s="5">
        <f>IF($B1017 &lt;= 0, 0, -ROUND($B1017 * (InterestRate / PaymentsPerYear), 2))</f>
        <v>0</v>
      </c>
      <c r="F1017" s="5">
        <f>ROUND(IFERROR(IF(OR($B1017 &lt;=0, $B1017 = ExtraPayment),0,
MAX(-$B1017, -(-PMT(InterestRate/PaymentsPerYear,LoanTerm*PaymentsPerYear,LoanAmount) + $E1017))), 0), 2)</f>
        <v>0</v>
      </c>
      <c r="G1017" s="5">
        <f t="shared" si="62"/>
        <v>0</v>
      </c>
      <c r="H1017" s="5">
        <f t="shared" si="63"/>
        <v>0</v>
      </c>
    </row>
    <row r="1018" spans="1:8" x14ac:dyDescent="0.2">
      <c r="A1018" s="2">
        <v>1017</v>
      </c>
      <c r="B1018" s="5">
        <f t="shared" si="60"/>
        <v>0</v>
      </c>
      <c r="C1018" s="5">
        <f t="shared" si="61"/>
        <v>0</v>
      </c>
      <c r="D1018" s="5">
        <f>IF(ExtraPayment=0, 0, IF(AND($B1018&lt;&gt;0,ExtraPayment&lt;=$B1018),-ExtraPayment,-($F1018)-$B1018))</f>
        <v>0</v>
      </c>
      <c r="E1018" s="5">
        <f>IF($B1018 &lt;= 0, 0, -ROUND($B1018 * (InterestRate / PaymentsPerYear), 2))</f>
        <v>0</v>
      </c>
      <c r="F1018" s="5">
        <f>ROUND(IFERROR(IF(OR($B1018 &lt;=0, $B1018 = ExtraPayment),0,
MAX(-$B1018, -(-PMT(InterestRate/PaymentsPerYear,LoanTerm*PaymentsPerYear,LoanAmount) + $E1018))), 0), 2)</f>
        <v>0</v>
      </c>
      <c r="G1018" s="5">
        <f t="shared" si="62"/>
        <v>0</v>
      </c>
      <c r="H1018" s="5">
        <f t="shared" si="63"/>
        <v>0</v>
      </c>
    </row>
    <row r="1019" spans="1:8" x14ac:dyDescent="0.2">
      <c r="A1019" s="2">
        <v>1018</v>
      </c>
      <c r="B1019" s="5">
        <f t="shared" si="60"/>
        <v>0</v>
      </c>
      <c r="C1019" s="5">
        <f t="shared" si="61"/>
        <v>0</v>
      </c>
      <c r="D1019" s="5">
        <f>IF(ExtraPayment=0, 0, IF(AND($B1019&lt;&gt;0,ExtraPayment&lt;=$B1019),-ExtraPayment,-($F1019)-$B1019))</f>
        <v>0</v>
      </c>
      <c r="E1019" s="5">
        <f>IF($B1019 &lt;= 0, 0, -ROUND($B1019 * (InterestRate / PaymentsPerYear), 2))</f>
        <v>0</v>
      </c>
      <c r="F1019" s="5">
        <f>ROUND(IFERROR(IF(OR($B1019 &lt;=0, $B1019 = ExtraPayment),0,
MAX(-$B1019, -(-PMT(InterestRate/PaymentsPerYear,LoanTerm*PaymentsPerYear,LoanAmount) + $E1019))), 0), 2)</f>
        <v>0</v>
      </c>
      <c r="G1019" s="5">
        <f t="shared" si="62"/>
        <v>0</v>
      </c>
      <c r="H1019" s="5">
        <f t="shared" si="63"/>
        <v>0</v>
      </c>
    </row>
    <row r="1020" spans="1:8" x14ac:dyDescent="0.2">
      <c r="A1020" s="2">
        <v>1019</v>
      </c>
      <c r="B1020" s="5">
        <f t="shared" si="60"/>
        <v>0</v>
      </c>
      <c r="C1020" s="5">
        <f t="shared" si="61"/>
        <v>0</v>
      </c>
      <c r="D1020" s="5">
        <f>IF(ExtraPayment=0, 0, IF(AND($B1020&lt;&gt;0,ExtraPayment&lt;=$B1020),-ExtraPayment,-($F1020)-$B1020))</f>
        <v>0</v>
      </c>
      <c r="E1020" s="5">
        <f>IF($B1020 &lt;= 0, 0, -ROUND($B1020 * (InterestRate / PaymentsPerYear), 2))</f>
        <v>0</v>
      </c>
      <c r="F1020" s="5">
        <f>ROUND(IFERROR(IF(OR($B1020 &lt;=0, $B1020 = ExtraPayment),0,
MAX(-$B1020, -(-PMT(InterestRate/PaymentsPerYear,LoanTerm*PaymentsPerYear,LoanAmount) + $E1020))), 0), 2)</f>
        <v>0</v>
      </c>
      <c r="G1020" s="5">
        <f t="shared" si="62"/>
        <v>0</v>
      </c>
      <c r="H1020" s="5">
        <f t="shared" si="63"/>
        <v>0</v>
      </c>
    </row>
    <row r="1021" spans="1:8" x14ac:dyDescent="0.2">
      <c r="A1021" s="2">
        <v>1020</v>
      </c>
      <c r="B1021" s="5">
        <f t="shared" si="60"/>
        <v>0</v>
      </c>
      <c r="C1021" s="5">
        <f t="shared" si="61"/>
        <v>0</v>
      </c>
      <c r="D1021" s="5">
        <f>IF(ExtraPayment=0, 0, IF(AND($B1021&lt;&gt;0,ExtraPayment&lt;=$B1021),-ExtraPayment,-($F1021)-$B1021))</f>
        <v>0</v>
      </c>
      <c r="E1021" s="5">
        <f>IF($B1021 &lt;= 0, 0, -ROUND($B1021 * (InterestRate / PaymentsPerYear), 2))</f>
        <v>0</v>
      </c>
      <c r="F1021" s="5">
        <f>ROUND(IFERROR(IF(OR($B1021 &lt;=0, $B1021 = ExtraPayment),0,
MAX(-$B1021, -(-PMT(InterestRate/PaymentsPerYear,LoanTerm*PaymentsPerYear,LoanAmount) + $E1021))), 0), 2)</f>
        <v>0</v>
      </c>
      <c r="G1021" s="5">
        <f t="shared" si="62"/>
        <v>0</v>
      </c>
      <c r="H1021" s="5">
        <f t="shared" si="63"/>
        <v>0</v>
      </c>
    </row>
    <row r="1022" spans="1:8" x14ac:dyDescent="0.2">
      <c r="A1022" s="2">
        <v>1021</v>
      </c>
      <c r="B1022" s="5">
        <f t="shared" si="60"/>
        <v>0</v>
      </c>
      <c r="C1022" s="5">
        <f t="shared" si="61"/>
        <v>0</v>
      </c>
      <c r="D1022" s="5">
        <f>IF(ExtraPayment=0, 0, IF(AND($B1022&lt;&gt;0,ExtraPayment&lt;=$B1022),-ExtraPayment,-($F1022)-$B1022))</f>
        <v>0</v>
      </c>
      <c r="E1022" s="5">
        <f>IF($B1022 &lt;= 0, 0, -ROUND($B1022 * (InterestRate / PaymentsPerYear), 2))</f>
        <v>0</v>
      </c>
      <c r="F1022" s="5">
        <f>ROUND(IFERROR(IF(OR($B1022 &lt;=0, $B1022 = ExtraPayment),0,
MAX(-$B1022, -(-PMT(InterestRate/PaymentsPerYear,LoanTerm*PaymentsPerYear,LoanAmount) + $E1022))), 0), 2)</f>
        <v>0</v>
      </c>
      <c r="G1022" s="5">
        <f t="shared" si="62"/>
        <v>0</v>
      </c>
      <c r="H1022" s="5">
        <f t="shared" si="63"/>
        <v>0</v>
      </c>
    </row>
    <row r="1023" spans="1:8" x14ac:dyDescent="0.2">
      <c r="A1023" s="2">
        <v>1022</v>
      </c>
      <c r="B1023" s="5">
        <f t="shared" si="60"/>
        <v>0</v>
      </c>
      <c r="C1023" s="5">
        <f t="shared" si="61"/>
        <v>0</v>
      </c>
      <c r="D1023" s="5">
        <f>IF(ExtraPayment=0, 0, IF(AND($B1023&lt;&gt;0,ExtraPayment&lt;=$B1023),-ExtraPayment,-($F1023)-$B1023))</f>
        <v>0</v>
      </c>
      <c r="E1023" s="5">
        <f>IF($B1023 &lt;= 0, 0, -ROUND($B1023 * (InterestRate / PaymentsPerYear), 2))</f>
        <v>0</v>
      </c>
      <c r="F1023" s="5">
        <f>ROUND(IFERROR(IF(OR($B1023 &lt;=0, $B1023 = ExtraPayment),0,
MAX(-$B1023, -(-PMT(InterestRate/PaymentsPerYear,LoanTerm*PaymentsPerYear,LoanAmount) + $E1023))), 0), 2)</f>
        <v>0</v>
      </c>
      <c r="G1023" s="5">
        <f t="shared" si="62"/>
        <v>0</v>
      </c>
      <c r="H1023" s="5">
        <f t="shared" si="63"/>
        <v>0</v>
      </c>
    </row>
    <row r="1024" spans="1:8" x14ac:dyDescent="0.2">
      <c r="A1024" s="2">
        <v>1023</v>
      </c>
      <c r="B1024" s="5">
        <f t="shared" si="60"/>
        <v>0</v>
      </c>
      <c r="C1024" s="5">
        <f t="shared" si="61"/>
        <v>0</v>
      </c>
      <c r="D1024" s="5">
        <f>IF(ExtraPayment=0, 0, IF(AND($B1024&lt;&gt;0,ExtraPayment&lt;=$B1024),-ExtraPayment,-($F1024)-$B1024))</f>
        <v>0</v>
      </c>
      <c r="E1024" s="5">
        <f>IF($B1024 &lt;= 0, 0, -ROUND($B1024 * (InterestRate / PaymentsPerYear), 2))</f>
        <v>0</v>
      </c>
      <c r="F1024" s="5">
        <f>ROUND(IFERROR(IF(OR($B1024 &lt;=0, $B1024 = ExtraPayment),0,
MAX(-$B1024, -(-PMT(InterestRate/PaymentsPerYear,LoanTerm*PaymentsPerYear,LoanAmount) + $E1024))), 0), 2)</f>
        <v>0</v>
      </c>
      <c r="G1024" s="5">
        <f t="shared" si="62"/>
        <v>0</v>
      </c>
      <c r="H1024" s="5">
        <f t="shared" si="63"/>
        <v>0</v>
      </c>
    </row>
    <row r="1025" spans="1:8" x14ac:dyDescent="0.2">
      <c r="A1025" s="2">
        <v>1024</v>
      </c>
      <c r="B1025" s="5">
        <f t="shared" si="60"/>
        <v>0</v>
      </c>
      <c r="C1025" s="5">
        <f t="shared" si="61"/>
        <v>0</v>
      </c>
      <c r="D1025" s="5">
        <f>IF(ExtraPayment=0, 0, IF(AND($B1025&lt;&gt;0,ExtraPayment&lt;=$B1025),-ExtraPayment,-($F1025)-$B1025))</f>
        <v>0</v>
      </c>
      <c r="E1025" s="5">
        <f>IF($B1025 &lt;= 0, 0, -ROUND($B1025 * (InterestRate / PaymentsPerYear), 2))</f>
        <v>0</v>
      </c>
      <c r="F1025" s="5">
        <f>ROUND(IFERROR(IF(OR($B1025 &lt;=0, $B1025 = ExtraPayment),0,
MAX(-$B1025, -(-PMT(InterestRate/PaymentsPerYear,LoanTerm*PaymentsPerYear,LoanAmount) + $E1025))), 0), 2)</f>
        <v>0</v>
      </c>
      <c r="G1025" s="5">
        <f t="shared" si="62"/>
        <v>0</v>
      </c>
      <c r="H1025" s="5">
        <f t="shared" si="63"/>
        <v>0</v>
      </c>
    </row>
    <row r="1026" spans="1:8" x14ac:dyDescent="0.2">
      <c r="A1026" s="2">
        <v>1025</v>
      </c>
      <c r="B1026" s="5">
        <f t="shared" si="60"/>
        <v>0</v>
      </c>
      <c r="C1026" s="5">
        <f t="shared" si="61"/>
        <v>0</v>
      </c>
      <c r="D1026" s="5">
        <f>IF(ExtraPayment=0, 0, IF(AND($B1026&lt;&gt;0,ExtraPayment&lt;=$B1026),-ExtraPayment,-($F1026)-$B1026))</f>
        <v>0</v>
      </c>
      <c r="E1026" s="5">
        <f>IF($B1026 &lt;= 0, 0, -ROUND($B1026 * (InterestRate / PaymentsPerYear), 2))</f>
        <v>0</v>
      </c>
      <c r="F1026" s="5">
        <f>ROUND(IFERROR(IF(OR($B1026 &lt;=0, $B1026 = ExtraPayment),0,
MAX(-$B1026, -(-PMT(InterestRate/PaymentsPerYear,LoanTerm*PaymentsPerYear,LoanAmount) + $E1026))), 0), 2)</f>
        <v>0</v>
      </c>
      <c r="G1026" s="5">
        <f t="shared" si="62"/>
        <v>0</v>
      </c>
      <c r="H1026" s="5">
        <f t="shared" si="63"/>
        <v>0</v>
      </c>
    </row>
    <row r="1027" spans="1:8" x14ac:dyDescent="0.2">
      <c r="A1027" s="2">
        <v>1026</v>
      </c>
      <c r="B1027" s="5">
        <f t="shared" si="60"/>
        <v>0</v>
      </c>
      <c r="C1027" s="5">
        <f t="shared" si="61"/>
        <v>0</v>
      </c>
      <c r="D1027" s="5">
        <f>IF(ExtraPayment=0, 0, IF(AND($B1027&lt;&gt;0,ExtraPayment&lt;=$B1027),-ExtraPayment,-($F1027)-$B1027))</f>
        <v>0</v>
      </c>
      <c r="E1027" s="5">
        <f>IF($B1027 &lt;= 0, 0, -ROUND($B1027 * (InterestRate / PaymentsPerYear), 2))</f>
        <v>0</v>
      </c>
      <c r="F1027" s="5">
        <f>ROUND(IFERROR(IF(OR($B1027 &lt;=0, $B1027 = ExtraPayment),0,
MAX(-$B1027, -(-PMT(InterestRate/PaymentsPerYear,LoanTerm*PaymentsPerYear,LoanAmount) + $E1027))), 0), 2)</f>
        <v>0</v>
      </c>
      <c r="G1027" s="5">
        <f t="shared" si="62"/>
        <v>0</v>
      </c>
      <c r="H1027" s="5">
        <f t="shared" si="63"/>
        <v>0</v>
      </c>
    </row>
    <row r="1028" spans="1:8" x14ac:dyDescent="0.2">
      <c r="A1028" s="2">
        <v>1027</v>
      </c>
      <c r="B1028" s="5">
        <f t="shared" ref="B1028:B1091" si="64">ROUND(IF($H1027 &gt;= 0, MAX($H1027, $F1027), 0), 2)</f>
        <v>0</v>
      </c>
      <c r="C1028" s="5">
        <f t="shared" ref="C1028:C1091" si="65">IF($B1028 &lt;= 0, 0, $D1028+$E1028+$F1028)</f>
        <v>0</v>
      </c>
      <c r="D1028" s="5">
        <f>IF(ExtraPayment=0, 0, IF(AND($B1028&lt;&gt;0,ExtraPayment&lt;=$B1028),-ExtraPayment,-($F1028)-$B1028))</f>
        <v>0</v>
      </c>
      <c r="E1028" s="5">
        <f>IF($B1028 &lt;= 0, 0, -ROUND($B1028 * (InterestRate / PaymentsPerYear), 2))</f>
        <v>0</v>
      </c>
      <c r="F1028" s="5">
        <f>ROUND(IFERROR(IF(OR($B1028 &lt;=0, $B1028 = ExtraPayment),0,
MAX(-$B1028, -(-PMT(InterestRate/PaymentsPerYear,LoanTerm*PaymentsPerYear,LoanAmount) + $E1028))), 0), 2)</f>
        <v>0</v>
      </c>
      <c r="G1028" s="5">
        <f t="shared" ref="G1028:G1091" si="66">$D1028+$F1028</f>
        <v>0</v>
      </c>
      <c r="H1028" s="5">
        <f t="shared" ref="H1028:H1091" si="67">ROUND(IF($B1028 &lt;= 0, 0,MAX(0, $B1028 + $G1028)), 2)</f>
        <v>0</v>
      </c>
    </row>
    <row r="1029" spans="1:8" x14ac:dyDescent="0.2">
      <c r="A1029" s="2">
        <v>1028</v>
      </c>
      <c r="B1029" s="5">
        <f t="shared" si="64"/>
        <v>0</v>
      </c>
      <c r="C1029" s="5">
        <f t="shared" si="65"/>
        <v>0</v>
      </c>
      <c r="D1029" s="5">
        <f>IF(ExtraPayment=0, 0, IF(AND($B1029&lt;&gt;0,ExtraPayment&lt;=$B1029),-ExtraPayment,-($F1029)-$B1029))</f>
        <v>0</v>
      </c>
      <c r="E1029" s="5">
        <f>IF($B1029 &lt;= 0, 0, -ROUND($B1029 * (InterestRate / PaymentsPerYear), 2))</f>
        <v>0</v>
      </c>
      <c r="F1029" s="5">
        <f>ROUND(IFERROR(IF(OR($B1029 &lt;=0, $B1029 = ExtraPayment),0,
MAX(-$B1029, -(-PMT(InterestRate/PaymentsPerYear,LoanTerm*PaymentsPerYear,LoanAmount) + $E1029))), 0), 2)</f>
        <v>0</v>
      </c>
      <c r="G1029" s="5">
        <f t="shared" si="66"/>
        <v>0</v>
      </c>
      <c r="H1029" s="5">
        <f t="shared" si="67"/>
        <v>0</v>
      </c>
    </row>
    <row r="1030" spans="1:8" x14ac:dyDescent="0.2">
      <c r="A1030" s="2">
        <v>1029</v>
      </c>
      <c r="B1030" s="5">
        <f t="shared" si="64"/>
        <v>0</v>
      </c>
      <c r="C1030" s="5">
        <f t="shared" si="65"/>
        <v>0</v>
      </c>
      <c r="D1030" s="5">
        <f>IF(ExtraPayment=0, 0, IF(AND($B1030&lt;&gt;0,ExtraPayment&lt;=$B1030),-ExtraPayment,-($F1030)-$B1030))</f>
        <v>0</v>
      </c>
      <c r="E1030" s="5">
        <f>IF($B1030 &lt;= 0, 0, -ROUND($B1030 * (InterestRate / PaymentsPerYear), 2))</f>
        <v>0</v>
      </c>
      <c r="F1030" s="5">
        <f>ROUND(IFERROR(IF(OR($B1030 &lt;=0, $B1030 = ExtraPayment),0,
MAX(-$B1030, -(-PMT(InterestRate/PaymentsPerYear,LoanTerm*PaymentsPerYear,LoanAmount) + $E1030))), 0), 2)</f>
        <v>0</v>
      </c>
      <c r="G1030" s="5">
        <f t="shared" si="66"/>
        <v>0</v>
      </c>
      <c r="H1030" s="5">
        <f t="shared" si="67"/>
        <v>0</v>
      </c>
    </row>
    <row r="1031" spans="1:8" x14ac:dyDescent="0.2">
      <c r="A1031" s="2">
        <v>1030</v>
      </c>
      <c r="B1031" s="5">
        <f t="shared" si="64"/>
        <v>0</v>
      </c>
      <c r="C1031" s="5">
        <f t="shared" si="65"/>
        <v>0</v>
      </c>
      <c r="D1031" s="5">
        <f>IF(ExtraPayment=0, 0, IF(AND($B1031&lt;&gt;0,ExtraPayment&lt;=$B1031),-ExtraPayment,-($F1031)-$B1031))</f>
        <v>0</v>
      </c>
      <c r="E1031" s="5">
        <f>IF($B1031 &lt;= 0, 0, -ROUND($B1031 * (InterestRate / PaymentsPerYear), 2))</f>
        <v>0</v>
      </c>
      <c r="F1031" s="5">
        <f>ROUND(IFERROR(IF(OR($B1031 &lt;=0, $B1031 = ExtraPayment),0,
MAX(-$B1031, -(-PMT(InterestRate/PaymentsPerYear,LoanTerm*PaymentsPerYear,LoanAmount) + $E1031))), 0), 2)</f>
        <v>0</v>
      </c>
      <c r="G1031" s="5">
        <f t="shared" si="66"/>
        <v>0</v>
      </c>
      <c r="H1031" s="5">
        <f t="shared" si="67"/>
        <v>0</v>
      </c>
    </row>
    <row r="1032" spans="1:8" x14ac:dyDescent="0.2">
      <c r="A1032" s="2">
        <v>1031</v>
      </c>
      <c r="B1032" s="5">
        <f t="shared" si="64"/>
        <v>0</v>
      </c>
      <c r="C1032" s="5">
        <f t="shared" si="65"/>
        <v>0</v>
      </c>
      <c r="D1032" s="5">
        <f>IF(ExtraPayment=0, 0, IF(AND($B1032&lt;&gt;0,ExtraPayment&lt;=$B1032),-ExtraPayment,-($F1032)-$B1032))</f>
        <v>0</v>
      </c>
      <c r="E1032" s="5">
        <f>IF($B1032 &lt;= 0, 0, -ROUND($B1032 * (InterestRate / PaymentsPerYear), 2))</f>
        <v>0</v>
      </c>
      <c r="F1032" s="5">
        <f>ROUND(IFERROR(IF(OR($B1032 &lt;=0, $B1032 = ExtraPayment),0,
MAX(-$B1032, -(-PMT(InterestRate/PaymentsPerYear,LoanTerm*PaymentsPerYear,LoanAmount) + $E1032))), 0), 2)</f>
        <v>0</v>
      </c>
      <c r="G1032" s="5">
        <f t="shared" si="66"/>
        <v>0</v>
      </c>
      <c r="H1032" s="5">
        <f t="shared" si="67"/>
        <v>0</v>
      </c>
    </row>
    <row r="1033" spans="1:8" x14ac:dyDescent="0.2">
      <c r="A1033" s="2">
        <v>1032</v>
      </c>
      <c r="B1033" s="5">
        <f t="shared" si="64"/>
        <v>0</v>
      </c>
      <c r="C1033" s="5">
        <f t="shared" si="65"/>
        <v>0</v>
      </c>
      <c r="D1033" s="5">
        <f>IF(ExtraPayment=0, 0, IF(AND($B1033&lt;&gt;0,ExtraPayment&lt;=$B1033),-ExtraPayment,-($F1033)-$B1033))</f>
        <v>0</v>
      </c>
      <c r="E1033" s="5">
        <f>IF($B1033 &lt;= 0, 0, -ROUND($B1033 * (InterestRate / PaymentsPerYear), 2))</f>
        <v>0</v>
      </c>
      <c r="F1033" s="5">
        <f>ROUND(IFERROR(IF(OR($B1033 &lt;=0, $B1033 = ExtraPayment),0,
MAX(-$B1033, -(-PMT(InterestRate/PaymentsPerYear,LoanTerm*PaymentsPerYear,LoanAmount) + $E1033))), 0), 2)</f>
        <v>0</v>
      </c>
      <c r="G1033" s="5">
        <f t="shared" si="66"/>
        <v>0</v>
      </c>
      <c r="H1033" s="5">
        <f t="shared" si="67"/>
        <v>0</v>
      </c>
    </row>
    <row r="1034" spans="1:8" x14ac:dyDescent="0.2">
      <c r="A1034" s="2">
        <v>1033</v>
      </c>
      <c r="B1034" s="5">
        <f t="shared" si="64"/>
        <v>0</v>
      </c>
      <c r="C1034" s="5">
        <f t="shared" si="65"/>
        <v>0</v>
      </c>
      <c r="D1034" s="5">
        <f>IF(ExtraPayment=0, 0, IF(AND($B1034&lt;&gt;0,ExtraPayment&lt;=$B1034),-ExtraPayment,-($F1034)-$B1034))</f>
        <v>0</v>
      </c>
      <c r="E1034" s="5">
        <f>IF($B1034 &lt;= 0, 0, -ROUND($B1034 * (InterestRate / PaymentsPerYear), 2))</f>
        <v>0</v>
      </c>
      <c r="F1034" s="5">
        <f>ROUND(IFERROR(IF(OR($B1034 &lt;=0, $B1034 = ExtraPayment),0,
MAX(-$B1034, -(-PMT(InterestRate/PaymentsPerYear,LoanTerm*PaymentsPerYear,LoanAmount) + $E1034))), 0), 2)</f>
        <v>0</v>
      </c>
      <c r="G1034" s="5">
        <f t="shared" si="66"/>
        <v>0</v>
      </c>
      <c r="H1034" s="5">
        <f t="shared" si="67"/>
        <v>0</v>
      </c>
    </row>
    <row r="1035" spans="1:8" x14ac:dyDescent="0.2">
      <c r="A1035" s="2">
        <v>1034</v>
      </c>
      <c r="B1035" s="5">
        <f t="shared" si="64"/>
        <v>0</v>
      </c>
      <c r="C1035" s="5">
        <f t="shared" si="65"/>
        <v>0</v>
      </c>
      <c r="D1035" s="5">
        <f>IF(ExtraPayment=0, 0, IF(AND($B1035&lt;&gt;0,ExtraPayment&lt;=$B1035),-ExtraPayment,-($F1035)-$B1035))</f>
        <v>0</v>
      </c>
      <c r="E1035" s="5">
        <f>IF($B1035 &lt;= 0, 0, -ROUND($B1035 * (InterestRate / PaymentsPerYear), 2))</f>
        <v>0</v>
      </c>
      <c r="F1035" s="5">
        <f>ROUND(IFERROR(IF(OR($B1035 &lt;=0, $B1035 = ExtraPayment),0,
MAX(-$B1035, -(-PMT(InterestRate/PaymentsPerYear,LoanTerm*PaymentsPerYear,LoanAmount) + $E1035))), 0), 2)</f>
        <v>0</v>
      </c>
      <c r="G1035" s="5">
        <f t="shared" si="66"/>
        <v>0</v>
      </c>
      <c r="H1035" s="5">
        <f t="shared" si="67"/>
        <v>0</v>
      </c>
    </row>
    <row r="1036" spans="1:8" x14ac:dyDescent="0.2">
      <c r="A1036" s="2">
        <v>1035</v>
      </c>
      <c r="B1036" s="5">
        <f t="shared" si="64"/>
        <v>0</v>
      </c>
      <c r="C1036" s="5">
        <f t="shared" si="65"/>
        <v>0</v>
      </c>
      <c r="D1036" s="5">
        <f>IF(ExtraPayment=0, 0, IF(AND($B1036&lt;&gt;0,ExtraPayment&lt;=$B1036),-ExtraPayment,-($F1036)-$B1036))</f>
        <v>0</v>
      </c>
      <c r="E1036" s="5">
        <f>IF($B1036 &lt;= 0, 0, -ROUND($B1036 * (InterestRate / PaymentsPerYear), 2))</f>
        <v>0</v>
      </c>
      <c r="F1036" s="5">
        <f>ROUND(IFERROR(IF(OR($B1036 &lt;=0, $B1036 = ExtraPayment),0,
MAX(-$B1036, -(-PMT(InterestRate/PaymentsPerYear,LoanTerm*PaymentsPerYear,LoanAmount) + $E1036))), 0), 2)</f>
        <v>0</v>
      </c>
      <c r="G1036" s="5">
        <f t="shared" si="66"/>
        <v>0</v>
      </c>
      <c r="H1036" s="5">
        <f t="shared" si="67"/>
        <v>0</v>
      </c>
    </row>
    <row r="1037" spans="1:8" x14ac:dyDescent="0.2">
      <c r="A1037" s="2">
        <v>1036</v>
      </c>
      <c r="B1037" s="5">
        <f t="shared" si="64"/>
        <v>0</v>
      </c>
      <c r="C1037" s="5">
        <f t="shared" si="65"/>
        <v>0</v>
      </c>
      <c r="D1037" s="5">
        <f>IF(ExtraPayment=0, 0, IF(AND($B1037&lt;&gt;0,ExtraPayment&lt;=$B1037),-ExtraPayment,-($F1037)-$B1037))</f>
        <v>0</v>
      </c>
      <c r="E1037" s="5">
        <f>IF($B1037 &lt;= 0, 0, -ROUND($B1037 * (InterestRate / PaymentsPerYear), 2))</f>
        <v>0</v>
      </c>
      <c r="F1037" s="5">
        <f>ROUND(IFERROR(IF(OR($B1037 &lt;=0, $B1037 = ExtraPayment),0,
MAX(-$B1037, -(-PMT(InterestRate/PaymentsPerYear,LoanTerm*PaymentsPerYear,LoanAmount) + $E1037))), 0), 2)</f>
        <v>0</v>
      </c>
      <c r="G1037" s="5">
        <f t="shared" si="66"/>
        <v>0</v>
      </c>
      <c r="H1037" s="5">
        <f t="shared" si="67"/>
        <v>0</v>
      </c>
    </row>
    <row r="1038" spans="1:8" x14ac:dyDescent="0.2">
      <c r="A1038" s="2">
        <v>1037</v>
      </c>
      <c r="B1038" s="5">
        <f t="shared" si="64"/>
        <v>0</v>
      </c>
      <c r="C1038" s="5">
        <f t="shared" si="65"/>
        <v>0</v>
      </c>
      <c r="D1038" s="5">
        <f>IF(ExtraPayment=0, 0, IF(AND($B1038&lt;&gt;0,ExtraPayment&lt;=$B1038),-ExtraPayment,-($F1038)-$B1038))</f>
        <v>0</v>
      </c>
      <c r="E1038" s="5">
        <f>IF($B1038 &lt;= 0, 0, -ROUND($B1038 * (InterestRate / PaymentsPerYear), 2))</f>
        <v>0</v>
      </c>
      <c r="F1038" s="5">
        <f>ROUND(IFERROR(IF(OR($B1038 &lt;=0, $B1038 = ExtraPayment),0,
MAX(-$B1038, -(-PMT(InterestRate/PaymentsPerYear,LoanTerm*PaymentsPerYear,LoanAmount) + $E1038))), 0), 2)</f>
        <v>0</v>
      </c>
      <c r="G1038" s="5">
        <f t="shared" si="66"/>
        <v>0</v>
      </c>
      <c r="H1038" s="5">
        <f t="shared" si="67"/>
        <v>0</v>
      </c>
    </row>
    <row r="1039" spans="1:8" x14ac:dyDescent="0.2">
      <c r="A1039" s="2">
        <v>1038</v>
      </c>
      <c r="B1039" s="5">
        <f t="shared" si="64"/>
        <v>0</v>
      </c>
      <c r="C1039" s="5">
        <f t="shared" si="65"/>
        <v>0</v>
      </c>
      <c r="D1039" s="5">
        <f>IF(ExtraPayment=0, 0, IF(AND($B1039&lt;&gt;0,ExtraPayment&lt;=$B1039),-ExtraPayment,-($F1039)-$B1039))</f>
        <v>0</v>
      </c>
      <c r="E1039" s="5">
        <f>IF($B1039 &lt;= 0, 0, -ROUND($B1039 * (InterestRate / PaymentsPerYear), 2))</f>
        <v>0</v>
      </c>
      <c r="F1039" s="5">
        <f>ROUND(IFERROR(IF(OR($B1039 &lt;=0, $B1039 = ExtraPayment),0,
MAX(-$B1039, -(-PMT(InterestRate/PaymentsPerYear,LoanTerm*PaymentsPerYear,LoanAmount) + $E1039))), 0), 2)</f>
        <v>0</v>
      </c>
      <c r="G1039" s="5">
        <f t="shared" si="66"/>
        <v>0</v>
      </c>
      <c r="H1039" s="5">
        <f t="shared" si="67"/>
        <v>0</v>
      </c>
    </row>
    <row r="1040" spans="1:8" x14ac:dyDescent="0.2">
      <c r="A1040" s="2">
        <v>1039</v>
      </c>
      <c r="B1040" s="5">
        <f t="shared" si="64"/>
        <v>0</v>
      </c>
      <c r="C1040" s="5">
        <f t="shared" si="65"/>
        <v>0</v>
      </c>
      <c r="D1040" s="5">
        <f>IF(ExtraPayment=0, 0, IF(AND($B1040&lt;&gt;0,ExtraPayment&lt;=$B1040),-ExtraPayment,-($F1040)-$B1040))</f>
        <v>0</v>
      </c>
      <c r="E1040" s="5">
        <f>IF($B1040 &lt;= 0, 0, -ROUND($B1040 * (InterestRate / PaymentsPerYear), 2))</f>
        <v>0</v>
      </c>
      <c r="F1040" s="5">
        <f>ROUND(IFERROR(IF(OR($B1040 &lt;=0, $B1040 = ExtraPayment),0,
MAX(-$B1040, -(-PMT(InterestRate/PaymentsPerYear,LoanTerm*PaymentsPerYear,LoanAmount) + $E1040))), 0), 2)</f>
        <v>0</v>
      </c>
      <c r="G1040" s="5">
        <f t="shared" si="66"/>
        <v>0</v>
      </c>
      <c r="H1040" s="5">
        <f t="shared" si="67"/>
        <v>0</v>
      </c>
    </row>
    <row r="1041" spans="1:8" x14ac:dyDescent="0.2">
      <c r="A1041" s="2">
        <v>1040</v>
      </c>
      <c r="B1041" s="5">
        <f t="shared" si="64"/>
        <v>0</v>
      </c>
      <c r="C1041" s="5">
        <f t="shared" si="65"/>
        <v>0</v>
      </c>
      <c r="D1041" s="5">
        <f>IF(ExtraPayment=0, 0, IF(AND($B1041&lt;&gt;0,ExtraPayment&lt;=$B1041),-ExtraPayment,-($F1041)-$B1041))</f>
        <v>0</v>
      </c>
      <c r="E1041" s="5">
        <f>IF($B1041 &lt;= 0, 0, -ROUND($B1041 * (InterestRate / PaymentsPerYear), 2))</f>
        <v>0</v>
      </c>
      <c r="F1041" s="5">
        <f>ROUND(IFERROR(IF(OR($B1041 &lt;=0, $B1041 = ExtraPayment),0,
MAX(-$B1041, -(-PMT(InterestRate/PaymentsPerYear,LoanTerm*PaymentsPerYear,LoanAmount) + $E1041))), 0), 2)</f>
        <v>0</v>
      </c>
      <c r="G1041" s="5">
        <f t="shared" si="66"/>
        <v>0</v>
      </c>
      <c r="H1041" s="5">
        <f t="shared" si="67"/>
        <v>0</v>
      </c>
    </row>
    <row r="1042" spans="1:8" x14ac:dyDescent="0.2">
      <c r="A1042" s="2">
        <v>1041</v>
      </c>
      <c r="B1042" s="5">
        <f t="shared" si="64"/>
        <v>0</v>
      </c>
      <c r="C1042" s="5">
        <f t="shared" si="65"/>
        <v>0</v>
      </c>
      <c r="D1042" s="5">
        <f>IF(ExtraPayment=0, 0, IF(AND($B1042&lt;&gt;0,ExtraPayment&lt;=$B1042),-ExtraPayment,-($F1042)-$B1042))</f>
        <v>0</v>
      </c>
      <c r="E1042" s="5">
        <f>IF($B1042 &lt;= 0, 0, -ROUND($B1042 * (InterestRate / PaymentsPerYear), 2))</f>
        <v>0</v>
      </c>
      <c r="F1042" s="5">
        <f>ROUND(IFERROR(IF(OR($B1042 &lt;=0, $B1042 = ExtraPayment),0,
MAX(-$B1042, -(-PMT(InterestRate/PaymentsPerYear,LoanTerm*PaymentsPerYear,LoanAmount) + $E1042))), 0), 2)</f>
        <v>0</v>
      </c>
      <c r="G1042" s="5">
        <f t="shared" si="66"/>
        <v>0</v>
      </c>
      <c r="H1042" s="5">
        <f t="shared" si="67"/>
        <v>0</v>
      </c>
    </row>
    <row r="1043" spans="1:8" x14ac:dyDescent="0.2">
      <c r="A1043" s="2">
        <v>1042</v>
      </c>
      <c r="B1043" s="5">
        <f t="shared" si="64"/>
        <v>0</v>
      </c>
      <c r="C1043" s="5">
        <f t="shared" si="65"/>
        <v>0</v>
      </c>
      <c r="D1043" s="5">
        <f>IF(ExtraPayment=0, 0, IF(AND($B1043&lt;&gt;0,ExtraPayment&lt;=$B1043),-ExtraPayment,-($F1043)-$B1043))</f>
        <v>0</v>
      </c>
      <c r="E1043" s="5">
        <f>IF($B1043 &lt;= 0, 0, -ROUND($B1043 * (InterestRate / PaymentsPerYear), 2))</f>
        <v>0</v>
      </c>
      <c r="F1043" s="5">
        <f>ROUND(IFERROR(IF(OR($B1043 &lt;=0, $B1043 = ExtraPayment),0,
MAX(-$B1043, -(-PMT(InterestRate/PaymentsPerYear,LoanTerm*PaymentsPerYear,LoanAmount) + $E1043))), 0), 2)</f>
        <v>0</v>
      </c>
      <c r="G1043" s="5">
        <f t="shared" si="66"/>
        <v>0</v>
      </c>
      <c r="H1043" s="5">
        <f t="shared" si="67"/>
        <v>0</v>
      </c>
    </row>
    <row r="1044" spans="1:8" x14ac:dyDescent="0.2">
      <c r="A1044" s="2">
        <v>1043</v>
      </c>
      <c r="B1044" s="5">
        <f t="shared" si="64"/>
        <v>0</v>
      </c>
      <c r="C1044" s="5">
        <f t="shared" si="65"/>
        <v>0</v>
      </c>
      <c r="D1044" s="5">
        <f>IF(ExtraPayment=0, 0, IF(AND($B1044&lt;&gt;0,ExtraPayment&lt;=$B1044),-ExtraPayment,-($F1044)-$B1044))</f>
        <v>0</v>
      </c>
      <c r="E1044" s="5">
        <f>IF($B1044 &lt;= 0, 0, -ROUND($B1044 * (InterestRate / PaymentsPerYear), 2))</f>
        <v>0</v>
      </c>
      <c r="F1044" s="5">
        <f>ROUND(IFERROR(IF(OR($B1044 &lt;=0, $B1044 = ExtraPayment),0,
MAX(-$B1044, -(-PMT(InterestRate/PaymentsPerYear,LoanTerm*PaymentsPerYear,LoanAmount) + $E1044))), 0), 2)</f>
        <v>0</v>
      </c>
      <c r="G1044" s="5">
        <f t="shared" si="66"/>
        <v>0</v>
      </c>
      <c r="H1044" s="5">
        <f t="shared" si="67"/>
        <v>0</v>
      </c>
    </row>
    <row r="1045" spans="1:8" x14ac:dyDescent="0.2">
      <c r="A1045" s="2">
        <v>1044</v>
      </c>
      <c r="B1045" s="5">
        <f t="shared" si="64"/>
        <v>0</v>
      </c>
      <c r="C1045" s="5">
        <f t="shared" si="65"/>
        <v>0</v>
      </c>
      <c r="D1045" s="5">
        <f>IF(ExtraPayment=0, 0, IF(AND($B1045&lt;&gt;0,ExtraPayment&lt;=$B1045),-ExtraPayment,-($F1045)-$B1045))</f>
        <v>0</v>
      </c>
      <c r="E1045" s="5">
        <f>IF($B1045 &lt;= 0, 0, -ROUND($B1045 * (InterestRate / PaymentsPerYear), 2))</f>
        <v>0</v>
      </c>
      <c r="F1045" s="5">
        <f>ROUND(IFERROR(IF(OR($B1045 &lt;=0, $B1045 = ExtraPayment),0,
MAX(-$B1045, -(-PMT(InterestRate/PaymentsPerYear,LoanTerm*PaymentsPerYear,LoanAmount) + $E1045))), 0), 2)</f>
        <v>0</v>
      </c>
      <c r="G1045" s="5">
        <f t="shared" si="66"/>
        <v>0</v>
      </c>
      <c r="H1045" s="5">
        <f t="shared" si="67"/>
        <v>0</v>
      </c>
    </row>
    <row r="1046" spans="1:8" x14ac:dyDescent="0.2">
      <c r="A1046" s="2">
        <v>1045</v>
      </c>
      <c r="B1046" s="5">
        <f t="shared" si="64"/>
        <v>0</v>
      </c>
      <c r="C1046" s="5">
        <f t="shared" si="65"/>
        <v>0</v>
      </c>
      <c r="D1046" s="5">
        <f>IF(ExtraPayment=0, 0, IF(AND($B1046&lt;&gt;0,ExtraPayment&lt;=$B1046),-ExtraPayment,-($F1046)-$B1046))</f>
        <v>0</v>
      </c>
      <c r="E1046" s="5">
        <f>IF($B1046 &lt;= 0, 0, -ROUND($B1046 * (InterestRate / PaymentsPerYear), 2))</f>
        <v>0</v>
      </c>
      <c r="F1046" s="5">
        <f>ROUND(IFERROR(IF(OR($B1046 &lt;=0, $B1046 = ExtraPayment),0,
MAX(-$B1046, -(-PMT(InterestRate/PaymentsPerYear,LoanTerm*PaymentsPerYear,LoanAmount) + $E1046))), 0), 2)</f>
        <v>0</v>
      </c>
      <c r="G1046" s="5">
        <f t="shared" si="66"/>
        <v>0</v>
      </c>
      <c r="H1046" s="5">
        <f t="shared" si="67"/>
        <v>0</v>
      </c>
    </row>
    <row r="1047" spans="1:8" x14ac:dyDescent="0.2">
      <c r="A1047" s="2">
        <v>1046</v>
      </c>
      <c r="B1047" s="5">
        <f t="shared" si="64"/>
        <v>0</v>
      </c>
      <c r="C1047" s="5">
        <f t="shared" si="65"/>
        <v>0</v>
      </c>
      <c r="D1047" s="5">
        <f>IF(ExtraPayment=0, 0, IF(AND($B1047&lt;&gt;0,ExtraPayment&lt;=$B1047),-ExtraPayment,-($F1047)-$B1047))</f>
        <v>0</v>
      </c>
      <c r="E1047" s="5">
        <f>IF($B1047 &lt;= 0, 0, -ROUND($B1047 * (InterestRate / PaymentsPerYear), 2))</f>
        <v>0</v>
      </c>
      <c r="F1047" s="5">
        <f>ROUND(IFERROR(IF(OR($B1047 &lt;=0, $B1047 = ExtraPayment),0,
MAX(-$B1047, -(-PMT(InterestRate/PaymentsPerYear,LoanTerm*PaymentsPerYear,LoanAmount) + $E1047))), 0), 2)</f>
        <v>0</v>
      </c>
      <c r="G1047" s="5">
        <f t="shared" si="66"/>
        <v>0</v>
      </c>
      <c r="H1047" s="5">
        <f t="shared" si="67"/>
        <v>0</v>
      </c>
    </row>
    <row r="1048" spans="1:8" x14ac:dyDescent="0.2">
      <c r="A1048" s="2">
        <v>1047</v>
      </c>
      <c r="B1048" s="5">
        <f t="shared" si="64"/>
        <v>0</v>
      </c>
      <c r="C1048" s="5">
        <f t="shared" si="65"/>
        <v>0</v>
      </c>
      <c r="D1048" s="5">
        <f>IF(ExtraPayment=0, 0, IF(AND($B1048&lt;&gt;0,ExtraPayment&lt;=$B1048),-ExtraPayment,-($F1048)-$B1048))</f>
        <v>0</v>
      </c>
      <c r="E1048" s="5">
        <f>IF($B1048 &lt;= 0, 0, -ROUND($B1048 * (InterestRate / PaymentsPerYear), 2))</f>
        <v>0</v>
      </c>
      <c r="F1048" s="5">
        <f>ROUND(IFERROR(IF(OR($B1048 &lt;=0, $B1048 = ExtraPayment),0,
MAX(-$B1048, -(-PMT(InterestRate/PaymentsPerYear,LoanTerm*PaymentsPerYear,LoanAmount) + $E1048))), 0), 2)</f>
        <v>0</v>
      </c>
      <c r="G1048" s="5">
        <f t="shared" si="66"/>
        <v>0</v>
      </c>
      <c r="H1048" s="5">
        <f t="shared" si="67"/>
        <v>0</v>
      </c>
    </row>
    <row r="1049" spans="1:8" x14ac:dyDescent="0.2">
      <c r="A1049" s="2">
        <v>1048</v>
      </c>
      <c r="B1049" s="5">
        <f t="shared" si="64"/>
        <v>0</v>
      </c>
      <c r="C1049" s="5">
        <f t="shared" si="65"/>
        <v>0</v>
      </c>
      <c r="D1049" s="5">
        <f>IF(ExtraPayment=0, 0, IF(AND($B1049&lt;&gt;0,ExtraPayment&lt;=$B1049),-ExtraPayment,-($F1049)-$B1049))</f>
        <v>0</v>
      </c>
      <c r="E1049" s="5">
        <f>IF($B1049 &lt;= 0, 0, -ROUND($B1049 * (InterestRate / PaymentsPerYear), 2))</f>
        <v>0</v>
      </c>
      <c r="F1049" s="5">
        <f>ROUND(IFERROR(IF(OR($B1049 &lt;=0, $B1049 = ExtraPayment),0,
MAX(-$B1049, -(-PMT(InterestRate/PaymentsPerYear,LoanTerm*PaymentsPerYear,LoanAmount) + $E1049))), 0), 2)</f>
        <v>0</v>
      </c>
      <c r="G1049" s="5">
        <f t="shared" si="66"/>
        <v>0</v>
      </c>
      <c r="H1049" s="5">
        <f t="shared" si="67"/>
        <v>0</v>
      </c>
    </row>
    <row r="1050" spans="1:8" x14ac:dyDescent="0.2">
      <c r="A1050" s="2">
        <v>1049</v>
      </c>
      <c r="B1050" s="5">
        <f t="shared" si="64"/>
        <v>0</v>
      </c>
      <c r="C1050" s="5">
        <f t="shared" si="65"/>
        <v>0</v>
      </c>
      <c r="D1050" s="5">
        <f>IF(ExtraPayment=0, 0, IF(AND($B1050&lt;&gt;0,ExtraPayment&lt;=$B1050),-ExtraPayment,-($F1050)-$B1050))</f>
        <v>0</v>
      </c>
      <c r="E1050" s="5">
        <f>IF($B1050 &lt;= 0, 0, -ROUND($B1050 * (InterestRate / PaymentsPerYear), 2))</f>
        <v>0</v>
      </c>
      <c r="F1050" s="5">
        <f>ROUND(IFERROR(IF(OR($B1050 &lt;=0, $B1050 = ExtraPayment),0,
MAX(-$B1050, -(-PMT(InterestRate/PaymentsPerYear,LoanTerm*PaymentsPerYear,LoanAmount) + $E1050))), 0), 2)</f>
        <v>0</v>
      </c>
      <c r="G1050" s="5">
        <f t="shared" si="66"/>
        <v>0</v>
      </c>
      <c r="H1050" s="5">
        <f t="shared" si="67"/>
        <v>0</v>
      </c>
    </row>
    <row r="1051" spans="1:8" x14ac:dyDescent="0.2">
      <c r="A1051" s="2">
        <v>1050</v>
      </c>
      <c r="B1051" s="5">
        <f t="shared" si="64"/>
        <v>0</v>
      </c>
      <c r="C1051" s="5">
        <f t="shared" si="65"/>
        <v>0</v>
      </c>
      <c r="D1051" s="5">
        <f>IF(ExtraPayment=0, 0, IF(AND($B1051&lt;&gt;0,ExtraPayment&lt;=$B1051),-ExtraPayment,-($F1051)-$B1051))</f>
        <v>0</v>
      </c>
      <c r="E1051" s="5">
        <f>IF($B1051 &lt;= 0, 0, -ROUND($B1051 * (InterestRate / PaymentsPerYear), 2))</f>
        <v>0</v>
      </c>
      <c r="F1051" s="5">
        <f>ROUND(IFERROR(IF(OR($B1051 &lt;=0, $B1051 = ExtraPayment),0,
MAX(-$B1051, -(-PMT(InterestRate/PaymentsPerYear,LoanTerm*PaymentsPerYear,LoanAmount) + $E1051))), 0), 2)</f>
        <v>0</v>
      </c>
      <c r="G1051" s="5">
        <f t="shared" si="66"/>
        <v>0</v>
      </c>
      <c r="H1051" s="5">
        <f t="shared" si="67"/>
        <v>0</v>
      </c>
    </row>
    <row r="1052" spans="1:8" x14ac:dyDescent="0.2">
      <c r="A1052" s="2">
        <v>1051</v>
      </c>
      <c r="B1052" s="5">
        <f t="shared" si="64"/>
        <v>0</v>
      </c>
      <c r="C1052" s="5">
        <f t="shared" si="65"/>
        <v>0</v>
      </c>
      <c r="D1052" s="5">
        <f>IF(ExtraPayment=0, 0, IF(AND($B1052&lt;&gt;0,ExtraPayment&lt;=$B1052),-ExtraPayment,-($F1052)-$B1052))</f>
        <v>0</v>
      </c>
      <c r="E1052" s="5">
        <f>IF($B1052 &lt;= 0, 0, -ROUND($B1052 * (InterestRate / PaymentsPerYear), 2))</f>
        <v>0</v>
      </c>
      <c r="F1052" s="5">
        <f>ROUND(IFERROR(IF(OR($B1052 &lt;=0, $B1052 = ExtraPayment),0,
MAX(-$B1052, -(-PMT(InterestRate/PaymentsPerYear,LoanTerm*PaymentsPerYear,LoanAmount) + $E1052))), 0), 2)</f>
        <v>0</v>
      </c>
      <c r="G1052" s="5">
        <f t="shared" si="66"/>
        <v>0</v>
      </c>
      <c r="H1052" s="5">
        <f t="shared" si="67"/>
        <v>0</v>
      </c>
    </row>
    <row r="1053" spans="1:8" x14ac:dyDescent="0.2">
      <c r="A1053" s="2">
        <v>1052</v>
      </c>
      <c r="B1053" s="5">
        <f t="shared" si="64"/>
        <v>0</v>
      </c>
      <c r="C1053" s="5">
        <f t="shared" si="65"/>
        <v>0</v>
      </c>
      <c r="D1053" s="5">
        <f>IF(ExtraPayment=0, 0, IF(AND($B1053&lt;&gt;0,ExtraPayment&lt;=$B1053),-ExtraPayment,-($F1053)-$B1053))</f>
        <v>0</v>
      </c>
      <c r="E1053" s="5">
        <f>IF($B1053 &lt;= 0, 0, -ROUND($B1053 * (InterestRate / PaymentsPerYear), 2))</f>
        <v>0</v>
      </c>
      <c r="F1053" s="5">
        <f>ROUND(IFERROR(IF(OR($B1053 &lt;=0, $B1053 = ExtraPayment),0,
MAX(-$B1053, -(-PMT(InterestRate/PaymentsPerYear,LoanTerm*PaymentsPerYear,LoanAmount) + $E1053))), 0), 2)</f>
        <v>0</v>
      </c>
      <c r="G1053" s="5">
        <f t="shared" si="66"/>
        <v>0</v>
      </c>
      <c r="H1053" s="5">
        <f t="shared" si="67"/>
        <v>0</v>
      </c>
    </row>
    <row r="1054" spans="1:8" x14ac:dyDescent="0.2">
      <c r="A1054" s="2">
        <v>1053</v>
      </c>
      <c r="B1054" s="5">
        <f t="shared" si="64"/>
        <v>0</v>
      </c>
      <c r="C1054" s="5">
        <f t="shared" si="65"/>
        <v>0</v>
      </c>
      <c r="D1054" s="5">
        <f>IF(ExtraPayment=0, 0, IF(AND($B1054&lt;&gt;0,ExtraPayment&lt;=$B1054),-ExtraPayment,-($F1054)-$B1054))</f>
        <v>0</v>
      </c>
      <c r="E1054" s="5">
        <f>IF($B1054 &lt;= 0, 0, -ROUND($B1054 * (InterestRate / PaymentsPerYear), 2))</f>
        <v>0</v>
      </c>
      <c r="F1054" s="5">
        <f>ROUND(IFERROR(IF(OR($B1054 &lt;=0, $B1054 = ExtraPayment),0,
MAX(-$B1054, -(-PMT(InterestRate/PaymentsPerYear,LoanTerm*PaymentsPerYear,LoanAmount) + $E1054))), 0), 2)</f>
        <v>0</v>
      </c>
      <c r="G1054" s="5">
        <f t="shared" si="66"/>
        <v>0</v>
      </c>
      <c r="H1054" s="5">
        <f t="shared" si="67"/>
        <v>0</v>
      </c>
    </row>
    <row r="1055" spans="1:8" x14ac:dyDescent="0.2">
      <c r="A1055" s="2">
        <v>1054</v>
      </c>
      <c r="B1055" s="5">
        <f t="shared" si="64"/>
        <v>0</v>
      </c>
      <c r="C1055" s="5">
        <f t="shared" si="65"/>
        <v>0</v>
      </c>
      <c r="D1055" s="5">
        <f>IF(ExtraPayment=0, 0, IF(AND($B1055&lt;&gt;0,ExtraPayment&lt;=$B1055),-ExtraPayment,-($F1055)-$B1055))</f>
        <v>0</v>
      </c>
      <c r="E1055" s="5">
        <f>IF($B1055 &lt;= 0, 0, -ROUND($B1055 * (InterestRate / PaymentsPerYear), 2))</f>
        <v>0</v>
      </c>
      <c r="F1055" s="5">
        <f>ROUND(IFERROR(IF(OR($B1055 &lt;=0, $B1055 = ExtraPayment),0,
MAX(-$B1055, -(-PMT(InterestRate/PaymentsPerYear,LoanTerm*PaymentsPerYear,LoanAmount) + $E1055))), 0), 2)</f>
        <v>0</v>
      </c>
      <c r="G1055" s="5">
        <f t="shared" si="66"/>
        <v>0</v>
      </c>
      <c r="H1055" s="5">
        <f t="shared" si="67"/>
        <v>0</v>
      </c>
    </row>
    <row r="1056" spans="1:8" x14ac:dyDescent="0.2">
      <c r="A1056" s="2">
        <v>1055</v>
      </c>
      <c r="B1056" s="5">
        <f t="shared" si="64"/>
        <v>0</v>
      </c>
      <c r="C1056" s="5">
        <f t="shared" si="65"/>
        <v>0</v>
      </c>
      <c r="D1056" s="5">
        <f>IF(ExtraPayment=0, 0, IF(AND($B1056&lt;&gt;0,ExtraPayment&lt;=$B1056),-ExtraPayment,-($F1056)-$B1056))</f>
        <v>0</v>
      </c>
      <c r="E1056" s="5">
        <f>IF($B1056 &lt;= 0, 0, -ROUND($B1056 * (InterestRate / PaymentsPerYear), 2))</f>
        <v>0</v>
      </c>
      <c r="F1056" s="5">
        <f>ROUND(IFERROR(IF(OR($B1056 &lt;=0, $B1056 = ExtraPayment),0,
MAX(-$B1056, -(-PMT(InterestRate/PaymentsPerYear,LoanTerm*PaymentsPerYear,LoanAmount) + $E1056))), 0), 2)</f>
        <v>0</v>
      </c>
      <c r="G1056" s="5">
        <f t="shared" si="66"/>
        <v>0</v>
      </c>
      <c r="H1056" s="5">
        <f t="shared" si="67"/>
        <v>0</v>
      </c>
    </row>
    <row r="1057" spans="1:8" x14ac:dyDescent="0.2">
      <c r="A1057" s="2">
        <v>1056</v>
      </c>
      <c r="B1057" s="5">
        <f t="shared" si="64"/>
        <v>0</v>
      </c>
      <c r="C1057" s="5">
        <f t="shared" si="65"/>
        <v>0</v>
      </c>
      <c r="D1057" s="5">
        <f>IF(ExtraPayment=0, 0, IF(AND($B1057&lt;&gt;0,ExtraPayment&lt;=$B1057),-ExtraPayment,-($F1057)-$B1057))</f>
        <v>0</v>
      </c>
      <c r="E1057" s="5">
        <f>IF($B1057 &lt;= 0, 0, -ROUND($B1057 * (InterestRate / PaymentsPerYear), 2))</f>
        <v>0</v>
      </c>
      <c r="F1057" s="5">
        <f>ROUND(IFERROR(IF(OR($B1057 &lt;=0, $B1057 = ExtraPayment),0,
MAX(-$B1057, -(-PMT(InterestRate/PaymentsPerYear,LoanTerm*PaymentsPerYear,LoanAmount) + $E1057))), 0), 2)</f>
        <v>0</v>
      </c>
      <c r="G1057" s="5">
        <f t="shared" si="66"/>
        <v>0</v>
      </c>
      <c r="H1057" s="5">
        <f t="shared" si="67"/>
        <v>0</v>
      </c>
    </row>
    <row r="1058" spans="1:8" x14ac:dyDescent="0.2">
      <c r="A1058" s="2">
        <v>1057</v>
      </c>
      <c r="B1058" s="5">
        <f t="shared" si="64"/>
        <v>0</v>
      </c>
      <c r="C1058" s="5">
        <f t="shared" si="65"/>
        <v>0</v>
      </c>
      <c r="D1058" s="5">
        <f>IF(ExtraPayment=0, 0, IF(AND($B1058&lt;&gt;0,ExtraPayment&lt;=$B1058),-ExtraPayment,-($F1058)-$B1058))</f>
        <v>0</v>
      </c>
      <c r="E1058" s="5">
        <f>IF($B1058 &lt;= 0, 0, -ROUND($B1058 * (InterestRate / PaymentsPerYear), 2))</f>
        <v>0</v>
      </c>
      <c r="F1058" s="5">
        <f>ROUND(IFERROR(IF(OR($B1058 &lt;=0, $B1058 = ExtraPayment),0,
MAX(-$B1058, -(-PMT(InterestRate/PaymentsPerYear,LoanTerm*PaymentsPerYear,LoanAmount) + $E1058))), 0), 2)</f>
        <v>0</v>
      </c>
      <c r="G1058" s="5">
        <f t="shared" si="66"/>
        <v>0</v>
      </c>
      <c r="H1058" s="5">
        <f t="shared" si="67"/>
        <v>0</v>
      </c>
    </row>
    <row r="1059" spans="1:8" x14ac:dyDescent="0.2">
      <c r="A1059" s="2">
        <v>1058</v>
      </c>
      <c r="B1059" s="5">
        <f t="shared" si="64"/>
        <v>0</v>
      </c>
      <c r="C1059" s="5">
        <f t="shared" si="65"/>
        <v>0</v>
      </c>
      <c r="D1059" s="5">
        <f>IF(ExtraPayment=0, 0, IF(AND($B1059&lt;&gt;0,ExtraPayment&lt;=$B1059),-ExtraPayment,-($F1059)-$B1059))</f>
        <v>0</v>
      </c>
      <c r="E1059" s="5">
        <f>IF($B1059 &lt;= 0, 0, -ROUND($B1059 * (InterestRate / PaymentsPerYear), 2))</f>
        <v>0</v>
      </c>
      <c r="F1059" s="5">
        <f>ROUND(IFERROR(IF(OR($B1059 &lt;=0, $B1059 = ExtraPayment),0,
MAX(-$B1059, -(-PMT(InterestRate/PaymentsPerYear,LoanTerm*PaymentsPerYear,LoanAmount) + $E1059))), 0), 2)</f>
        <v>0</v>
      </c>
      <c r="G1059" s="5">
        <f t="shared" si="66"/>
        <v>0</v>
      </c>
      <c r="H1059" s="5">
        <f t="shared" si="67"/>
        <v>0</v>
      </c>
    </row>
    <row r="1060" spans="1:8" x14ac:dyDescent="0.2">
      <c r="A1060" s="2">
        <v>1059</v>
      </c>
      <c r="B1060" s="5">
        <f t="shared" si="64"/>
        <v>0</v>
      </c>
      <c r="C1060" s="5">
        <f t="shared" si="65"/>
        <v>0</v>
      </c>
      <c r="D1060" s="5">
        <f>IF(ExtraPayment=0, 0, IF(AND($B1060&lt;&gt;0,ExtraPayment&lt;=$B1060),-ExtraPayment,-($F1060)-$B1060))</f>
        <v>0</v>
      </c>
      <c r="E1060" s="5">
        <f>IF($B1060 &lt;= 0, 0, -ROUND($B1060 * (InterestRate / PaymentsPerYear), 2))</f>
        <v>0</v>
      </c>
      <c r="F1060" s="5">
        <f>ROUND(IFERROR(IF(OR($B1060 &lt;=0, $B1060 = ExtraPayment),0,
MAX(-$B1060, -(-PMT(InterestRate/PaymentsPerYear,LoanTerm*PaymentsPerYear,LoanAmount) + $E1060))), 0), 2)</f>
        <v>0</v>
      </c>
      <c r="G1060" s="5">
        <f t="shared" si="66"/>
        <v>0</v>
      </c>
      <c r="H1060" s="5">
        <f t="shared" si="67"/>
        <v>0</v>
      </c>
    </row>
    <row r="1061" spans="1:8" x14ac:dyDescent="0.2">
      <c r="A1061" s="2">
        <v>1060</v>
      </c>
      <c r="B1061" s="5">
        <f t="shared" si="64"/>
        <v>0</v>
      </c>
      <c r="C1061" s="5">
        <f t="shared" si="65"/>
        <v>0</v>
      </c>
      <c r="D1061" s="5">
        <f>IF(ExtraPayment=0, 0, IF(AND($B1061&lt;&gt;0,ExtraPayment&lt;=$B1061),-ExtraPayment,-($F1061)-$B1061))</f>
        <v>0</v>
      </c>
      <c r="E1061" s="5">
        <f>IF($B1061 &lt;= 0, 0, -ROUND($B1061 * (InterestRate / PaymentsPerYear), 2))</f>
        <v>0</v>
      </c>
      <c r="F1061" s="5">
        <f>ROUND(IFERROR(IF(OR($B1061 &lt;=0, $B1061 = ExtraPayment),0,
MAX(-$B1061, -(-PMT(InterestRate/PaymentsPerYear,LoanTerm*PaymentsPerYear,LoanAmount) + $E1061))), 0), 2)</f>
        <v>0</v>
      </c>
      <c r="G1061" s="5">
        <f t="shared" si="66"/>
        <v>0</v>
      </c>
      <c r="H1061" s="5">
        <f t="shared" si="67"/>
        <v>0</v>
      </c>
    </row>
    <row r="1062" spans="1:8" x14ac:dyDescent="0.2">
      <c r="A1062" s="2">
        <v>1061</v>
      </c>
      <c r="B1062" s="5">
        <f t="shared" si="64"/>
        <v>0</v>
      </c>
      <c r="C1062" s="5">
        <f t="shared" si="65"/>
        <v>0</v>
      </c>
      <c r="D1062" s="5">
        <f>IF(ExtraPayment=0, 0, IF(AND($B1062&lt;&gt;0,ExtraPayment&lt;=$B1062),-ExtraPayment,-($F1062)-$B1062))</f>
        <v>0</v>
      </c>
      <c r="E1062" s="5">
        <f>IF($B1062 &lt;= 0, 0, -ROUND($B1062 * (InterestRate / PaymentsPerYear), 2))</f>
        <v>0</v>
      </c>
      <c r="F1062" s="5">
        <f>ROUND(IFERROR(IF(OR($B1062 &lt;=0, $B1062 = ExtraPayment),0,
MAX(-$B1062, -(-PMT(InterestRate/PaymentsPerYear,LoanTerm*PaymentsPerYear,LoanAmount) + $E1062))), 0), 2)</f>
        <v>0</v>
      </c>
      <c r="G1062" s="5">
        <f t="shared" si="66"/>
        <v>0</v>
      </c>
      <c r="H1062" s="5">
        <f t="shared" si="67"/>
        <v>0</v>
      </c>
    </row>
    <row r="1063" spans="1:8" x14ac:dyDescent="0.2">
      <c r="A1063" s="2">
        <v>1062</v>
      </c>
      <c r="B1063" s="5">
        <f t="shared" si="64"/>
        <v>0</v>
      </c>
      <c r="C1063" s="5">
        <f t="shared" si="65"/>
        <v>0</v>
      </c>
      <c r="D1063" s="5">
        <f>IF(ExtraPayment=0, 0, IF(AND($B1063&lt;&gt;0,ExtraPayment&lt;=$B1063),-ExtraPayment,-($F1063)-$B1063))</f>
        <v>0</v>
      </c>
      <c r="E1063" s="5">
        <f>IF($B1063 &lt;= 0, 0, -ROUND($B1063 * (InterestRate / PaymentsPerYear), 2))</f>
        <v>0</v>
      </c>
      <c r="F1063" s="5">
        <f>ROUND(IFERROR(IF(OR($B1063 &lt;=0, $B1063 = ExtraPayment),0,
MAX(-$B1063, -(-PMT(InterestRate/PaymentsPerYear,LoanTerm*PaymentsPerYear,LoanAmount) + $E1063))), 0), 2)</f>
        <v>0</v>
      </c>
      <c r="G1063" s="5">
        <f t="shared" si="66"/>
        <v>0</v>
      </c>
      <c r="H1063" s="5">
        <f t="shared" si="67"/>
        <v>0</v>
      </c>
    </row>
    <row r="1064" spans="1:8" x14ac:dyDescent="0.2">
      <c r="A1064" s="2">
        <v>1063</v>
      </c>
      <c r="B1064" s="5">
        <f t="shared" si="64"/>
        <v>0</v>
      </c>
      <c r="C1064" s="5">
        <f t="shared" si="65"/>
        <v>0</v>
      </c>
      <c r="D1064" s="5">
        <f>IF(ExtraPayment=0, 0, IF(AND($B1064&lt;&gt;0,ExtraPayment&lt;=$B1064),-ExtraPayment,-($F1064)-$B1064))</f>
        <v>0</v>
      </c>
      <c r="E1064" s="5">
        <f>IF($B1064 &lt;= 0, 0, -ROUND($B1064 * (InterestRate / PaymentsPerYear), 2))</f>
        <v>0</v>
      </c>
      <c r="F1064" s="5">
        <f>ROUND(IFERROR(IF(OR($B1064 &lt;=0, $B1064 = ExtraPayment),0,
MAX(-$B1064, -(-PMT(InterestRate/PaymentsPerYear,LoanTerm*PaymentsPerYear,LoanAmount) + $E1064))), 0), 2)</f>
        <v>0</v>
      </c>
      <c r="G1064" s="5">
        <f t="shared" si="66"/>
        <v>0</v>
      </c>
      <c r="H1064" s="5">
        <f t="shared" si="67"/>
        <v>0</v>
      </c>
    </row>
    <row r="1065" spans="1:8" x14ac:dyDescent="0.2">
      <c r="A1065" s="2">
        <v>1064</v>
      </c>
      <c r="B1065" s="5">
        <f t="shared" si="64"/>
        <v>0</v>
      </c>
      <c r="C1065" s="5">
        <f t="shared" si="65"/>
        <v>0</v>
      </c>
      <c r="D1065" s="5">
        <f>IF(ExtraPayment=0, 0, IF(AND($B1065&lt;&gt;0,ExtraPayment&lt;=$B1065),-ExtraPayment,-($F1065)-$B1065))</f>
        <v>0</v>
      </c>
      <c r="E1065" s="5">
        <f>IF($B1065 &lt;= 0, 0, -ROUND($B1065 * (InterestRate / PaymentsPerYear), 2))</f>
        <v>0</v>
      </c>
      <c r="F1065" s="5">
        <f>ROUND(IFERROR(IF(OR($B1065 &lt;=0, $B1065 = ExtraPayment),0,
MAX(-$B1065, -(-PMT(InterestRate/PaymentsPerYear,LoanTerm*PaymentsPerYear,LoanAmount) + $E1065))), 0), 2)</f>
        <v>0</v>
      </c>
      <c r="G1065" s="5">
        <f t="shared" si="66"/>
        <v>0</v>
      </c>
      <c r="H1065" s="5">
        <f t="shared" si="67"/>
        <v>0</v>
      </c>
    </row>
    <row r="1066" spans="1:8" x14ac:dyDescent="0.2">
      <c r="A1066" s="2">
        <v>1065</v>
      </c>
      <c r="B1066" s="5">
        <f t="shared" si="64"/>
        <v>0</v>
      </c>
      <c r="C1066" s="5">
        <f t="shared" si="65"/>
        <v>0</v>
      </c>
      <c r="D1066" s="5">
        <f>IF(ExtraPayment=0, 0, IF(AND($B1066&lt;&gt;0,ExtraPayment&lt;=$B1066),-ExtraPayment,-($F1066)-$B1066))</f>
        <v>0</v>
      </c>
      <c r="E1066" s="5">
        <f>IF($B1066 &lt;= 0, 0, -ROUND($B1066 * (InterestRate / PaymentsPerYear), 2))</f>
        <v>0</v>
      </c>
      <c r="F1066" s="5">
        <f>ROUND(IFERROR(IF(OR($B1066 &lt;=0, $B1066 = ExtraPayment),0,
MAX(-$B1066, -(-PMT(InterestRate/PaymentsPerYear,LoanTerm*PaymentsPerYear,LoanAmount) + $E1066))), 0), 2)</f>
        <v>0</v>
      </c>
      <c r="G1066" s="5">
        <f t="shared" si="66"/>
        <v>0</v>
      </c>
      <c r="H1066" s="5">
        <f t="shared" si="67"/>
        <v>0</v>
      </c>
    </row>
    <row r="1067" spans="1:8" x14ac:dyDescent="0.2">
      <c r="A1067" s="2">
        <v>1066</v>
      </c>
      <c r="B1067" s="5">
        <f t="shared" si="64"/>
        <v>0</v>
      </c>
      <c r="C1067" s="5">
        <f t="shared" si="65"/>
        <v>0</v>
      </c>
      <c r="D1067" s="5">
        <f>IF(ExtraPayment=0, 0, IF(AND($B1067&lt;&gt;0,ExtraPayment&lt;=$B1067),-ExtraPayment,-($F1067)-$B1067))</f>
        <v>0</v>
      </c>
      <c r="E1067" s="5">
        <f>IF($B1067 &lt;= 0, 0, -ROUND($B1067 * (InterestRate / PaymentsPerYear), 2))</f>
        <v>0</v>
      </c>
      <c r="F1067" s="5">
        <f>ROUND(IFERROR(IF(OR($B1067 &lt;=0, $B1067 = ExtraPayment),0,
MAX(-$B1067, -(-PMT(InterestRate/PaymentsPerYear,LoanTerm*PaymentsPerYear,LoanAmount) + $E1067))), 0), 2)</f>
        <v>0</v>
      </c>
      <c r="G1067" s="5">
        <f t="shared" si="66"/>
        <v>0</v>
      </c>
      <c r="H1067" s="5">
        <f t="shared" si="67"/>
        <v>0</v>
      </c>
    </row>
    <row r="1068" spans="1:8" x14ac:dyDescent="0.2">
      <c r="A1068" s="2">
        <v>1067</v>
      </c>
      <c r="B1068" s="5">
        <f t="shared" si="64"/>
        <v>0</v>
      </c>
      <c r="C1068" s="5">
        <f t="shared" si="65"/>
        <v>0</v>
      </c>
      <c r="D1068" s="5">
        <f>IF(ExtraPayment=0, 0, IF(AND($B1068&lt;&gt;0,ExtraPayment&lt;=$B1068),-ExtraPayment,-($F1068)-$B1068))</f>
        <v>0</v>
      </c>
      <c r="E1068" s="5">
        <f>IF($B1068 &lt;= 0, 0, -ROUND($B1068 * (InterestRate / PaymentsPerYear), 2))</f>
        <v>0</v>
      </c>
      <c r="F1068" s="5">
        <f>ROUND(IFERROR(IF(OR($B1068 &lt;=0, $B1068 = ExtraPayment),0,
MAX(-$B1068, -(-PMT(InterestRate/PaymentsPerYear,LoanTerm*PaymentsPerYear,LoanAmount) + $E1068))), 0), 2)</f>
        <v>0</v>
      </c>
      <c r="G1068" s="5">
        <f t="shared" si="66"/>
        <v>0</v>
      </c>
      <c r="H1068" s="5">
        <f t="shared" si="67"/>
        <v>0</v>
      </c>
    </row>
    <row r="1069" spans="1:8" x14ac:dyDescent="0.2">
      <c r="A1069" s="2">
        <v>1068</v>
      </c>
      <c r="B1069" s="5">
        <f t="shared" si="64"/>
        <v>0</v>
      </c>
      <c r="C1069" s="5">
        <f t="shared" si="65"/>
        <v>0</v>
      </c>
      <c r="D1069" s="5">
        <f>IF(ExtraPayment=0, 0, IF(AND($B1069&lt;&gt;0,ExtraPayment&lt;=$B1069),-ExtraPayment,-($F1069)-$B1069))</f>
        <v>0</v>
      </c>
      <c r="E1069" s="5">
        <f>IF($B1069 &lt;= 0, 0, -ROUND($B1069 * (InterestRate / PaymentsPerYear), 2))</f>
        <v>0</v>
      </c>
      <c r="F1069" s="5">
        <f>ROUND(IFERROR(IF(OR($B1069 &lt;=0, $B1069 = ExtraPayment),0,
MAX(-$B1069, -(-PMT(InterestRate/PaymentsPerYear,LoanTerm*PaymentsPerYear,LoanAmount) + $E1069))), 0), 2)</f>
        <v>0</v>
      </c>
      <c r="G1069" s="5">
        <f t="shared" si="66"/>
        <v>0</v>
      </c>
      <c r="H1069" s="5">
        <f t="shared" si="67"/>
        <v>0</v>
      </c>
    </row>
    <row r="1070" spans="1:8" x14ac:dyDescent="0.2">
      <c r="A1070" s="2">
        <v>1069</v>
      </c>
      <c r="B1070" s="5">
        <f t="shared" si="64"/>
        <v>0</v>
      </c>
      <c r="C1070" s="5">
        <f t="shared" si="65"/>
        <v>0</v>
      </c>
      <c r="D1070" s="5">
        <f>IF(ExtraPayment=0, 0, IF(AND($B1070&lt;&gt;0,ExtraPayment&lt;=$B1070),-ExtraPayment,-($F1070)-$B1070))</f>
        <v>0</v>
      </c>
      <c r="E1070" s="5">
        <f>IF($B1070 &lt;= 0, 0, -ROUND($B1070 * (InterestRate / PaymentsPerYear), 2))</f>
        <v>0</v>
      </c>
      <c r="F1070" s="5">
        <f>ROUND(IFERROR(IF(OR($B1070 &lt;=0, $B1070 = ExtraPayment),0,
MAX(-$B1070, -(-PMT(InterestRate/PaymentsPerYear,LoanTerm*PaymentsPerYear,LoanAmount) + $E1070))), 0), 2)</f>
        <v>0</v>
      </c>
      <c r="G1070" s="5">
        <f t="shared" si="66"/>
        <v>0</v>
      </c>
      <c r="H1070" s="5">
        <f t="shared" si="67"/>
        <v>0</v>
      </c>
    </row>
    <row r="1071" spans="1:8" x14ac:dyDescent="0.2">
      <c r="A1071" s="2">
        <v>1070</v>
      </c>
      <c r="B1071" s="5">
        <f t="shared" si="64"/>
        <v>0</v>
      </c>
      <c r="C1071" s="5">
        <f t="shared" si="65"/>
        <v>0</v>
      </c>
      <c r="D1071" s="5">
        <f>IF(ExtraPayment=0, 0, IF(AND($B1071&lt;&gt;0,ExtraPayment&lt;=$B1071),-ExtraPayment,-($F1071)-$B1071))</f>
        <v>0</v>
      </c>
      <c r="E1071" s="5">
        <f>IF($B1071 &lt;= 0, 0, -ROUND($B1071 * (InterestRate / PaymentsPerYear), 2))</f>
        <v>0</v>
      </c>
      <c r="F1071" s="5">
        <f>ROUND(IFERROR(IF(OR($B1071 &lt;=0, $B1071 = ExtraPayment),0,
MAX(-$B1071, -(-PMT(InterestRate/PaymentsPerYear,LoanTerm*PaymentsPerYear,LoanAmount) + $E1071))), 0), 2)</f>
        <v>0</v>
      </c>
      <c r="G1071" s="5">
        <f t="shared" si="66"/>
        <v>0</v>
      </c>
      <c r="H1071" s="5">
        <f t="shared" si="67"/>
        <v>0</v>
      </c>
    </row>
    <row r="1072" spans="1:8" x14ac:dyDescent="0.2">
      <c r="A1072" s="2">
        <v>1071</v>
      </c>
      <c r="B1072" s="5">
        <f t="shared" si="64"/>
        <v>0</v>
      </c>
      <c r="C1072" s="5">
        <f t="shared" si="65"/>
        <v>0</v>
      </c>
      <c r="D1072" s="5">
        <f>IF(ExtraPayment=0, 0, IF(AND($B1072&lt;&gt;0,ExtraPayment&lt;=$B1072),-ExtraPayment,-($F1072)-$B1072))</f>
        <v>0</v>
      </c>
      <c r="E1072" s="5">
        <f>IF($B1072 &lt;= 0, 0, -ROUND($B1072 * (InterestRate / PaymentsPerYear), 2))</f>
        <v>0</v>
      </c>
      <c r="F1072" s="5">
        <f>ROUND(IFERROR(IF(OR($B1072 &lt;=0, $B1072 = ExtraPayment),0,
MAX(-$B1072, -(-PMT(InterestRate/PaymentsPerYear,LoanTerm*PaymentsPerYear,LoanAmount) + $E1072))), 0), 2)</f>
        <v>0</v>
      </c>
      <c r="G1072" s="5">
        <f t="shared" si="66"/>
        <v>0</v>
      </c>
      <c r="H1072" s="5">
        <f t="shared" si="67"/>
        <v>0</v>
      </c>
    </row>
    <row r="1073" spans="1:8" x14ac:dyDescent="0.2">
      <c r="A1073" s="2">
        <v>1072</v>
      </c>
      <c r="B1073" s="5">
        <f t="shared" si="64"/>
        <v>0</v>
      </c>
      <c r="C1073" s="5">
        <f t="shared" si="65"/>
        <v>0</v>
      </c>
      <c r="D1073" s="5">
        <f>IF(ExtraPayment=0, 0, IF(AND($B1073&lt;&gt;0,ExtraPayment&lt;=$B1073),-ExtraPayment,-($F1073)-$B1073))</f>
        <v>0</v>
      </c>
      <c r="E1073" s="5">
        <f>IF($B1073 &lt;= 0, 0, -ROUND($B1073 * (InterestRate / PaymentsPerYear), 2))</f>
        <v>0</v>
      </c>
      <c r="F1073" s="5">
        <f>ROUND(IFERROR(IF(OR($B1073 &lt;=0, $B1073 = ExtraPayment),0,
MAX(-$B1073, -(-PMT(InterestRate/PaymentsPerYear,LoanTerm*PaymentsPerYear,LoanAmount) + $E1073))), 0), 2)</f>
        <v>0</v>
      </c>
      <c r="G1073" s="5">
        <f t="shared" si="66"/>
        <v>0</v>
      </c>
      <c r="H1073" s="5">
        <f t="shared" si="67"/>
        <v>0</v>
      </c>
    </row>
    <row r="1074" spans="1:8" x14ac:dyDescent="0.2">
      <c r="A1074" s="2">
        <v>1073</v>
      </c>
      <c r="B1074" s="5">
        <f t="shared" si="64"/>
        <v>0</v>
      </c>
      <c r="C1074" s="5">
        <f t="shared" si="65"/>
        <v>0</v>
      </c>
      <c r="D1074" s="5">
        <f>IF(ExtraPayment=0, 0, IF(AND($B1074&lt;&gt;0,ExtraPayment&lt;=$B1074),-ExtraPayment,-($F1074)-$B1074))</f>
        <v>0</v>
      </c>
      <c r="E1074" s="5">
        <f>IF($B1074 &lt;= 0, 0, -ROUND($B1074 * (InterestRate / PaymentsPerYear), 2))</f>
        <v>0</v>
      </c>
      <c r="F1074" s="5">
        <f>ROUND(IFERROR(IF(OR($B1074 &lt;=0, $B1074 = ExtraPayment),0,
MAX(-$B1074, -(-PMT(InterestRate/PaymentsPerYear,LoanTerm*PaymentsPerYear,LoanAmount) + $E1074))), 0), 2)</f>
        <v>0</v>
      </c>
      <c r="G1074" s="5">
        <f t="shared" si="66"/>
        <v>0</v>
      </c>
      <c r="H1074" s="5">
        <f t="shared" si="67"/>
        <v>0</v>
      </c>
    </row>
    <row r="1075" spans="1:8" x14ac:dyDescent="0.2">
      <c r="A1075" s="2">
        <v>1074</v>
      </c>
      <c r="B1075" s="5">
        <f t="shared" si="64"/>
        <v>0</v>
      </c>
      <c r="C1075" s="5">
        <f t="shared" si="65"/>
        <v>0</v>
      </c>
      <c r="D1075" s="5">
        <f>IF(ExtraPayment=0, 0, IF(AND($B1075&lt;&gt;0,ExtraPayment&lt;=$B1075),-ExtraPayment,-($F1075)-$B1075))</f>
        <v>0</v>
      </c>
      <c r="E1075" s="5">
        <f>IF($B1075 &lt;= 0, 0, -ROUND($B1075 * (InterestRate / PaymentsPerYear), 2))</f>
        <v>0</v>
      </c>
      <c r="F1075" s="5">
        <f>ROUND(IFERROR(IF(OR($B1075 &lt;=0, $B1075 = ExtraPayment),0,
MAX(-$B1075, -(-PMT(InterestRate/PaymentsPerYear,LoanTerm*PaymentsPerYear,LoanAmount) + $E1075))), 0), 2)</f>
        <v>0</v>
      </c>
      <c r="G1075" s="5">
        <f t="shared" si="66"/>
        <v>0</v>
      </c>
      <c r="H1075" s="5">
        <f t="shared" si="67"/>
        <v>0</v>
      </c>
    </row>
    <row r="1076" spans="1:8" x14ac:dyDescent="0.2">
      <c r="A1076" s="2">
        <v>1075</v>
      </c>
      <c r="B1076" s="5">
        <f t="shared" si="64"/>
        <v>0</v>
      </c>
      <c r="C1076" s="5">
        <f t="shared" si="65"/>
        <v>0</v>
      </c>
      <c r="D1076" s="5">
        <f>IF(ExtraPayment=0, 0, IF(AND($B1076&lt;&gt;0,ExtraPayment&lt;=$B1076),-ExtraPayment,-($F1076)-$B1076))</f>
        <v>0</v>
      </c>
      <c r="E1076" s="5">
        <f>IF($B1076 &lt;= 0, 0, -ROUND($B1076 * (InterestRate / PaymentsPerYear), 2))</f>
        <v>0</v>
      </c>
      <c r="F1076" s="5">
        <f>ROUND(IFERROR(IF(OR($B1076 &lt;=0, $B1076 = ExtraPayment),0,
MAX(-$B1076, -(-PMT(InterestRate/PaymentsPerYear,LoanTerm*PaymentsPerYear,LoanAmount) + $E1076))), 0), 2)</f>
        <v>0</v>
      </c>
      <c r="G1076" s="5">
        <f t="shared" si="66"/>
        <v>0</v>
      </c>
      <c r="H1076" s="5">
        <f t="shared" si="67"/>
        <v>0</v>
      </c>
    </row>
    <row r="1077" spans="1:8" x14ac:dyDescent="0.2">
      <c r="A1077" s="2">
        <v>1076</v>
      </c>
      <c r="B1077" s="5">
        <f t="shared" si="64"/>
        <v>0</v>
      </c>
      <c r="C1077" s="5">
        <f t="shared" si="65"/>
        <v>0</v>
      </c>
      <c r="D1077" s="5">
        <f>IF(ExtraPayment=0, 0, IF(AND($B1077&lt;&gt;0,ExtraPayment&lt;=$B1077),-ExtraPayment,-($F1077)-$B1077))</f>
        <v>0</v>
      </c>
      <c r="E1077" s="5">
        <f>IF($B1077 &lt;= 0, 0, -ROUND($B1077 * (InterestRate / PaymentsPerYear), 2))</f>
        <v>0</v>
      </c>
      <c r="F1077" s="5">
        <f>ROUND(IFERROR(IF(OR($B1077 &lt;=0, $B1077 = ExtraPayment),0,
MAX(-$B1077, -(-PMT(InterestRate/PaymentsPerYear,LoanTerm*PaymentsPerYear,LoanAmount) + $E1077))), 0), 2)</f>
        <v>0</v>
      </c>
      <c r="G1077" s="5">
        <f t="shared" si="66"/>
        <v>0</v>
      </c>
      <c r="H1077" s="5">
        <f t="shared" si="67"/>
        <v>0</v>
      </c>
    </row>
    <row r="1078" spans="1:8" x14ac:dyDescent="0.2">
      <c r="A1078" s="2">
        <v>1077</v>
      </c>
      <c r="B1078" s="5">
        <f t="shared" si="64"/>
        <v>0</v>
      </c>
      <c r="C1078" s="5">
        <f t="shared" si="65"/>
        <v>0</v>
      </c>
      <c r="D1078" s="5">
        <f>IF(ExtraPayment=0, 0, IF(AND($B1078&lt;&gt;0,ExtraPayment&lt;=$B1078),-ExtraPayment,-($F1078)-$B1078))</f>
        <v>0</v>
      </c>
      <c r="E1078" s="5">
        <f>IF($B1078 &lt;= 0, 0, -ROUND($B1078 * (InterestRate / PaymentsPerYear), 2))</f>
        <v>0</v>
      </c>
      <c r="F1078" s="5">
        <f>ROUND(IFERROR(IF(OR($B1078 &lt;=0, $B1078 = ExtraPayment),0,
MAX(-$B1078, -(-PMT(InterestRate/PaymentsPerYear,LoanTerm*PaymentsPerYear,LoanAmount) + $E1078))), 0), 2)</f>
        <v>0</v>
      </c>
      <c r="G1078" s="5">
        <f t="shared" si="66"/>
        <v>0</v>
      </c>
      <c r="H1078" s="5">
        <f t="shared" si="67"/>
        <v>0</v>
      </c>
    </row>
    <row r="1079" spans="1:8" x14ac:dyDescent="0.2">
      <c r="A1079" s="2">
        <v>1078</v>
      </c>
      <c r="B1079" s="5">
        <f t="shared" si="64"/>
        <v>0</v>
      </c>
      <c r="C1079" s="5">
        <f t="shared" si="65"/>
        <v>0</v>
      </c>
      <c r="D1079" s="5">
        <f>IF(ExtraPayment=0, 0, IF(AND($B1079&lt;&gt;0,ExtraPayment&lt;=$B1079),-ExtraPayment,-($F1079)-$B1079))</f>
        <v>0</v>
      </c>
      <c r="E1079" s="5">
        <f>IF($B1079 &lt;= 0, 0, -ROUND($B1079 * (InterestRate / PaymentsPerYear), 2))</f>
        <v>0</v>
      </c>
      <c r="F1079" s="5">
        <f>ROUND(IFERROR(IF(OR($B1079 &lt;=0, $B1079 = ExtraPayment),0,
MAX(-$B1079, -(-PMT(InterestRate/PaymentsPerYear,LoanTerm*PaymentsPerYear,LoanAmount) + $E1079))), 0), 2)</f>
        <v>0</v>
      </c>
      <c r="G1079" s="5">
        <f t="shared" si="66"/>
        <v>0</v>
      </c>
      <c r="H1079" s="5">
        <f t="shared" si="67"/>
        <v>0</v>
      </c>
    </row>
    <row r="1080" spans="1:8" x14ac:dyDescent="0.2">
      <c r="A1080" s="2">
        <v>1079</v>
      </c>
      <c r="B1080" s="5">
        <f t="shared" si="64"/>
        <v>0</v>
      </c>
      <c r="C1080" s="5">
        <f t="shared" si="65"/>
        <v>0</v>
      </c>
      <c r="D1080" s="5">
        <f>IF(ExtraPayment=0, 0, IF(AND($B1080&lt;&gt;0,ExtraPayment&lt;=$B1080),-ExtraPayment,-($F1080)-$B1080))</f>
        <v>0</v>
      </c>
      <c r="E1080" s="5">
        <f>IF($B1080 &lt;= 0, 0, -ROUND($B1080 * (InterestRate / PaymentsPerYear), 2))</f>
        <v>0</v>
      </c>
      <c r="F1080" s="5">
        <f>ROUND(IFERROR(IF(OR($B1080 &lt;=0, $B1080 = ExtraPayment),0,
MAX(-$B1080, -(-PMT(InterestRate/PaymentsPerYear,LoanTerm*PaymentsPerYear,LoanAmount) + $E1080))), 0), 2)</f>
        <v>0</v>
      </c>
      <c r="G1080" s="5">
        <f t="shared" si="66"/>
        <v>0</v>
      </c>
      <c r="H1080" s="5">
        <f t="shared" si="67"/>
        <v>0</v>
      </c>
    </row>
    <row r="1081" spans="1:8" x14ac:dyDescent="0.2">
      <c r="A1081" s="2">
        <v>1080</v>
      </c>
      <c r="B1081" s="5">
        <f t="shared" si="64"/>
        <v>0</v>
      </c>
      <c r="C1081" s="5">
        <f t="shared" si="65"/>
        <v>0</v>
      </c>
      <c r="D1081" s="5">
        <f>IF(ExtraPayment=0, 0, IF(AND($B1081&lt;&gt;0,ExtraPayment&lt;=$B1081),-ExtraPayment,-($F1081)-$B1081))</f>
        <v>0</v>
      </c>
      <c r="E1081" s="5">
        <f>IF($B1081 &lt;= 0, 0, -ROUND($B1081 * (InterestRate / PaymentsPerYear), 2))</f>
        <v>0</v>
      </c>
      <c r="F1081" s="5">
        <f>ROUND(IFERROR(IF(OR($B1081 &lt;=0, $B1081 = ExtraPayment),0,
MAX(-$B1081, -(-PMT(InterestRate/PaymentsPerYear,LoanTerm*PaymentsPerYear,LoanAmount) + $E1081))), 0), 2)</f>
        <v>0</v>
      </c>
      <c r="G1081" s="5">
        <f t="shared" si="66"/>
        <v>0</v>
      </c>
      <c r="H1081" s="5">
        <f t="shared" si="67"/>
        <v>0</v>
      </c>
    </row>
    <row r="1082" spans="1:8" x14ac:dyDescent="0.2">
      <c r="A1082" s="2">
        <v>1081</v>
      </c>
      <c r="B1082" s="5">
        <f t="shared" si="64"/>
        <v>0</v>
      </c>
      <c r="C1082" s="5">
        <f t="shared" si="65"/>
        <v>0</v>
      </c>
      <c r="D1082" s="5">
        <f>IF(ExtraPayment=0, 0, IF(AND($B1082&lt;&gt;0,ExtraPayment&lt;=$B1082),-ExtraPayment,-($F1082)-$B1082))</f>
        <v>0</v>
      </c>
      <c r="E1082" s="5">
        <f>IF($B1082 &lt;= 0, 0, -ROUND($B1082 * (InterestRate / PaymentsPerYear), 2))</f>
        <v>0</v>
      </c>
      <c r="F1082" s="5">
        <f>ROUND(IFERROR(IF(OR($B1082 &lt;=0, $B1082 = ExtraPayment),0,
MAX(-$B1082, -(-PMT(InterestRate/PaymentsPerYear,LoanTerm*PaymentsPerYear,LoanAmount) + $E1082))), 0), 2)</f>
        <v>0</v>
      </c>
      <c r="G1082" s="5">
        <f t="shared" si="66"/>
        <v>0</v>
      </c>
      <c r="H1082" s="5">
        <f t="shared" si="67"/>
        <v>0</v>
      </c>
    </row>
    <row r="1083" spans="1:8" x14ac:dyDescent="0.2">
      <c r="A1083" s="2">
        <v>1082</v>
      </c>
      <c r="B1083" s="5">
        <f t="shared" si="64"/>
        <v>0</v>
      </c>
      <c r="C1083" s="5">
        <f t="shared" si="65"/>
        <v>0</v>
      </c>
      <c r="D1083" s="5">
        <f>IF(ExtraPayment=0, 0, IF(AND($B1083&lt;&gt;0,ExtraPayment&lt;=$B1083),-ExtraPayment,-($F1083)-$B1083))</f>
        <v>0</v>
      </c>
      <c r="E1083" s="5">
        <f>IF($B1083 &lt;= 0, 0, -ROUND($B1083 * (InterestRate / PaymentsPerYear), 2))</f>
        <v>0</v>
      </c>
      <c r="F1083" s="5">
        <f>ROUND(IFERROR(IF(OR($B1083 &lt;=0, $B1083 = ExtraPayment),0,
MAX(-$B1083, -(-PMT(InterestRate/PaymentsPerYear,LoanTerm*PaymentsPerYear,LoanAmount) + $E1083))), 0), 2)</f>
        <v>0</v>
      </c>
      <c r="G1083" s="5">
        <f t="shared" si="66"/>
        <v>0</v>
      </c>
      <c r="H1083" s="5">
        <f t="shared" si="67"/>
        <v>0</v>
      </c>
    </row>
    <row r="1084" spans="1:8" x14ac:dyDescent="0.2">
      <c r="A1084" s="2">
        <v>1083</v>
      </c>
      <c r="B1084" s="5">
        <f t="shared" si="64"/>
        <v>0</v>
      </c>
      <c r="C1084" s="5">
        <f t="shared" si="65"/>
        <v>0</v>
      </c>
      <c r="D1084" s="5">
        <f>IF(ExtraPayment=0, 0, IF(AND($B1084&lt;&gt;0,ExtraPayment&lt;=$B1084),-ExtraPayment,-($F1084)-$B1084))</f>
        <v>0</v>
      </c>
      <c r="E1084" s="5">
        <f>IF($B1084 &lt;= 0, 0, -ROUND($B1084 * (InterestRate / PaymentsPerYear), 2))</f>
        <v>0</v>
      </c>
      <c r="F1084" s="5">
        <f>ROUND(IFERROR(IF(OR($B1084 &lt;=0, $B1084 = ExtraPayment),0,
MAX(-$B1084, -(-PMT(InterestRate/PaymentsPerYear,LoanTerm*PaymentsPerYear,LoanAmount) + $E1084))), 0), 2)</f>
        <v>0</v>
      </c>
      <c r="G1084" s="5">
        <f t="shared" si="66"/>
        <v>0</v>
      </c>
      <c r="H1084" s="5">
        <f t="shared" si="67"/>
        <v>0</v>
      </c>
    </row>
    <row r="1085" spans="1:8" x14ac:dyDescent="0.2">
      <c r="A1085" s="2">
        <v>1084</v>
      </c>
      <c r="B1085" s="5">
        <f t="shared" si="64"/>
        <v>0</v>
      </c>
      <c r="C1085" s="5">
        <f t="shared" si="65"/>
        <v>0</v>
      </c>
      <c r="D1085" s="5">
        <f>IF(ExtraPayment=0, 0, IF(AND($B1085&lt;&gt;0,ExtraPayment&lt;=$B1085),-ExtraPayment,-($F1085)-$B1085))</f>
        <v>0</v>
      </c>
      <c r="E1085" s="5">
        <f>IF($B1085 &lt;= 0, 0, -ROUND($B1085 * (InterestRate / PaymentsPerYear), 2))</f>
        <v>0</v>
      </c>
      <c r="F1085" s="5">
        <f>ROUND(IFERROR(IF(OR($B1085 &lt;=0, $B1085 = ExtraPayment),0,
MAX(-$B1085, -(-PMT(InterestRate/PaymentsPerYear,LoanTerm*PaymentsPerYear,LoanAmount) + $E1085))), 0), 2)</f>
        <v>0</v>
      </c>
      <c r="G1085" s="5">
        <f t="shared" si="66"/>
        <v>0</v>
      </c>
      <c r="H1085" s="5">
        <f t="shared" si="67"/>
        <v>0</v>
      </c>
    </row>
    <row r="1086" spans="1:8" x14ac:dyDescent="0.2">
      <c r="A1086" s="2">
        <v>1085</v>
      </c>
      <c r="B1086" s="5">
        <f t="shared" si="64"/>
        <v>0</v>
      </c>
      <c r="C1086" s="5">
        <f t="shared" si="65"/>
        <v>0</v>
      </c>
      <c r="D1086" s="5">
        <f>IF(ExtraPayment=0, 0, IF(AND($B1086&lt;&gt;0,ExtraPayment&lt;=$B1086),-ExtraPayment,-($F1086)-$B1086))</f>
        <v>0</v>
      </c>
      <c r="E1086" s="5">
        <f>IF($B1086 &lt;= 0, 0, -ROUND($B1086 * (InterestRate / PaymentsPerYear), 2))</f>
        <v>0</v>
      </c>
      <c r="F1086" s="5">
        <f>ROUND(IFERROR(IF(OR($B1086 &lt;=0, $B1086 = ExtraPayment),0,
MAX(-$B1086, -(-PMT(InterestRate/PaymentsPerYear,LoanTerm*PaymentsPerYear,LoanAmount) + $E1086))), 0), 2)</f>
        <v>0</v>
      </c>
      <c r="G1086" s="5">
        <f t="shared" si="66"/>
        <v>0</v>
      </c>
      <c r="H1086" s="5">
        <f t="shared" si="67"/>
        <v>0</v>
      </c>
    </row>
    <row r="1087" spans="1:8" x14ac:dyDescent="0.2">
      <c r="A1087" s="2">
        <v>1086</v>
      </c>
      <c r="B1087" s="5">
        <f t="shared" si="64"/>
        <v>0</v>
      </c>
      <c r="C1087" s="5">
        <f t="shared" si="65"/>
        <v>0</v>
      </c>
      <c r="D1087" s="5">
        <f>IF(ExtraPayment=0, 0, IF(AND($B1087&lt;&gt;0,ExtraPayment&lt;=$B1087),-ExtraPayment,-($F1087)-$B1087))</f>
        <v>0</v>
      </c>
      <c r="E1087" s="5">
        <f>IF($B1087 &lt;= 0, 0, -ROUND($B1087 * (InterestRate / PaymentsPerYear), 2))</f>
        <v>0</v>
      </c>
      <c r="F1087" s="5">
        <f>ROUND(IFERROR(IF(OR($B1087 &lt;=0, $B1087 = ExtraPayment),0,
MAX(-$B1087, -(-PMT(InterestRate/PaymentsPerYear,LoanTerm*PaymentsPerYear,LoanAmount) + $E1087))), 0), 2)</f>
        <v>0</v>
      </c>
      <c r="G1087" s="5">
        <f t="shared" si="66"/>
        <v>0</v>
      </c>
      <c r="H1087" s="5">
        <f t="shared" si="67"/>
        <v>0</v>
      </c>
    </row>
    <row r="1088" spans="1:8" x14ac:dyDescent="0.2">
      <c r="A1088" s="2">
        <v>1087</v>
      </c>
      <c r="B1088" s="5">
        <f t="shared" si="64"/>
        <v>0</v>
      </c>
      <c r="C1088" s="5">
        <f t="shared" si="65"/>
        <v>0</v>
      </c>
      <c r="D1088" s="5">
        <f>IF(ExtraPayment=0, 0, IF(AND($B1088&lt;&gt;0,ExtraPayment&lt;=$B1088),-ExtraPayment,-($F1088)-$B1088))</f>
        <v>0</v>
      </c>
      <c r="E1088" s="5">
        <f>IF($B1088 &lt;= 0, 0, -ROUND($B1088 * (InterestRate / PaymentsPerYear), 2))</f>
        <v>0</v>
      </c>
      <c r="F1088" s="5">
        <f>ROUND(IFERROR(IF(OR($B1088 &lt;=0, $B1088 = ExtraPayment),0,
MAX(-$B1088, -(-PMT(InterestRate/PaymentsPerYear,LoanTerm*PaymentsPerYear,LoanAmount) + $E1088))), 0), 2)</f>
        <v>0</v>
      </c>
      <c r="G1088" s="5">
        <f t="shared" si="66"/>
        <v>0</v>
      </c>
      <c r="H1088" s="5">
        <f t="shared" si="67"/>
        <v>0</v>
      </c>
    </row>
    <row r="1089" spans="1:8" x14ac:dyDescent="0.2">
      <c r="A1089" s="2">
        <v>1088</v>
      </c>
      <c r="B1089" s="5">
        <f t="shared" si="64"/>
        <v>0</v>
      </c>
      <c r="C1089" s="5">
        <f t="shared" si="65"/>
        <v>0</v>
      </c>
      <c r="D1089" s="5">
        <f>IF(ExtraPayment=0, 0, IF(AND($B1089&lt;&gt;0,ExtraPayment&lt;=$B1089),-ExtraPayment,-($F1089)-$B1089))</f>
        <v>0</v>
      </c>
      <c r="E1089" s="5">
        <f>IF($B1089 &lt;= 0, 0, -ROUND($B1089 * (InterestRate / PaymentsPerYear), 2))</f>
        <v>0</v>
      </c>
      <c r="F1089" s="5">
        <f>ROUND(IFERROR(IF(OR($B1089 &lt;=0, $B1089 = ExtraPayment),0,
MAX(-$B1089, -(-PMT(InterestRate/PaymentsPerYear,LoanTerm*PaymentsPerYear,LoanAmount) + $E1089))), 0), 2)</f>
        <v>0</v>
      </c>
      <c r="G1089" s="5">
        <f t="shared" si="66"/>
        <v>0</v>
      </c>
      <c r="H1089" s="5">
        <f t="shared" si="67"/>
        <v>0</v>
      </c>
    </row>
    <row r="1090" spans="1:8" x14ac:dyDescent="0.2">
      <c r="A1090" s="2">
        <v>1089</v>
      </c>
      <c r="B1090" s="5">
        <f t="shared" si="64"/>
        <v>0</v>
      </c>
      <c r="C1090" s="5">
        <f t="shared" si="65"/>
        <v>0</v>
      </c>
      <c r="D1090" s="5">
        <f>IF(ExtraPayment=0, 0, IF(AND($B1090&lt;&gt;0,ExtraPayment&lt;=$B1090),-ExtraPayment,-($F1090)-$B1090))</f>
        <v>0</v>
      </c>
      <c r="E1090" s="5">
        <f>IF($B1090 &lt;= 0, 0, -ROUND($B1090 * (InterestRate / PaymentsPerYear), 2))</f>
        <v>0</v>
      </c>
      <c r="F1090" s="5">
        <f>ROUND(IFERROR(IF(OR($B1090 &lt;=0, $B1090 = ExtraPayment),0,
MAX(-$B1090, -(-PMT(InterestRate/PaymentsPerYear,LoanTerm*PaymentsPerYear,LoanAmount) + $E1090))), 0), 2)</f>
        <v>0</v>
      </c>
      <c r="G1090" s="5">
        <f t="shared" si="66"/>
        <v>0</v>
      </c>
      <c r="H1090" s="5">
        <f t="shared" si="67"/>
        <v>0</v>
      </c>
    </row>
    <row r="1091" spans="1:8" x14ac:dyDescent="0.2">
      <c r="A1091" s="2">
        <v>1090</v>
      </c>
      <c r="B1091" s="5">
        <f t="shared" si="64"/>
        <v>0</v>
      </c>
      <c r="C1091" s="5">
        <f t="shared" si="65"/>
        <v>0</v>
      </c>
      <c r="D1091" s="5">
        <f>IF(ExtraPayment=0, 0, IF(AND($B1091&lt;&gt;0,ExtraPayment&lt;=$B1091),-ExtraPayment,-($F1091)-$B1091))</f>
        <v>0</v>
      </c>
      <c r="E1091" s="5">
        <f>IF($B1091 &lt;= 0, 0, -ROUND($B1091 * (InterestRate / PaymentsPerYear), 2))</f>
        <v>0</v>
      </c>
      <c r="F1091" s="5">
        <f>ROUND(IFERROR(IF(OR($B1091 &lt;=0, $B1091 = ExtraPayment),0,
MAX(-$B1091, -(-PMT(InterestRate/PaymentsPerYear,LoanTerm*PaymentsPerYear,LoanAmount) + $E1091))), 0), 2)</f>
        <v>0</v>
      </c>
      <c r="G1091" s="5">
        <f t="shared" si="66"/>
        <v>0</v>
      </c>
      <c r="H1091" s="5">
        <f t="shared" si="67"/>
        <v>0</v>
      </c>
    </row>
    <row r="1092" spans="1:8" x14ac:dyDescent="0.2">
      <c r="A1092" s="2">
        <v>1091</v>
      </c>
      <c r="B1092" s="5">
        <f t="shared" ref="B1092:B1155" si="68">ROUND(IF($H1091 &gt;= 0, MAX($H1091, $F1091), 0), 2)</f>
        <v>0</v>
      </c>
      <c r="C1092" s="5">
        <f t="shared" ref="C1092:C1155" si="69">IF($B1092 &lt;= 0, 0, $D1092+$E1092+$F1092)</f>
        <v>0</v>
      </c>
      <c r="D1092" s="5">
        <f>IF(ExtraPayment=0, 0, IF(AND($B1092&lt;&gt;0,ExtraPayment&lt;=$B1092),-ExtraPayment,-($F1092)-$B1092))</f>
        <v>0</v>
      </c>
      <c r="E1092" s="5">
        <f>IF($B1092 &lt;= 0, 0, -ROUND($B1092 * (InterestRate / PaymentsPerYear), 2))</f>
        <v>0</v>
      </c>
      <c r="F1092" s="5">
        <f>ROUND(IFERROR(IF(OR($B1092 &lt;=0, $B1092 = ExtraPayment),0,
MAX(-$B1092, -(-PMT(InterestRate/PaymentsPerYear,LoanTerm*PaymentsPerYear,LoanAmount) + $E1092))), 0), 2)</f>
        <v>0</v>
      </c>
      <c r="G1092" s="5">
        <f t="shared" ref="G1092:G1155" si="70">$D1092+$F1092</f>
        <v>0</v>
      </c>
      <c r="H1092" s="5">
        <f t="shared" ref="H1092:H1155" si="71">ROUND(IF($B1092 &lt;= 0, 0,MAX(0, $B1092 + $G1092)), 2)</f>
        <v>0</v>
      </c>
    </row>
    <row r="1093" spans="1:8" x14ac:dyDescent="0.2">
      <c r="A1093" s="2">
        <v>1092</v>
      </c>
      <c r="B1093" s="5">
        <f t="shared" si="68"/>
        <v>0</v>
      </c>
      <c r="C1093" s="5">
        <f t="shared" si="69"/>
        <v>0</v>
      </c>
      <c r="D1093" s="5">
        <f>IF(ExtraPayment=0, 0, IF(AND($B1093&lt;&gt;0,ExtraPayment&lt;=$B1093),-ExtraPayment,-($F1093)-$B1093))</f>
        <v>0</v>
      </c>
      <c r="E1093" s="5">
        <f>IF($B1093 &lt;= 0, 0, -ROUND($B1093 * (InterestRate / PaymentsPerYear), 2))</f>
        <v>0</v>
      </c>
      <c r="F1093" s="5">
        <f>ROUND(IFERROR(IF(OR($B1093 &lt;=0, $B1093 = ExtraPayment),0,
MAX(-$B1093, -(-PMT(InterestRate/PaymentsPerYear,LoanTerm*PaymentsPerYear,LoanAmount) + $E1093))), 0), 2)</f>
        <v>0</v>
      </c>
      <c r="G1093" s="5">
        <f t="shared" si="70"/>
        <v>0</v>
      </c>
      <c r="H1093" s="5">
        <f t="shared" si="71"/>
        <v>0</v>
      </c>
    </row>
    <row r="1094" spans="1:8" x14ac:dyDescent="0.2">
      <c r="A1094" s="2">
        <v>1093</v>
      </c>
      <c r="B1094" s="5">
        <f t="shared" si="68"/>
        <v>0</v>
      </c>
      <c r="C1094" s="5">
        <f t="shared" si="69"/>
        <v>0</v>
      </c>
      <c r="D1094" s="5">
        <f>IF(ExtraPayment=0, 0, IF(AND($B1094&lt;&gt;0,ExtraPayment&lt;=$B1094),-ExtraPayment,-($F1094)-$B1094))</f>
        <v>0</v>
      </c>
      <c r="E1094" s="5">
        <f>IF($B1094 &lt;= 0, 0, -ROUND($B1094 * (InterestRate / PaymentsPerYear), 2))</f>
        <v>0</v>
      </c>
      <c r="F1094" s="5">
        <f>ROUND(IFERROR(IF(OR($B1094 &lt;=0, $B1094 = ExtraPayment),0,
MAX(-$B1094, -(-PMT(InterestRate/PaymentsPerYear,LoanTerm*PaymentsPerYear,LoanAmount) + $E1094))), 0), 2)</f>
        <v>0</v>
      </c>
      <c r="G1094" s="5">
        <f t="shared" si="70"/>
        <v>0</v>
      </c>
      <c r="H1094" s="5">
        <f t="shared" si="71"/>
        <v>0</v>
      </c>
    </row>
    <row r="1095" spans="1:8" x14ac:dyDescent="0.2">
      <c r="A1095" s="2">
        <v>1094</v>
      </c>
      <c r="B1095" s="5">
        <f t="shared" si="68"/>
        <v>0</v>
      </c>
      <c r="C1095" s="5">
        <f t="shared" si="69"/>
        <v>0</v>
      </c>
      <c r="D1095" s="5">
        <f>IF(ExtraPayment=0, 0, IF(AND($B1095&lt;&gt;0,ExtraPayment&lt;=$B1095),-ExtraPayment,-($F1095)-$B1095))</f>
        <v>0</v>
      </c>
      <c r="E1095" s="5">
        <f>IF($B1095 &lt;= 0, 0, -ROUND($B1095 * (InterestRate / PaymentsPerYear), 2))</f>
        <v>0</v>
      </c>
      <c r="F1095" s="5">
        <f>ROUND(IFERROR(IF(OR($B1095 &lt;=0, $B1095 = ExtraPayment),0,
MAX(-$B1095, -(-PMT(InterestRate/PaymentsPerYear,LoanTerm*PaymentsPerYear,LoanAmount) + $E1095))), 0), 2)</f>
        <v>0</v>
      </c>
      <c r="G1095" s="5">
        <f t="shared" si="70"/>
        <v>0</v>
      </c>
      <c r="H1095" s="5">
        <f t="shared" si="71"/>
        <v>0</v>
      </c>
    </row>
    <row r="1096" spans="1:8" x14ac:dyDescent="0.2">
      <c r="A1096" s="2">
        <v>1095</v>
      </c>
      <c r="B1096" s="5">
        <f t="shared" si="68"/>
        <v>0</v>
      </c>
      <c r="C1096" s="5">
        <f t="shared" si="69"/>
        <v>0</v>
      </c>
      <c r="D1096" s="5">
        <f>IF(ExtraPayment=0, 0, IF(AND($B1096&lt;&gt;0,ExtraPayment&lt;=$B1096),-ExtraPayment,-($F1096)-$B1096))</f>
        <v>0</v>
      </c>
      <c r="E1096" s="5">
        <f>IF($B1096 &lt;= 0, 0, -ROUND($B1096 * (InterestRate / PaymentsPerYear), 2))</f>
        <v>0</v>
      </c>
      <c r="F1096" s="5">
        <f>ROUND(IFERROR(IF(OR($B1096 &lt;=0, $B1096 = ExtraPayment),0,
MAX(-$B1096, -(-PMT(InterestRate/PaymentsPerYear,LoanTerm*PaymentsPerYear,LoanAmount) + $E1096))), 0), 2)</f>
        <v>0</v>
      </c>
      <c r="G1096" s="5">
        <f t="shared" si="70"/>
        <v>0</v>
      </c>
      <c r="H1096" s="5">
        <f t="shared" si="71"/>
        <v>0</v>
      </c>
    </row>
    <row r="1097" spans="1:8" x14ac:dyDescent="0.2">
      <c r="A1097" s="2">
        <v>1096</v>
      </c>
      <c r="B1097" s="5">
        <f t="shared" si="68"/>
        <v>0</v>
      </c>
      <c r="C1097" s="5">
        <f t="shared" si="69"/>
        <v>0</v>
      </c>
      <c r="D1097" s="5">
        <f>IF(ExtraPayment=0, 0, IF(AND($B1097&lt;&gt;0,ExtraPayment&lt;=$B1097),-ExtraPayment,-($F1097)-$B1097))</f>
        <v>0</v>
      </c>
      <c r="E1097" s="5">
        <f>IF($B1097 &lt;= 0, 0, -ROUND($B1097 * (InterestRate / PaymentsPerYear), 2))</f>
        <v>0</v>
      </c>
      <c r="F1097" s="5">
        <f>ROUND(IFERROR(IF(OR($B1097 &lt;=0, $B1097 = ExtraPayment),0,
MAX(-$B1097, -(-PMT(InterestRate/PaymentsPerYear,LoanTerm*PaymentsPerYear,LoanAmount) + $E1097))), 0), 2)</f>
        <v>0</v>
      </c>
      <c r="G1097" s="5">
        <f t="shared" si="70"/>
        <v>0</v>
      </c>
      <c r="H1097" s="5">
        <f t="shared" si="71"/>
        <v>0</v>
      </c>
    </row>
    <row r="1098" spans="1:8" x14ac:dyDescent="0.2">
      <c r="A1098" s="2">
        <v>1097</v>
      </c>
      <c r="B1098" s="5">
        <f t="shared" si="68"/>
        <v>0</v>
      </c>
      <c r="C1098" s="5">
        <f t="shared" si="69"/>
        <v>0</v>
      </c>
      <c r="D1098" s="5">
        <f>IF(ExtraPayment=0, 0, IF(AND($B1098&lt;&gt;0,ExtraPayment&lt;=$B1098),-ExtraPayment,-($F1098)-$B1098))</f>
        <v>0</v>
      </c>
      <c r="E1098" s="5">
        <f>IF($B1098 &lt;= 0, 0, -ROUND($B1098 * (InterestRate / PaymentsPerYear), 2))</f>
        <v>0</v>
      </c>
      <c r="F1098" s="5">
        <f>ROUND(IFERROR(IF(OR($B1098 &lt;=0, $B1098 = ExtraPayment),0,
MAX(-$B1098, -(-PMT(InterestRate/PaymentsPerYear,LoanTerm*PaymentsPerYear,LoanAmount) + $E1098))), 0), 2)</f>
        <v>0</v>
      </c>
      <c r="G1098" s="5">
        <f t="shared" si="70"/>
        <v>0</v>
      </c>
      <c r="H1098" s="5">
        <f t="shared" si="71"/>
        <v>0</v>
      </c>
    </row>
    <row r="1099" spans="1:8" x14ac:dyDescent="0.2">
      <c r="A1099" s="2">
        <v>1098</v>
      </c>
      <c r="B1099" s="5">
        <f t="shared" si="68"/>
        <v>0</v>
      </c>
      <c r="C1099" s="5">
        <f t="shared" si="69"/>
        <v>0</v>
      </c>
      <c r="D1099" s="5">
        <f>IF(ExtraPayment=0, 0, IF(AND($B1099&lt;&gt;0,ExtraPayment&lt;=$B1099),-ExtraPayment,-($F1099)-$B1099))</f>
        <v>0</v>
      </c>
      <c r="E1099" s="5">
        <f>IF($B1099 &lt;= 0, 0, -ROUND($B1099 * (InterestRate / PaymentsPerYear), 2))</f>
        <v>0</v>
      </c>
      <c r="F1099" s="5">
        <f>ROUND(IFERROR(IF(OR($B1099 &lt;=0, $B1099 = ExtraPayment),0,
MAX(-$B1099, -(-PMT(InterestRate/PaymentsPerYear,LoanTerm*PaymentsPerYear,LoanAmount) + $E1099))), 0), 2)</f>
        <v>0</v>
      </c>
      <c r="G1099" s="5">
        <f t="shared" si="70"/>
        <v>0</v>
      </c>
      <c r="H1099" s="5">
        <f t="shared" si="71"/>
        <v>0</v>
      </c>
    </row>
    <row r="1100" spans="1:8" x14ac:dyDescent="0.2">
      <c r="A1100" s="2">
        <v>1099</v>
      </c>
      <c r="B1100" s="5">
        <f t="shared" si="68"/>
        <v>0</v>
      </c>
      <c r="C1100" s="5">
        <f t="shared" si="69"/>
        <v>0</v>
      </c>
      <c r="D1100" s="5">
        <f>IF(ExtraPayment=0, 0, IF(AND($B1100&lt;&gt;0,ExtraPayment&lt;=$B1100),-ExtraPayment,-($F1100)-$B1100))</f>
        <v>0</v>
      </c>
      <c r="E1100" s="5">
        <f>IF($B1100 &lt;= 0, 0, -ROUND($B1100 * (InterestRate / PaymentsPerYear), 2))</f>
        <v>0</v>
      </c>
      <c r="F1100" s="5">
        <f>ROUND(IFERROR(IF(OR($B1100 &lt;=0, $B1100 = ExtraPayment),0,
MAX(-$B1100, -(-PMT(InterestRate/PaymentsPerYear,LoanTerm*PaymentsPerYear,LoanAmount) + $E1100))), 0), 2)</f>
        <v>0</v>
      </c>
      <c r="G1100" s="5">
        <f t="shared" si="70"/>
        <v>0</v>
      </c>
      <c r="H1100" s="5">
        <f t="shared" si="71"/>
        <v>0</v>
      </c>
    </row>
    <row r="1101" spans="1:8" x14ac:dyDescent="0.2">
      <c r="A1101" s="2">
        <v>1100</v>
      </c>
      <c r="B1101" s="5">
        <f t="shared" si="68"/>
        <v>0</v>
      </c>
      <c r="C1101" s="5">
        <f t="shared" si="69"/>
        <v>0</v>
      </c>
      <c r="D1101" s="5">
        <f>IF(ExtraPayment=0, 0, IF(AND($B1101&lt;&gt;0,ExtraPayment&lt;=$B1101),-ExtraPayment,-($F1101)-$B1101))</f>
        <v>0</v>
      </c>
      <c r="E1101" s="5">
        <f>IF($B1101 &lt;= 0, 0, -ROUND($B1101 * (InterestRate / PaymentsPerYear), 2))</f>
        <v>0</v>
      </c>
      <c r="F1101" s="5">
        <f>ROUND(IFERROR(IF(OR($B1101 &lt;=0, $B1101 = ExtraPayment),0,
MAX(-$B1101, -(-PMT(InterestRate/PaymentsPerYear,LoanTerm*PaymentsPerYear,LoanAmount) + $E1101))), 0), 2)</f>
        <v>0</v>
      </c>
      <c r="G1101" s="5">
        <f t="shared" si="70"/>
        <v>0</v>
      </c>
      <c r="H1101" s="5">
        <f t="shared" si="71"/>
        <v>0</v>
      </c>
    </row>
    <row r="1102" spans="1:8" x14ac:dyDescent="0.2">
      <c r="A1102" s="2">
        <v>1101</v>
      </c>
      <c r="B1102" s="5">
        <f t="shared" si="68"/>
        <v>0</v>
      </c>
      <c r="C1102" s="5">
        <f t="shared" si="69"/>
        <v>0</v>
      </c>
      <c r="D1102" s="5">
        <f>IF(ExtraPayment=0, 0, IF(AND($B1102&lt;&gt;0,ExtraPayment&lt;=$B1102),-ExtraPayment,-($F1102)-$B1102))</f>
        <v>0</v>
      </c>
      <c r="E1102" s="5">
        <f>IF($B1102 &lt;= 0, 0, -ROUND($B1102 * (InterestRate / PaymentsPerYear), 2))</f>
        <v>0</v>
      </c>
      <c r="F1102" s="5">
        <f>ROUND(IFERROR(IF(OR($B1102 &lt;=0, $B1102 = ExtraPayment),0,
MAX(-$B1102, -(-PMT(InterestRate/PaymentsPerYear,LoanTerm*PaymentsPerYear,LoanAmount) + $E1102))), 0), 2)</f>
        <v>0</v>
      </c>
      <c r="G1102" s="5">
        <f t="shared" si="70"/>
        <v>0</v>
      </c>
      <c r="H1102" s="5">
        <f t="shared" si="71"/>
        <v>0</v>
      </c>
    </row>
    <row r="1103" spans="1:8" x14ac:dyDescent="0.2">
      <c r="A1103" s="2">
        <v>1102</v>
      </c>
      <c r="B1103" s="5">
        <f t="shared" si="68"/>
        <v>0</v>
      </c>
      <c r="C1103" s="5">
        <f t="shared" si="69"/>
        <v>0</v>
      </c>
      <c r="D1103" s="5">
        <f>IF(ExtraPayment=0, 0, IF(AND($B1103&lt;&gt;0,ExtraPayment&lt;=$B1103),-ExtraPayment,-($F1103)-$B1103))</f>
        <v>0</v>
      </c>
      <c r="E1103" s="5">
        <f>IF($B1103 &lt;= 0, 0, -ROUND($B1103 * (InterestRate / PaymentsPerYear), 2))</f>
        <v>0</v>
      </c>
      <c r="F1103" s="5">
        <f>ROUND(IFERROR(IF(OR($B1103 &lt;=0, $B1103 = ExtraPayment),0,
MAX(-$B1103, -(-PMT(InterestRate/PaymentsPerYear,LoanTerm*PaymentsPerYear,LoanAmount) + $E1103))), 0), 2)</f>
        <v>0</v>
      </c>
      <c r="G1103" s="5">
        <f t="shared" si="70"/>
        <v>0</v>
      </c>
      <c r="H1103" s="5">
        <f t="shared" si="71"/>
        <v>0</v>
      </c>
    </row>
    <row r="1104" spans="1:8" x14ac:dyDescent="0.2">
      <c r="A1104" s="2">
        <v>1103</v>
      </c>
      <c r="B1104" s="5">
        <f t="shared" si="68"/>
        <v>0</v>
      </c>
      <c r="C1104" s="5">
        <f t="shared" si="69"/>
        <v>0</v>
      </c>
      <c r="D1104" s="5">
        <f>IF(ExtraPayment=0, 0, IF(AND($B1104&lt;&gt;0,ExtraPayment&lt;=$B1104),-ExtraPayment,-($F1104)-$B1104))</f>
        <v>0</v>
      </c>
      <c r="E1104" s="5">
        <f>IF($B1104 &lt;= 0, 0, -ROUND($B1104 * (InterestRate / PaymentsPerYear), 2))</f>
        <v>0</v>
      </c>
      <c r="F1104" s="5">
        <f>ROUND(IFERROR(IF(OR($B1104 &lt;=0, $B1104 = ExtraPayment),0,
MAX(-$B1104, -(-PMT(InterestRate/PaymentsPerYear,LoanTerm*PaymentsPerYear,LoanAmount) + $E1104))), 0), 2)</f>
        <v>0</v>
      </c>
      <c r="G1104" s="5">
        <f t="shared" si="70"/>
        <v>0</v>
      </c>
      <c r="H1104" s="5">
        <f t="shared" si="71"/>
        <v>0</v>
      </c>
    </row>
    <row r="1105" spans="1:8" x14ac:dyDescent="0.2">
      <c r="A1105" s="2">
        <v>1104</v>
      </c>
      <c r="B1105" s="5">
        <f t="shared" si="68"/>
        <v>0</v>
      </c>
      <c r="C1105" s="5">
        <f t="shared" si="69"/>
        <v>0</v>
      </c>
      <c r="D1105" s="5">
        <f>IF(ExtraPayment=0, 0, IF(AND($B1105&lt;&gt;0,ExtraPayment&lt;=$B1105),-ExtraPayment,-($F1105)-$B1105))</f>
        <v>0</v>
      </c>
      <c r="E1105" s="5">
        <f>IF($B1105 &lt;= 0, 0, -ROUND($B1105 * (InterestRate / PaymentsPerYear), 2))</f>
        <v>0</v>
      </c>
      <c r="F1105" s="5">
        <f>ROUND(IFERROR(IF(OR($B1105 &lt;=0, $B1105 = ExtraPayment),0,
MAX(-$B1105, -(-PMT(InterestRate/PaymentsPerYear,LoanTerm*PaymentsPerYear,LoanAmount) + $E1105))), 0), 2)</f>
        <v>0</v>
      </c>
      <c r="G1105" s="5">
        <f t="shared" si="70"/>
        <v>0</v>
      </c>
      <c r="H1105" s="5">
        <f t="shared" si="71"/>
        <v>0</v>
      </c>
    </row>
    <row r="1106" spans="1:8" x14ac:dyDescent="0.2">
      <c r="A1106" s="2">
        <v>1105</v>
      </c>
      <c r="B1106" s="5">
        <f t="shared" si="68"/>
        <v>0</v>
      </c>
      <c r="C1106" s="5">
        <f t="shared" si="69"/>
        <v>0</v>
      </c>
      <c r="D1106" s="5">
        <f>IF(ExtraPayment=0, 0, IF(AND($B1106&lt;&gt;0,ExtraPayment&lt;=$B1106),-ExtraPayment,-($F1106)-$B1106))</f>
        <v>0</v>
      </c>
      <c r="E1106" s="5">
        <f>IF($B1106 &lt;= 0, 0, -ROUND($B1106 * (InterestRate / PaymentsPerYear), 2))</f>
        <v>0</v>
      </c>
      <c r="F1106" s="5">
        <f>ROUND(IFERROR(IF(OR($B1106 &lt;=0, $B1106 = ExtraPayment),0,
MAX(-$B1106, -(-PMT(InterestRate/PaymentsPerYear,LoanTerm*PaymentsPerYear,LoanAmount) + $E1106))), 0), 2)</f>
        <v>0</v>
      </c>
      <c r="G1106" s="5">
        <f t="shared" si="70"/>
        <v>0</v>
      </c>
      <c r="H1106" s="5">
        <f t="shared" si="71"/>
        <v>0</v>
      </c>
    </row>
    <row r="1107" spans="1:8" x14ac:dyDescent="0.2">
      <c r="A1107" s="2">
        <v>1106</v>
      </c>
      <c r="B1107" s="5">
        <f t="shared" si="68"/>
        <v>0</v>
      </c>
      <c r="C1107" s="5">
        <f t="shared" si="69"/>
        <v>0</v>
      </c>
      <c r="D1107" s="5">
        <f>IF(ExtraPayment=0, 0, IF(AND($B1107&lt;&gt;0,ExtraPayment&lt;=$B1107),-ExtraPayment,-($F1107)-$B1107))</f>
        <v>0</v>
      </c>
      <c r="E1107" s="5">
        <f>IF($B1107 &lt;= 0, 0, -ROUND($B1107 * (InterestRate / PaymentsPerYear), 2))</f>
        <v>0</v>
      </c>
      <c r="F1107" s="5">
        <f>ROUND(IFERROR(IF(OR($B1107 &lt;=0, $B1107 = ExtraPayment),0,
MAX(-$B1107, -(-PMT(InterestRate/PaymentsPerYear,LoanTerm*PaymentsPerYear,LoanAmount) + $E1107))), 0), 2)</f>
        <v>0</v>
      </c>
      <c r="G1107" s="5">
        <f t="shared" si="70"/>
        <v>0</v>
      </c>
      <c r="H1107" s="5">
        <f t="shared" si="71"/>
        <v>0</v>
      </c>
    </row>
    <row r="1108" spans="1:8" x14ac:dyDescent="0.2">
      <c r="A1108" s="2">
        <v>1107</v>
      </c>
      <c r="B1108" s="5">
        <f t="shared" si="68"/>
        <v>0</v>
      </c>
      <c r="C1108" s="5">
        <f t="shared" si="69"/>
        <v>0</v>
      </c>
      <c r="D1108" s="5">
        <f>IF(ExtraPayment=0, 0, IF(AND($B1108&lt;&gt;0,ExtraPayment&lt;=$B1108),-ExtraPayment,-($F1108)-$B1108))</f>
        <v>0</v>
      </c>
      <c r="E1108" s="5">
        <f>IF($B1108 &lt;= 0, 0, -ROUND($B1108 * (InterestRate / PaymentsPerYear), 2))</f>
        <v>0</v>
      </c>
      <c r="F1108" s="5">
        <f>ROUND(IFERROR(IF(OR($B1108 &lt;=0, $B1108 = ExtraPayment),0,
MAX(-$B1108, -(-PMT(InterestRate/PaymentsPerYear,LoanTerm*PaymentsPerYear,LoanAmount) + $E1108))), 0), 2)</f>
        <v>0</v>
      </c>
      <c r="G1108" s="5">
        <f t="shared" si="70"/>
        <v>0</v>
      </c>
      <c r="H1108" s="5">
        <f t="shared" si="71"/>
        <v>0</v>
      </c>
    </row>
    <row r="1109" spans="1:8" x14ac:dyDescent="0.2">
      <c r="A1109" s="2">
        <v>1108</v>
      </c>
      <c r="B1109" s="5">
        <f t="shared" si="68"/>
        <v>0</v>
      </c>
      <c r="C1109" s="5">
        <f t="shared" si="69"/>
        <v>0</v>
      </c>
      <c r="D1109" s="5">
        <f>IF(ExtraPayment=0, 0, IF(AND($B1109&lt;&gt;0,ExtraPayment&lt;=$B1109),-ExtraPayment,-($F1109)-$B1109))</f>
        <v>0</v>
      </c>
      <c r="E1109" s="5">
        <f>IF($B1109 &lt;= 0, 0, -ROUND($B1109 * (InterestRate / PaymentsPerYear), 2))</f>
        <v>0</v>
      </c>
      <c r="F1109" s="5">
        <f>ROUND(IFERROR(IF(OR($B1109 &lt;=0, $B1109 = ExtraPayment),0,
MAX(-$B1109, -(-PMT(InterestRate/PaymentsPerYear,LoanTerm*PaymentsPerYear,LoanAmount) + $E1109))), 0), 2)</f>
        <v>0</v>
      </c>
      <c r="G1109" s="5">
        <f t="shared" si="70"/>
        <v>0</v>
      </c>
      <c r="H1109" s="5">
        <f t="shared" si="71"/>
        <v>0</v>
      </c>
    </row>
    <row r="1110" spans="1:8" x14ac:dyDescent="0.2">
      <c r="A1110" s="2">
        <v>1109</v>
      </c>
      <c r="B1110" s="5">
        <f t="shared" si="68"/>
        <v>0</v>
      </c>
      <c r="C1110" s="5">
        <f t="shared" si="69"/>
        <v>0</v>
      </c>
      <c r="D1110" s="5">
        <f>IF(ExtraPayment=0, 0, IF(AND($B1110&lt;&gt;0,ExtraPayment&lt;=$B1110),-ExtraPayment,-($F1110)-$B1110))</f>
        <v>0</v>
      </c>
      <c r="E1110" s="5">
        <f>IF($B1110 &lt;= 0, 0, -ROUND($B1110 * (InterestRate / PaymentsPerYear), 2))</f>
        <v>0</v>
      </c>
      <c r="F1110" s="5">
        <f>ROUND(IFERROR(IF(OR($B1110 &lt;=0, $B1110 = ExtraPayment),0,
MAX(-$B1110, -(-PMT(InterestRate/PaymentsPerYear,LoanTerm*PaymentsPerYear,LoanAmount) + $E1110))), 0), 2)</f>
        <v>0</v>
      </c>
      <c r="G1110" s="5">
        <f t="shared" si="70"/>
        <v>0</v>
      </c>
      <c r="H1110" s="5">
        <f t="shared" si="71"/>
        <v>0</v>
      </c>
    </row>
    <row r="1111" spans="1:8" x14ac:dyDescent="0.2">
      <c r="A1111" s="2">
        <v>1110</v>
      </c>
      <c r="B1111" s="5">
        <f t="shared" si="68"/>
        <v>0</v>
      </c>
      <c r="C1111" s="5">
        <f t="shared" si="69"/>
        <v>0</v>
      </c>
      <c r="D1111" s="5">
        <f>IF(ExtraPayment=0, 0, IF(AND($B1111&lt;&gt;0,ExtraPayment&lt;=$B1111),-ExtraPayment,-($F1111)-$B1111))</f>
        <v>0</v>
      </c>
      <c r="E1111" s="5">
        <f>IF($B1111 &lt;= 0, 0, -ROUND($B1111 * (InterestRate / PaymentsPerYear), 2))</f>
        <v>0</v>
      </c>
      <c r="F1111" s="5">
        <f>ROUND(IFERROR(IF(OR($B1111 &lt;=0, $B1111 = ExtraPayment),0,
MAX(-$B1111, -(-PMT(InterestRate/PaymentsPerYear,LoanTerm*PaymentsPerYear,LoanAmount) + $E1111))), 0), 2)</f>
        <v>0</v>
      </c>
      <c r="G1111" s="5">
        <f t="shared" si="70"/>
        <v>0</v>
      </c>
      <c r="H1111" s="5">
        <f t="shared" si="71"/>
        <v>0</v>
      </c>
    </row>
    <row r="1112" spans="1:8" x14ac:dyDescent="0.2">
      <c r="A1112" s="2">
        <v>1111</v>
      </c>
      <c r="B1112" s="5">
        <f t="shared" si="68"/>
        <v>0</v>
      </c>
      <c r="C1112" s="5">
        <f t="shared" si="69"/>
        <v>0</v>
      </c>
      <c r="D1112" s="5">
        <f>IF(ExtraPayment=0, 0, IF(AND($B1112&lt;&gt;0,ExtraPayment&lt;=$B1112),-ExtraPayment,-($F1112)-$B1112))</f>
        <v>0</v>
      </c>
      <c r="E1112" s="5">
        <f>IF($B1112 &lt;= 0, 0, -ROUND($B1112 * (InterestRate / PaymentsPerYear), 2))</f>
        <v>0</v>
      </c>
      <c r="F1112" s="5">
        <f>ROUND(IFERROR(IF(OR($B1112 &lt;=0, $B1112 = ExtraPayment),0,
MAX(-$B1112, -(-PMT(InterestRate/PaymentsPerYear,LoanTerm*PaymentsPerYear,LoanAmount) + $E1112))), 0), 2)</f>
        <v>0</v>
      </c>
      <c r="G1112" s="5">
        <f t="shared" si="70"/>
        <v>0</v>
      </c>
      <c r="H1112" s="5">
        <f t="shared" si="71"/>
        <v>0</v>
      </c>
    </row>
    <row r="1113" spans="1:8" x14ac:dyDescent="0.2">
      <c r="A1113" s="2">
        <v>1112</v>
      </c>
      <c r="B1113" s="5">
        <f t="shared" si="68"/>
        <v>0</v>
      </c>
      <c r="C1113" s="5">
        <f t="shared" si="69"/>
        <v>0</v>
      </c>
      <c r="D1113" s="5">
        <f>IF(ExtraPayment=0, 0, IF(AND($B1113&lt;&gt;0,ExtraPayment&lt;=$B1113),-ExtraPayment,-($F1113)-$B1113))</f>
        <v>0</v>
      </c>
      <c r="E1113" s="5">
        <f>IF($B1113 &lt;= 0, 0, -ROUND($B1113 * (InterestRate / PaymentsPerYear), 2))</f>
        <v>0</v>
      </c>
      <c r="F1113" s="5">
        <f>ROUND(IFERROR(IF(OR($B1113 &lt;=0, $B1113 = ExtraPayment),0,
MAX(-$B1113, -(-PMT(InterestRate/PaymentsPerYear,LoanTerm*PaymentsPerYear,LoanAmount) + $E1113))), 0), 2)</f>
        <v>0</v>
      </c>
      <c r="G1113" s="5">
        <f t="shared" si="70"/>
        <v>0</v>
      </c>
      <c r="H1113" s="5">
        <f t="shared" si="71"/>
        <v>0</v>
      </c>
    </row>
    <row r="1114" spans="1:8" x14ac:dyDescent="0.2">
      <c r="A1114" s="2">
        <v>1113</v>
      </c>
      <c r="B1114" s="5">
        <f t="shared" si="68"/>
        <v>0</v>
      </c>
      <c r="C1114" s="5">
        <f t="shared" si="69"/>
        <v>0</v>
      </c>
      <c r="D1114" s="5">
        <f>IF(ExtraPayment=0, 0, IF(AND($B1114&lt;&gt;0,ExtraPayment&lt;=$B1114),-ExtraPayment,-($F1114)-$B1114))</f>
        <v>0</v>
      </c>
      <c r="E1114" s="5">
        <f>IF($B1114 &lt;= 0, 0, -ROUND($B1114 * (InterestRate / PaymentsPerYear), 2))</f>
        <v>0</v>
      </c>
      <c r="F1114" s="5">
        <f>ROUND(IFERROR(IF(OR($B1114 &lt;=0, $B1114 = ExtraPayment),0,
MAX(-$B1114, -(-PMT(InterestRate/PaymentsPerYear,LoanTerm*PaymentsPerYear,LoanAmount) + $E1114))), 0), 2)</f>
        <v>0</v>
      </c>
      <c r="G1114" s="5">
        <f t="shared" si="70"/>
        <v>0</v>
      </c>
      <c r="H1114" s="5">
        <f t="shared" si="71"/>
        <v>0</v>
      </c>
    </row>
    <row r="1115" spans="1:8" x14ac:dyDescent="0.2">
      <c r="A1115" s="2">
        <v>1114</v>
      </c>
      <c r="B1115" s="5">
        <f t="shared" si="68"/>
        <v>0</v>
      </c>
      <c r="C1115" s="5">
        <f t="shared" si="69"/>
        <v>0</v>
      </c>
      <c r="D1115" s="5">
        <f>IF(ExtraPayment=0, 0, IF(AND($B1115&lt;&gt;0,ExtraPayment&lt;=$B1115),-ExtraPayment,-($F1115)-$B1115))</f>
        <v>0</v>
      </c>
      <c r="E1115" s="5">
        <f>IF($B1115 &lt;= 0, 0, -ROUND($B1115 * (InterestRate / PaymentsPerYear), 2))</f>
        <v>0</v>
      </c>
      <c r="F1115" s="5">
        <f>ROUND(IFERROR(IF(OR($B1115 &lt;=0, $B1115 = ExtraPayment),0,
MAX(-$B1115, -(-PMT(InterestRate/PaymentsPerYear,LoanTerm*PaymentsPerYear,LoanAmount) + $E1115))), 0), 2)</f>
        <v>0</v>
      </c>
      <c r="G1115" s="5">
        <f t="shared" si="70"/>
        <v>0</v>
      </c>
      <c r="H1115" s="5">
        <f t="shared" si="71"/>
        <v>0</v>
      </c>
    </row>
    <row r="1116" spans="1:8" x14ac:dyDescent="0.2">
      <c r="A1116" s="2">
        <v>1115</v>
      </c>
      <c r="B1116" s="5">
        <f t="shared" si="68"/>
        <v>0</v>
      </c>
      <c r="C1116" s="5">
        <f t="shared" si="69"/>
        <v>0</v>
      </c>
      <c r="D1116" s="5">
        <f>IF(ExtraPayment=0, 0, IF(AND($B1116&lt;&gt;0,ExtraPayment&lt;=$B1116),-ExtraPayment,-($F1116)-$B1116))</f>
        <v>0</v>
      </c>
      <c r="E1116" s="5">
        <f>IF($B1116 &lt;= 0, 0, -ROUND($B1116 * (InterestRate / PaymentsPerYear), 2))</f>
        <v>0</v>
      </c>
      <c r="F1116" s="5">
        <f>ROUND(IFERROR(IF(OR($B1116 &lt;=0, $B1116 = ExtraPayment),0,
MAX(-$B1116, -(-PMT(InterestRate/PaymentsPerYear,LoanTerm*PaymentsPerYear,LoanAmount) + $E1116))), 0), 2)</f>
        <v>0</v>
      </c>
      <c r="G1116" s="5">
        <f t="shared" si="70"/>
        <v>0</v>
      </c>
      <c r="H1116" s="5">
        <f t="shared" si="71"/>
        <v>0</v>
      </c>
    </row>
    <row r="1117" spans="1:8" x14ac:dyDescent="0.2">
      <c r="A1117" s="2">
        <v>1116</v>
      </c>
      <c r="B1117" s="5">
        <f t="shared" si="68"/>
        <v>0</v>
      </c>
      <c r="C1117" s="5">
        <f t="shared" si="69"/>
        <v>0</v>
      </c>
      <c r="D1117" s="5">
        <f>IF(ExtraPayment=0, 0, IF(AND($B1117&lt;&gt;0,ExtraPayment&lt;=$B1117),-ExtraPayment,-($F1117)-$B1117))</f>
        <v>0</v>
      </c>
      <c r="E1117" s="5">
        <f>IF($B1117 &lt;= 0, 0, -ROUND($B1117 * (InterestRate / PaymentsPerYear), 2))</f>
        <v>0</v>
      </c>
      <c r="F1117" s="5">
        <f>ROUND(IFERROR(IF(OR($B1117 &lt;=0, $B1117 = ExtraPayment),0,
MAX(-$B1117, -(-PMT(InterestRate/PaymentsPerYear,LoanTerm*PaymentsPerYear,LoanAmount) + $E1117))), 0), 2)</f>
        <v>0</v>
      </c>
      <c r="G1117" s="5">
        <f t="shared" si="70"/>
        <v>0</v>
      </c>
      <c r="H1117" s="5">
        <f t="shared" si="71"/>
        <v>0</v>
      </c>
    </row>
    <row r="1118" spans="1:8" x14ac:dyDescent="0.2">
      <c r="A1118" s="2">
        <v>1117</v>
      </c>
      <c r="B1118" s="5">
        <f t="shared" si="68"/>
        <v>0</v>
      </c>
      <c r="C1118" s="5">
        <f t="shared" si="69"/>
        <v>0</v>
      </c>
      <c r="D1118" s="5">
        <f>IF(ExtraPayment=0, 0, IF(AND($B1118&lt;&gt;0,ExtraPayment&lt;=$B1118),-ExtraPayment,-($F1118)-$B1118))</f>
        <v>0</v>
      </c>
      <c r="E1118" s="5">
        <f>IF($B1118 &lt;= 0, 0, -ROUND($B1118 * (InterestRate / PaymentsPerYear), 2))</f>
        <v>0</v>
      </c>
      <c r="F1118" s="5">
        <f>ROUND(IFERROR(IF(OR($B1118 &lt;=0, $B1118 = ExtraPayment),0,
MAX(-$B1118, -(-PMT(InterestRate/PaymentsPerYear,LoanTerm*PaymentsPerYear,LoanAmount) + $E1118))), 0), 2)</f>
        <v>0</v>
      </c>
      <c r="G1118" s="5">
        <f t="shared" si="70"/>
        <v>0</v>
      </c>
      <c r="H1118" s="5">
        <f t="shared" si="71"/>
        <v>0</v>
      </c>
    </row>
    <row r="1119" spans="1:8" x14ac:dyDescent="0.2">
      <c r="A1119" s="2">
        <v>1118</v>
      </c>
      <c r="B1119" s="5">
        <f t="shared" si="68"/>
        <v>0</v>
      </c>
      <c r="C1119" s="5">
        <f t="shared" si="69"/>
        <v>0</v>
      </c>
      <c r="D1119" s="5">
        <f>IF(ExtraPayment=0, 0, IF(AND($B1119&lt;&gt;0,ExtraPayment&lt;=$B1119),-ExtraPayment,-($F1119)-$B1119))</f>
        <v>0</v>
      </c>
      <c r="E1119" s="5">
        <f>IF($B1119 &lt;= 0, 0, -ROUND($B1119 * (InterestRate / PaymentsPerYear), 2))</f>
        <v>0</v>
      </c>
      <c r="F1119" s="5">
        <f>ROUND(IFERROR(IF(OR($B1119 &lt;=0, $B1119 = ExtraPayment),0,
MAX(-$B1119, -(-PMT(InterestRate/PaymentsPerYear,LoanTerm*PaymentsPerYear,LoanAmount) + $E1119))), 0), 2)</f>
        <v>0</v>
      </c>
      <c r="G1119" s="5">
        <f t="shared" si="70"/>
        <v>0</v>
      </c>
      <c r="H1119" s="5">
        <f t="shared" si="71"/>
        <v>0</v>
      </c>
    </row>
    <row r="1120" spans="1:8" x14ac:dyDescent="0.2">
      <c r="A1120" s="2">
        <v>1119</v>
      </c>
      <c r="B1120" s="5">
        <f t="shared" si="68"/>
        <v>0</v>
      </c>
      <c r="C1120" s="5">
        <f t="shared" si="69"/>
        <v>0</v>
      </c>
      <c r="D1120" s="5">
        <f>IF(ExtraPayment=0, 0, IF(AND($B1120&lt;&gt;0,ExtraPayment&lt;=$B1120),-ExtraPayment,-($F1120)-$B1120))</f>
        <v>0</v>
      </c>
      <c r="E1120" s="5">
        <f>IF($B1120 &lt;= 0, 0, -ROUND($B1120 * (InterestRate / PaymentsPerYear), 2))</f>
        <v>0</v>
      </c>
      <c r="F1120" s="5">
        <f>ROUND(IFERROR(IF(OR($B1120 &lt;=0, $B1120 = ExtraPayment),0,
MAX(-$B1120, -(-PMT(InterestRate/PaymentsPerYear,LoanTerm*PaymentsPerYear,LoanAmount) + $E1120))), 0), 2)</f>
        <v>0</v>
      </c>
      <c r="G1120" s="5">
        <f t="shared" si="70"/>
        <v>0</v>
      </c>
      <c r="H1120" s="5">
        <f t="shared" si="71"/>
        <v>0</v>
      </c>
    </row>
    <row r="1121" spans="1:8" x14ac:dyDescent="0.2">
      <c r="A1121" s="2">
        <v>1120</v>
      </c>
      <c r="B1121" s="5">
        <f t="shared" si="68"/>
        <v>0</v>
      </c>
      <c r="C1121" s="5">
        <f t="shared" si="69"/>
        <v>0</v>
      </c>
      <c r="D1121" s="5">
        <f>IF(ExtraPayment=0, 0, IF(AND($B1121&lt;&gt;0,ExtraPayment&lt;=$B1121),-ExtraPayment,-($F1121)-$B1121))</f>
        <v>0</v>
      </c>
      <c r="E1121" s="5">
        <f>IF($B1121 &lt;= 0, 0, -ROUND($B1121 * (InterestRate / PaymentsPerYear), 2))</f>
        <v>0</v>
      </c>
      <c r="F1121" s="5">
        <f>ROUND(IFERROR(IF(OR($B1121 &lt;=0, $B1121 = ExtraPayment),0,
MAX(-$B1121, -(-PMT(InterestRate/PaymentsPerYear,LoanTerm*PaymentsPerYear,LoanAmount) + $E1121))), 0), 2)</f>
        <v>0</v>
      </c>
      <c r="G1121" s="5">
        <f t="shared" si="70"/>
        <v>0</v>
      </c>
      <c r="H1121" s="5">
        <f t="shared" si="71"/>
        <v>0</v>
      </c>
    </row>
    <row r="1122" spans="1:8" x14ac:dyDescent="0.2">
      <c r="A1122" s="2">
        <v>1121</v>
      </c>
      <c r="B1122" s="5">
        <f t="shared" si="68"/>
        <v>0</v>
      </c>
      <c r="C1122" s="5">
        <f t="shared" si="69"/>
        <v>0</v>
      </c>
      <c r="D1122" s="5">
        <f>IF(ExtraPayment=0, 0, IF(AND($B1122&lt;&gt;0,ExtraPayment&lt;=$B1122),-ExtraPayment,-($F1122)-$B1122))</f>
        <v>0</v>
      </c>
      <c r="E1122" s="5">
        <f>IF($B1122 &lt;= 0, 0, -ROUND($B1122 * (InterestRate / PaymentsPerYear), 2))</f>
        <v>0</v>
      </c>
      <c r="F1122" s="5">
        <f>ROUND(IFERROR(IF(OR($B1122 &lt;=0, $B1122 = ExtraPayment),0,
MAX(-$B1122, -(-PMT(InterestRate/PaymentsPerYear,LoanTerm*PaymentsPerYear,LoanAmount) + $E1122))), 0), 2)</f>
        <v>0</v>
      </c>
      <c r="G1122" s="5">
        <f t="shared" si="70"/>
        <v>0</v>
      </c>
      <c r="H1122" s="5">
        <f t="shared" si="71"/>
        <v>0</v>
      </c>
    </row>
    <row r="1123" spans="1:8" x14ac:dyDescent="0.2">
      <c r="A1123" s="2">
        <v>1122</v>
      </c>
      <c r="B1123" s="5">
        <f t="shared" si="68"/>
        <v>0</v>
      </c>
      <c r="C1123" s="5">
        <f t="shared" si="69"/>
        <v>0</v>
      </c>
      <c r="D1123" s="5">
        <f>IF(ExtraPayment=0, 0, IF(AND($B1123&lt;&gt;0,ExtraPayment&lt;=$B1123),-ExtraPayment,-($F1123)-$B1123))</f>
        <v>0</v>
      </c>
      <c r="E1123" s="5">
        <f>IF($B1123 &lt;= 0, 0, -ROUND($B1123 * (InterestRate / PaymentsPerYear), 2))</f>
        <v>0</v>
      </c>
      <c r="F1123" s="5">
        <f>ROUND(IFERROR(IF(OR($B1123 &lt;=0, $B1123 = ExtraPayment),0,
MAX(-$B1123, -(-PMT(InterestRate/PaymentsPerYear,LoanTerm*PaymentsPerYear,LoanAmount) + $E1123))), 0), 2)</f>
        <v>0</v>
      </c>
      <c r="G1123" s="5">
        <f t="shared" si="70"/>
        <v>0</v>
      </c>
      <c r="H1123" s="5">
        <f t="shared" si="71"/>
        <v>0</v>
      </c>
    </row>
    <row r="1124" spans="1:8" x14ac:dyDescent="0.2">
      <c r="A1124" s="2">
        <v>1123</v>
      </c>
      <c r="B1124" s="5">
        <f t="shared" si="68"/>
        <v>0</v>
      </c>
      <c r="C1124" s="5">
        <f t="shared" si="69"/>
        <v>0</v>
      </c>
      <c r="D1124" s="5">
        <f>IF(ExtraPayment=0, 0, IF(AND($B1124&lt;&gt;0,ExtraPayment&lt;=$B1124),-ExtraPayment,-($F1124)-$B1124))</f>
        <v>0</v>
      </c>
      <c r="E1124" s="5">
        <f>IF($B1124 &lt;= 0, 0, -ROUND($B1124 * (InterestRate / PaymentsPerYear), 2))</f>
        <v>0</v>
      </c>
      <c r="F1124" s="5">
        <f>ROUND(IFERROR(IF(OR($B1124 &lt;=0, $B1124 = ExtraPayment),0,
MAX(-$B1124, -(-PMT(InterestRate/PaymentsPerYear,LoanTerm*PaymentsPerYear,LoanAmount) + $E1124))), 0), 2)</f>
        <v>0</v>
      </c>
      <c r="G1124" s="5">
        <f t="shared" si="70"/>
        <v>0</v>
      </c>
      <c r="H1124" s="5">
        <f t="shared" si="71"/>
        <v>0</v>
      </c>
    </row>
    <row r="1125" spans="1:8" x14ac:dyDescent="0.2">
      <c r="A1125" s="2">
        <v>1124</v>
      </c>
      <c r="B1125" s="5">
        <f t="shared" si="68"/>
        <v>0</v>
      </c>
      <c r="C1125" s="5">
        <f t="shared" si="69"/>
        <v>0</v>
      </c>
      <c r="D1125" s="5">
        <f>IF(ExtraPayment=0, 0, IF(AND($B1125&lt;&gt;0,ExtraPayment&lt;=$B1125),-ExtraPayment,-($F1125)-$B1125))</f>
        <v>0</v>
      </c>
      <c r="E1125" s="5">
        <f>IF($B1125 &lt;= 0, 0, -ROUND($B1125 * (InterestRate / PaymentsPerYear), 2))</f>
        <v>0</v>
      </c>
      <c r="F1125" s="5">
        <f>ROUND(IFERROR(IF(OR($B1125 &lt;=0, $B1125 = ExtraPayment),0,
MAX(-$B1125, -(-PMT(InterestRate/PaymentsPerYear,LoanTerm*PaymentsPerYear,LoanAmount) + $E1125))), 0), 2)</f>
        <v>0</v>
      </c>
      <c r="G1125" s="5">
        <f t="shared" si="70"/>
        <v>0</v>
      </c>
      <c r="H1125" s="5">
        <f t="shared" si="71"/>
        <v>0</v>
      </c>
    </row>
    <row r="1126" spans="1:8" x14ac:dyDescent="0.2">
      <c r="A1126" s="2">
        <v>1125</v>
      </c>
      <c r="B1126" s="5">
        <f t="shared" si="68"/>
        <v>0</v>
      </c>
      <c r="C1126" s="5">
        <f t="shared" si="69"/>
        <v>0</v>
      </c>
      <c r="D1126" s="5">
        <f>IF(ExtraPayment=0, 0, IF(AND($B1126&lt;&gt;0,ExtraPayment&lt;=$B1126),-ExtraPayment,-($F1126)-$B1126))</f>
        <v>0</v>
      </c>
      <c r="E1126" s="5">
        <f>IF($B1126 &lt;= 0, 0, -ROUND($B1126 * (InterestRate / PaymentsPerYear), 2))</f>
        <v>0</v>
      </c>
      <c r="F1126" s="5">
        <f>ROUND(IFERROR(IF(OR($B1126 &lt;=0, $B1126 = ExtraPayment),0,
MAX(-$B1126, -(-PMT(InterestRate/PaymentsPerYear,LoanTerm*PaymentsPerYear,LoanAmount) + $E1126))), 0), 2)</f>
        <v>0</v>
      </c>
      <c r="G1126" s="5">
        <f t="shared" si="70"/>
        <v>0</v>
      </c>
      <c r="H1126" s="5">
        <f t="shared" si="71"/>
        <v>0</v>
      </c>
    </row>
    <row r="1127" spans="1:8" x14ac:dyDescent="0.2">
      <c r="A1127" s="2">
        <v>1126</v>
      </c>
      <c r="B1127" s="5">
        <f t="shared" si="68"/>
        <v>0</v>
      </c>
      <c r="C1127" s="5">
        <f t="shared" si="69"/>
        <v>0</v>
      </c>
      <c r="D1127" s="5">
        <f>IF(ExtraPayment=0, 0, IF(AND($B1127&lt;&gt;0,ExtraPayment&lt;=$B1127),-ExtraPayment,-($F1127)-$B1127))</f>
        <v>0</v>
      </c>
      <c r="E1127" s="5">
        <f>IF($B1127 &lt;= 0, 0, -ROUND($B1127 * (InterestRate / PaymentsPerYear), 2))</f>
        <v>0</v>
      </c>
      <c r="F1127" s="5">
        <f>ROUND(IFERROR(IF(OR($B1127 &lt;=0, $B1127 = ExtraPayment),0,
MAX(-$B1127, -(-PMT(InterestRate/PaymentsPerYear,LoanTerm*PaymentsPerYear,LoanAmount) + $E1127))), 0), 2)</f>
        <v>0</v>
      </c>
      <c r="G1127" s="5">
        <f t="shared" si="70"/>
        <v>0</v>
      </c>
      <c r="H1127" s="5">
        <f t="shared" si="71"/>
        <v>0</v>
      </c>
    </row>
    <row r="1128" spans="1:8" x14ac:dyDescent="0.2">
      <c r="A1128" s="2">
        <v>1127</v>
      </c>
      <c r="B1128" s="5">
        <f t="shared" si="68"/>
        <v>0</v>
      </c>
      <c r="C1128" s="5">
        <f t="shared" si="69"/>
        <v>0</v>
      </c>
      <c r="D1128" s="5">
        <f>IF(ExtraPayment=0, 0, IF(AND($B1128&lt;&gt;0,ExtraPayment&lt;=$B1128),-ExtraPayment,-($F1128)-$B1128))</f>
        <v>0</v>
      </c>
      <c r="E1128" s="5">
        <f>IF($B1128 &lt;= 0, 0, -ROUND($B1128 * (InterestRate / PaymentsPerYear), 2))</f>
        <v>0</v>
      </c>
      <c r="F1128" s="5">
        <f>ROUND(IFERROR(IF(OR($B1128 &lt;=0, $B1128 = ExtraPayment),0,
MAX(-$B1128, -(-PMT(InterestRate/PaymentsPerYear,LoanTerm*PaymentsPerYear,LoanAmount) + $E1128))), 0), 2)</f>
        <v>0</v>
      </c>
      <c r="G1128" s="5">
        <f t="shared" si="70"/>
        <v>0</v>
      </c>
      <c r="H1128" s="5">
        <f t="shared" si="71"/>
        <v>0</v>
      </c>
    </row>
    <row r="1129" spans="1:8" x14ac:dyDescent="0.2">
      <c r="A1129" s="2">
        <v>1128</v>
      </c>
      <c r="B1129" s="5">
        <f t="shared" si="68"/>
        <v>0</v>
      </c>
      <c r="C1129" s="5">
        <f t="shared" si="69"/>
        <v>0</v>
      </c>
      <c r="D1129" s="5">
        <f>IF(ExtraPayment=0, 0, IF(AND($B1129&lt;&gt;0,ExtraPayment&lt;=$B1129),-ExtraPayment,-($F1129)-$B1129))</f>
        <v>0</v>
      </c>
      <c r="E1129" s="5">
        <f>IF($B1129 &lt;= 0, 0, -ROUND($B1129 * (InterestRate / PaymentsPerYear), 2))</f>
        <v>0</v>
      </c>
      <c r="F1129" s="5">
        <f>ROUND(IFERROR(IF(OR($B1129 &lt;=0, $B1129 = ExtraPayment),0,
MAX(-$B1129, -(-PMT(InterestRate/PaymentsPerYear,LoanTerm*PaymentsPerYear,LoanAmount) + $E1129))), 0), 2)</f>
        <v>0</v>
      </c>
      <c r="G1129" s="5">
        <f t="shared" si="70"/>
        <v>0</v>
      </c>
      <c r="H1129" s="5">
        <f t="shared" si="71"/>
        <v>0</v>
      </c>
    </row>
    <row r="1130" spans="1:8" x14ac:dyDescent="0.2">
      <c r="A1130" s="2">
        <v>1129</v>
      </c>
      <c r="B1130" s="5">
        <f t="shared" si="68"/>
        <v>0</v>
      </c>
      <c r="C1130" s="5">
        <f t="shared" si="69"/>
        <v>0</v>
      </c>
      <c r="D1130" s="5">
        <f>IF(ExtraPayment=0, 0, IF(AND($B1130&lt;&gt;0,ExtraPayment&lt;=$B1130),-ExtraPayment,-($F1130)-$B1130))</f>
        <v>0</v>
      </c>
      <c r="E1130" s="5">
        <f>IF($B1130 &lt;= 0, 0, -ROUND($B1130 * (InterestRate / PaymentsPerYear), 2))</f>
        <v>0</v>
      </c>
      <c r="F1130" s="5">
        <f>ROUND(IFERROR(IF(OR($B1130 &lt;=0, $B1130 = ExtraPayment),0,
MAX(-$B1130, -(-PMT(InterestRate/PaymentsPerYear,LoanTerm*PaymentsPerYear,LoanAmount) + $E1130))), 0), 2)</f>
        <v>0</v>
      </c>
      <c r="G1130" s="5">
        <f t="shared" si="70"/>
        <v>0</v>
      </c>
      <c r="H1130" s="5">
        <f t="shared" si="71"/>
        <v>0</v>
      </c>
    </row>
    <row r="1131" spans="1:8" x14ac:dyDescent="0.2">
      <c r="A1131" s="2">
        <v>1130</v>
      </c>
      <c r="B1131" s="5">
        <f t="shared" si="68"/>
        <v>0</v>
      </c>
      <c r="C1131" s="5">
        <f t="shared" si="69"/>
        <v>0</v>
      </c>
      <c r="D1131" s="5">
        <f>IF(ExtraPayment=0, 0, IF(AND($B1131&lt;&gt;0,ExtraPayment&lt;=$B1131),-ExtraPayment,-($F1131)-$B1131))</f>
        <v>0</v>
      </c>
      <c r="E1131" s="5">
        <f>IF($B1131 &lt;= 0, 0, -ROUND($B1131 * (InterestRate / PaymentsPerYear), 2))</f>
        <v>0</v>
      </c>
      <c r="F1131" s="5">
        <f>ROUND(IFERROR(IF(OR($B1131 &lt;=0, $B1131 = ExtraPayment),0,
MAX(-$B1131, -(-PMT(InterestRate/PaymentsPerYear,LoanTerm*PaymentsPerYear,LoanAmount) + $E1131))), 0), 2)</f>
        <v>0</v>
      </c>
      <c r="G1131" s="5">
        <f t="shared" si="70"/>
        <v>0</v>
      </c>
      <c r="H1131" s="5">
        <f t="shared" si="71"/>
        <v>0</v>
      </c>
    </row>
    <row r="1132" spans="1:8" x14ac:dyDescent="0.2">
      <c r="A1132" s="2">
        <v>1131</v>
      </c>
      <c r="B1132" s="5">
        <f t="shared" si="68"/>
        <v>0</v>
      </c>
      <c r="C1132" s="5">
        <f t="shared" si="69"/>
        <v>0</v>
      </c>
      <c r="D1132" s="5">
        <f>IF(ExtraPayment=0, 0, IF(AND($B1132&lt;&gt;0,ExtraPayment&lt;=$B1132),-ExtraPayment,-($F1132)-$B1132))</f>
        <v>0</v>
      </c>
      <c r="E1132" s="5">
        <f>IF($B1132 &lt;= 0, 0, -ROUND($B1132 * (InterestRate / PaymentsPerYear), 2))</f>
        <v>0</v>
      </c>
      <c r="F1132" s="5">
        <f>ROUND(IFERROR(IF(OR($B1132 &lt;=0, $B1132 = ExtraPayment),0,
MAX(-$B1132, -(-PMT(InterestRate/PaymentsPerYear,LoanTerm*PaymentsPerYear,LoanAmount) + $E1132))), 0), 2)</f>
        <v>0</v>
      </c>
      <c r="G1132" s="5">
        <f t="shared" si="70"/>
        <v>0</v>
      </c>
      <c r="H1132" s="5">
        <f t="shared" si="71"/>
        <v>0</v>
      </c>
    </row>
    <row r="1133" spans="1:8" x14ac:dyDescent="0.2">
      <c r="A1133" s="2">
        <v>1132</v>
      </c>
      <c r="B1133" s="5">
        <f t="shared" si="68"/>
        <v>0</v>
      </c>
      <c r="C1133" s="5">
        <f t="shared" si="69"/>
        <v>0</v>
      </c>
      <c r="D1133" s="5">
        <f>IF(ExtraPayment=0, 0, IF(AND($B1133&lt;&gt;0,ExtraPayment&lt;=$B1133),-ExtraPayment,-($F1133)-$B1133))</f>
        <v>0</v>
      </c>
      <c r="E1133" s="5">
        <f>IF($B1133 &lt;= 0, 0, -ROUND($B1133 * (InterestRate / PaymentsPerYear), 2))</f>
        <v>0</v>
      </c>
      <c r="F1133" s="5">
        <f>ROUND(IFERROR(IF(OR($B1133 &lt;=0, $B1133 = ExtraPayment),0,
MAX(-$B1133, -(-PMT(InterestRate/PaymentsPerYear,LoanTerm*PaymentsPerYear,LoanAmount) + $E1133))), 0), 2)</f>
        <v>0</v>
      </c>
      <c r="G1133" s="5">
        <f t="shared" si="70"/>
        <v>0</v>
      </c>
      <c r="H1133" s="5">
        <f t="shared" si="71"/>
        <v>0</v>
      </c>
    </row>
    <row r="1134" spans="1:8" x14ac:dyDescent="0.2">
      <c r="A1134" s="2">
        <v>1133</v>
      </c>
      <c r="B1134" s="5">
        <f t="shared" si="68"/>
        <v>0</v>
      </c>
      <c r="C1134" s="5">
        <f t="shared" si="69"/>
        <v>0</v>
      </c>
      <c r="D1134" s="5">
        <f>IF(ExtraPayment=0, 0, IF(AND($B1134&lt;&gt;0,ExtraPayment&lt;=$B1134),-ExtraPayment,-($F1134)-$B1134))</f>
        <v>0</v>
      </c>
      <c r="E1134" s="5">
        <f>IF($B1134 &lt;= 0, 0, -ROUND($B1134 * (InterestRate / PaymentsPerYear), 2))</f>
        <v>0</v>
      </c>
      <c r="F1134" s="5">
        <f>ROUND(IFERROR(IF(OR($B1134 &lt;=0, $B1134 = ExtraPayment),0,
MAX(-$B1134, -(-PMT(InterestRate/PaymentsPerYear,LoanTerm*PaymentsPerYear,LoanAmount) + $E1134))), 0), 2)</f>
        <v>0</v>
      </c>
      <c r="G1134" s="5">
        <f t="shared" si="70"/>
        <v>0</v>
      </c>
      <c r="H1134" s="5">
        <f t="shared" si="71"/>
        <v>0</v>
      </c>
    </row>
    <row r="1135" spans="1:8" x14ac:dyDescent="0.2">
      <c r="A1135" s="2">
        <v>1134</v>
      </c>
      <c r="B1135" s="5">
        <f t="shared" si="68"/>
        <v>0</v>
      </c>
      <c r="C1135" s="5">
        <f t="shared" si="69"/>
        <v>0</v>
      </c>
      <c r="D1135" s="5">
        <f>IF(ExtraPayment=0, 0, IF(AND($B1135&lt;&gt;0,ExtraPayment&lt;=$B1135),-ExtraPayment,-($F1135)-$B1135))</f>
        <v>0</v>
      </c>
      <c r="E1135" s="5">
        <f>IF($B1135 &lt;= 0, 0, -ROUND($B1135 * (InterestRate / PaymentsPerYear), 2))</f>
        <v>0</v>
      </c>
      <c r="F1135" s="5">
        <f>ROUND(IFERROR(IF(OR($B1135 &lt;=0, $B1135 = ExtraPayment),0,
MAX(-$B1135, -(-PMT(InterestRate/PaymentsPerYear,LoanTerm*PaymentsPerYear,LoanAmount) + $E1135))), 0), 2)</f>
        <v>0</v>
      </c>
      <c r="G1135" s="5">
        <f t="shared" si="70"/>
        <v>0</v>
      </c>
      <c r="H1135" s="5">
        <f t="shared" si="71"/>
        <v>0</v>
      </c>
    </row>
    <row r="1136" spans="1:8" x14ac:dyDescent="0.2">
      <c r="A1136" s="2">
        <v>1135</v>
      </c>
      <c r="B1136" s="5">
        <f t="shared" si="68"/>
        <v>0</v>
      </c>
      <c r="C1136" s="5">
        <f t="shared" si="69"/>
        <v>0</v>
      </c>
      <c r="D1136" s="5">
        <f>IF(ExtraPayment=0, 0, IF(AND($B1136&lt;&gt;0,ExtraPayment&lt;=$B1136),-ExtraPayment,-($F1136)-$B1136))</f>
        <v>0</v>
      </c>
      <c r="E1136" s="5">
        <f>IF($B1136 &lt;= 0, 0, -ROUND($B1136 * (InterestRate / PaymentsPerYear), 2))</f>
        <v>0</v>
      </c>
      <c r="F1136" s="5">
        <f>ROUND(IFERROR(IF(OR($B1136 &lt;=0, $B1136 = ExtraPayment),0,
MAX(-$B1136, -(-PMT(InterestRate/PaymentsPerYear,LoanTerm*PaymentsPerYear,LoanAmount) + $E1136))), 0), 2)</f>
        <v>0</v>
      </c>
      <c r="G1136" s="5">
        <f t="shared" si="70"/>
        <v>0</v>
      </c>
      <c r="H1136" s="5">
        <f t="shared" si="71"/>
        <v>0</v>
      </c>
    </row>
    <row r="1137" spans="1:8" x14ac:dyDescent="0.2">
      <c r="A1137" s="2">
        <v>1136</v>
      </c>
      <c r="B1137" s="5">
        <f t="shared" si="68"/>
        <v>0</v>
      </c>
      <c r="C1137" s="5">
        <f t="shared" si="69"/>
        <v>0</v>
      </c>
      <c r="D1137" s="5">
        <f>IF(ExtraPayment=0, 0, IF(AND($B1137&lt;&gt;0,ExtraPayment&lt;=$B1137),-ExtraPayment,-($F1137)-$B1137))</f>
        <v>0</v>
      </c>
      <c r="E1137" s="5">
        <f>IF($B1137 &lt;= 0, 0, -ROUND($B1137 * (InterestRate / PaymentsPerYear), 2))</f>
        <v>0</v>
      </c>
      <c r="F1137" s="5">
        <f>ROUND(IFERROR(IF(OR($B1137 &lt;=0, $B1137 = ExtraPayment),0,
MAX(-$B1137, -(-PMT(InterestRate/PaymentsPerYear,LoanTerm*PaymentsPerYear,LoanAmount) + $E1137))), 0), 2)</f>
        <v>0</v>
      </c>
      <c r="G1137" s="5">
        <f t="shared" si="70"/>
        <v>0</v>
      </c>
      <c r="H1137" s="5">
        <f t="shared" si="71"/>
        <v>0</v>
      </c>
    </row>
    <row r="1138" spans="1:8" x14ac:dyDescent="0.2">
      <c r="A1138" s="2">
        <v>1137</v>
      </c>
      <c r="B1138" s="5">
        <f t="shared" si="68"/>
        <v>0</v>
      </c>
      <c r="C1138" s="5">
        <f t="shared" si="69"/>
        <v>0</v>
      </c>
      <c r="D1138" s="5">
        <f>IF(ExtraPayment=0, 0, IF(AND($B1138&lt;&gt;0,ExtraPayment&lt;=$B1138),-ExtraPayment,-($F1138)-$B1138))</f>
        <v>0</v>
      </c>
      <c r="E1138" s="5">
        <f>IF($B1138 &lt;= 0, 0, -ROUND($B1138 * (InterestRate / PaymentsPerYear), 2))</f>
        <v>0</v>
      </c>
      <c r="F1138" s="5">
        <f>ROUND(IFERROR(IF(OR($B1138 &lt;=0, $B1138 = ExtraPayment),0,
MAX(-$B1138, -(-PMT(InterestRate/PaymentsPerYear,LoanTerm*PaymentsPerYear,LoanAmount) + $E1138))), 0), 2)</f>
        <v>0</v>
      </c>
      <c r="G1138" s="5">
        <f t="shared" si="70"/>
        <v>0</v>
      </c>
      <c r="H1138" s="5">
        <f t="shared" si="71"/>
        <v>0</v>
      </c>
    </row>
    <row r="1139" spans="1:8" x14ac:dyDescent="0.2">
      <c r="A1139" s="2">
        <v>1138</v>
      </c>
      <c r="B1139" s="5">
        <f t="shared" si="68"/>
        <v>0</v>
      </c>
      <c r="C1139" s="5">
        <f t="shared" si="69"/>
        <v>0</v>
      </c>
      <c r="D1139" s="5">
        <f>IF(ExtraPayment=0, 0, IF(AND($B1139&lt;&gt;0,ExtraPayment&lt;=$B1139),-ExtraPayment,-($F1139)-$B1139))</f>
        <v>0</v>
      </c>
      <c r="E1139" s="5">
        <f>IF($B1139 &lt;= 0, 0, -ROUND($B1139 * (InterestRate / PaymentsPerYear), 2))</f>
        <v>0</v>
      </c>
      <c r="F1139" s="5">
        <f>ROUND(IFERROR(IF(OR($B1139 &lt;=0, $B1139 = ExtraPayment),0,
MAX(-$B1139, -(-PMT(InterestRate/PaymentsPerYear,LoanTerm*PaymentsPerYear,LoanAmount) + $E1139))), 0), 2)</f>
        <v>0</v>
      </c>
      <c r="G1139" s="5">
        <f t="shared" si="70"/>
        <v>0</v>
      </c>
      <c r="H1139" s="5">
        <f t="shared" si="71"/>
        <v>0</v>
      </c>
    </row>
    <row r="1140" spans="1:8" x14ac:dyDescent="0.2">
      <c r="A1140" s="2">
        <v>1139</v>
      </c>
      <c r="B1140" s="5">
        <f t="shared" si="68"/>
        <v>0</v>
      </c>
      <c r="C1140" s="5">
        <f t="shared" si="69"/>
        <v>0</v>
      </c>
      <c r="D1140" s="5">
        <f>IF(ExtraPayment=0, 0, IF(AND($B1140&lt;&gt;0,ExtraPayment&lt;=$B1140),-ExtraPayment,-($F1140)-$B1140))</f>
        <v>0</v>
      </c>
      <c r="E1140" s="5">
        <f>IF($B1140 &lt;= 0, 0, -ROUND($B1140 * (InterestRate / PaymentsPerYear), 2))</f>
        <v>0</v>
      </c>
      <c r="F1140" s="5">
        <f>ROUND(IFERROR(IF(OR($B1140 &lt;=0, $B1140 = ExtraPayment),0,
MAX(-$B1140, -(-PMT(InterestRate/PaymentsPerYear,LoanTerm*PaymentsPerYear,LoanAmount) + $E1140))), 0), 2)</f>
        <v>0</v>
      </c>
      <c r="G1140" s="5">
        <f t="shared" si="70"/>
        <v>0</v>
      </c>
      <c r="H1140" s="5">
        <f t="shared" si="71"/>
        <v>0</v>
      </c>
    </row>
    <row r="1141" spans="1:8" x14ac:dyDescent="0.2">
      <c r="A1141" s="2">
        <v>1140</v>
      </c>
      <c r="B1141" s="5">
        <f t="shared" si="68"/>
        <v>0</v>
      </c>
      <c r="C1141" s="5">
        <f t="shared" si="69"/>
        <v>0</v>
      </c>
      <c r="D1141" s="5">
        <f>IF(ExtraPayment=0, 0, IF(AND($B1141&lt;&gt;0,ExtraPayment&lt;=$B1141),-ExtraPayment,-($F1141)-$B1141))</f>
        <v>0</v>
      </c>
      <c r="E1141" s="5">
        <f>IF($B1141 &lt;= 0, 0, -ROUND($B1141 * (InterestRate / PaymentsPerYear), 2))</f>
        <v>0</v>
      </c>
      <c r="F1141" s="5">
        <f>ROUND(IFERROR(IF(OR($B1141 &lt;=0, $B1141 = ExtraPayment),0,
MAX(-$B1141, -(-PMT(InterestRate/PaymentsPerYear,LoanTerm*PaymentsPerYear,LoanAmount) + $E1141))), 0), 2)</f>
        <v>0</v>
      </c>
      <c r="G1141" s="5">
        <f t="shared" si="70"/>
        <v>0</v>
      </c>
      <c r="H1141" s="5">
        <f t="shared" si="71"/>
        <v>0</v>
      </c>
    </row>
    <row r="1142" spans="1:8" x14ac:dyDescent="0.2">
      <c r="A1142" s="2">
        <v>1141</v>
      </c>
      <c r="B1142" s="5">
        <f t="shared" si="68"/>
        <v>0</v>
      </c>
      <c r="C1142" s="5">
        <f t="shared" si="69"/>
        <v>0</v>
      </c>
      <c r="D1142" s="5">
        <f>IF(ExtraPayment=0, 0, IF(AND($B1142&lt;&gt;0,ExtraPayment&lt;=$B1142),-ExtraPayment,-($F1142)-$B1142))</f>
        <v>0</v>
      </c>
      <c r="E1142" s="5">
        <f>IF($B1142 &lt;= 0, 0, -ROUND($B1142 * (InterestRate / PaymentsPerYear), 2))</f>
        <v>0</v>
      </c>
      <c r="F1142" s="5">
        <f>ROUND(IFERROR(IF(OR($B1142 &lt;=0, $B1142 = ExtraPayment),0,
MAX(-$B1142, -(-PMT(InterestRate/PaymentsPerYear,LoanTerm*PaymentsPerYear,LoanAmount) + $E1142))), 0), 2)</f>
        <v>0</v>
      </c>
      <c r="G1142" s="5">
        <f t="shared" si="70"/>
        <v>0</v>
      </c>
      <c r="H1142" s="5">
        <f t="shared" si="71"/>
        <v>0</v>
      </c>
    </row>
    <row r="1143" spans="1:8" x14ac:dyDescent="0.2">
      <c r="A1143" s="2">
        <v>1142</v>
      </c>
      <c r="B1143" s="5">
        <f t="shared" si="68"/>
        <v>0</v>
      </c>
      <c r="C1143" s="5">
        <f t="shared" si="69"/>
        <v>0</v>
      </c>
      <c r="D1143" s="5">
        <f>IF(ExtraPayment=0, 0, IF(AND($B1143&lt;&gt;0,ExtraPayment&lt;=$B1143),-ExtraPayment,-($F1143)-$B1143))</f>
        <v>0</v>
      </c>
      <c r="E1143" s="5">
        <f>IF($B1143 &lt;= 0, 0, -ROUND($B1143 * (InterestRate / PaymentsPerYear), 2))</f>
        <v>0</v>
      </c>
      <c r="F1143" s="5">
        <f>ROUND(IFERROR(IF(OR($B1143 &lt;=0, $B1143 = ExtraPayment),0,
MAX(-$B1143, -(-PMT(InterestRate/PaymentsPerYear,LoanTerm*PaymentsPerYear,LoanAmount) + $E1143))), 0), 2)</f>
        <v>0</v>
      </c>
      <c r="G1143" s="5">
        <f t="shared" si="70"/>
        <v>0</v>
      </c>
      <c r="H1143" s="5">
        <f t="shared" si="71"/>
        <v>0</v>
      </c>
    </row>
    <row r="1144" spans="1:8" x14ac:dyDescent="0.2">
      <c r="A1144" s="2">
        <v>1143</v>
      </c>
      <c r="B1144" s="5">
        <f t="shared" si="68"/>
        <v>0</v>
      </c>
      <c r="C1144" s="5">
        <f t="shared" si="69"/>
        <v>0</v>
      </c>
      <c r="D1144" s="5">
        <f>IF(ExtraPayment=0, 0, IF(AND($B1144&lt;&gt;0,ExtraPayment&lt;=$B1144),-ExtraPayment,-($F1144)-$B1144))</f>
        <v>0</v>
      </c>
      <c r="E1144" s="5">
        <f>IF($B1144 &lt;= 0, 0, -ROUND($B1144 * (InterestRate / PaymentsPerYear), 2))</f>
        <v>0</v>
      </c>
      <c r="F1144" s="5">
        <f>ROUND(IFERROR(IF(OR($B1144 &lt;=0, $B1144 = ExtraPayment),0,
MAX(-$B1144, -(-PMT(InterestRate/PaymentsPerYear,LoanTerm*PaymentsPerYear,LoanAmount) + $E1144))), 0), 2)</f>
        <v>0</v>
      </c>
      <c r="G1144" s="5">
        <f t="shared" si="70"/>
        <v>0</v>
      </c>
      <c r="H1144" s="5">
        <f t="shared" si="71"/>
        <v>0</v>
      </c>
    </row>
    <row r="1145" spans="1:8" x14ac:dyDescent="0.2">
      <c r="A1145" s="2">
        <v>1144</v>
      </c>
      <c r="B1145" s="5">
        <f t="shared" si="68"/>
        <v>0</v>
      </c>
      <c r="C1145" s="5">
        <f t="shared" si="69"/>
        <v>0</v>
      </c>
      <c r="D1145" s="5">
        <f>IF(ExtraPayment=0, 0, IF(AND($B1145&lt;&gt;0,ExtraPayment&lt;=$B1145),-ExtraPayment,-($F1145)-$B1145))</f>
        <v>0</v>
      </c>
      <c r="E1145" s="5">
        <f>IF($B1145 &lt;= 0, 0, -ROUND($B1145 * (InterestRate / PaymentsPerYear), 2))</f>
        <v>0</v>
      </c>
      <c r="F1145" s="5">
        <f>ROUND(IFERROR(IF(OR($B1145 &lt;=0, $B1145 = ExtraPayment),0,
MAX(-$B1145, -(-PMT(InterestRate/PaymentsPerYear,LoanTerm*PaymentsPerYear,LoanAmount) + $E1145))), 0), 2)</f>
        <v>0</v>
      </c>
      <c r="G1145" s="5">
        <f t="shared" si="70"/>
        <v>0</v>
      </c>
      <c r="H1145" s="5">
        <f t="shared" si="71"/>
        <v>0</v>
      </c>
    </row>
    <row r="1146" spans="1:8" x14ac:dyDescent="0.2">
      <c r="A1146" s="2">
        <v>1145</v>
      </c>
      <c r="B1146" s="5">
        <f t="shared" si="68"/>
        <v>0</v>
      </c>
      <c r="C1146" s="5">
        <f t="shared" si="69"/>
        <v>0</v>
      </c>
      <c r="D1146" s="5">
        <f>IF(ExtraPayment=0, 0, IF(AND($B1146&lt;&gt;0,ExtraPayment&lt;=$B1146),-ExtraPayment,-($F1146)-$B1146))</f>
        <v>0</v>
      </c>
      <c r="E1146" s="5">
        <f>IF($B1146 &lt;= 0, 0, -ROUND($B1146 * (InterestRate / PaymentsPerYear), 2))</f>
        <v>0</v>
      </c>
      <c r="F1146" s="5">
        <f>ROUND(IFERROR(IF(OR($B1146 &lt;=0, $B1146 = ExtraPayment),0,
MAX(-$B1146, -(-PMT(InterestRate/PaymentsPerYear,LoanTerm*PaymentsPerYear,LoanAmount) + $E1146))), 0), 2)</f>
        <v>0</v>
      </c>
      <c r="G1146" s="5">
        <f t="shared" si="70"/>
        <v>0</v>
      </c>
      <c r="H1146" s="5">
        <f t="shared" si="71"/>
        <v>0</v>
      </c>
    </row>
    <row r="1147" spans="1:8" x14ac:dyDescent="0.2">
      <c r="A1147" s="2">
        <v>1146</v>
      </c>
      <c r="B1147" s="5">
        <f t="shared" si="68"/>
        <v>0</v>
      </c>
      <c r="C1147" s="5">
        <f t="shared" si="69"/>
        <v>0</v>
      </c>
      <c r="D1147" s="5">
        <f>IF(ExtraPayment=0, 0, IF(AND($B1147&lt;&gt;0,ExtraPayment&lt;=$B1147),-ExtraPayment,-($F1147)-$B1147))</f>
        <v>0</v>
      </c>
      <c r="E1147" s="5">
        <f>IF($B1147 &lt;= 0, 0, -ROUND($B1147 * (InterestRate / PaymentsPerYear), 2))</f>
        <v>0</v>
      </c>
      <c r="F1147" s="5">
        <f>ROUND(IFERROR(IF(OR($B1147 &lt;=0, $B1147 = ExtraPayment),0,
MAX(-$B1147, -(-PMT(InterestRate/PaymentsPerYear,LoanTerm*PaymentsPerYear,LoanAmount) + $E1147))), 0), 2)</f>
        <v>0</v>
      </c>
      <c r="G1147" s="5">
        <f t="shared" si="70"/>
        <v>0</v>
      </c>
      <c r="H1147" s="5">
        <f t="shared" si="71"/>
        <v>0</v>
      </c>
    </row>
    <row r="1148" spans="1:8" x14ac:dyDescent="0.2">
      <c r="A1148" s="2">
        <v>1147</v>
      </c>
      <c r="B1148" s="5">
        <f t="shared" si="68"/>
        <v>0</v>
      </c>
      <c r="C1148" s="5">
        <f t="shared" si="69"/>
        <v>0</v>
      </c>
      <c r="D1148" s="5">
        <f>IF(ExtraPayment=0, 0, IF(AND($B1148&lt;&gt;0,ExtraPayment&lt;=$B1148),-ExtraPayment,-($F1148)-$B1148))</f>
        <v>0</v>
      </c>
      <c r="E1148" s="5">
        <f>IF($B1148 &lt;= 0, 0, -ROUND($B1148 * (InterestRate / PaymentsPerYear), 2))</f>
        <v>0</v>
      </c>
      <c r="F1148" s="5">
        <f>ROUND(IFERROR(IF(OR($B1148 &lt;=0, $B1148 = ExtraPayment),0,
MAX(-$B1148, -(-PMT(InterestRate/PaymentsPerYear,LoanTerm*PaymentsPerYear,LoanAmount) + $E1148))), 0), 2)</f>
        <v>0</v>
      </c>
      <c r="G1148" s="5">
        <f t="shared" si="70"/>
        <v>0</v>
      </c>
      <c r="H1148" s="5">
        <f t="shared" si="71"/>
        <v>0</v>
      </c>
    </row>
    <row r="1149" spans="1:8" x14ac:dyDescent="0.2">
      <c r="A1149" s="2">
        <v>1148</v>
      </c>
      <c r="B1149" s="5">
        <f t="shared" si="68"/>
        <v>0</v>
      </c>
      <c r="C1149" s="5">
        <f t="shared" si="69"/>
        <v>0</v>
      </c>
      <c r="D1149" s="5">
        <f>IF(ExtraPayment=0, 0, IF(AND($B1149&lt;&gt;0,ExtraPayment&lt;=$B1149),-ExtraPayment,-($F1149)-$B1149))</f>
        <v>0</v>
      </c>
      <c r="E1149" s="5">
        <f>IF($B1149 &lt;= 0, 0, -ROUND($B1149 * (InterestRate / PaymentsPerYear), 2))</f>
        <v>0</v>
      </c>
      <c r="F1149" s="5">
        <f>ROUND(IFERROR(IF(OR($B1149 &lt;=0, $B1149 = ExtraPayment),0,
MAX(-$B1149, -(-PMT(InterestRate/PaymentsPerYear,LoanTerm*PaymentsPerYear,LoanAmount) + $E1149))), 0), 2)</f>
        <v>0</v>
      </c>
      <c r="G1149" s="5">
        <f t="shared" si="70"/>
        <v>0</v>
      </c>
      <c r="H1149" s="5">
        <f t="shared" si="71"/>
        <v>0</v>
      </c>
    </row>
    <row r="1150" spans="1:8" x14ac:dyDescent="0.2">
      <c r="A1150" s="2">
        <v>1149</v>
      </c>
      <c r="B1150" s="5">
        <f t="shared" si="68"/>
        <v>0</v>
      </c>
      <c r="C1150" s="5">
        <f t="shared" si="69"/>
        <v>0</v>
      </c>
      <c r="D1150" s="5">
        <f>IF(ExtraPayment=0, 0, IF(AND($B1150&lt;&gt;0,ExtraPayment&lt;=$B1150),-ExtraPayment,-($F1150)-$B1150))</f>
        <v>0</v>
      </c>
      <c r="E1150" s="5">
        <f>IF($B1150 &lt;= 0, 0, -ROUND($B1150 * (InterestRate / PaymentsPerYear), 2))</f>
        <v>0</v>
      </c>
      <c r="F1150" s="5">
        <f>ROUND(IFERROR(IF(OR($B1150 &lt;=0, $B1150 = ExtraPayment),0,
MAX(-$B1150, -(-PMT(InterestRate/PaymentsPerYear,LoanTerm*PaymentsPerYear,LoanAmount) + $E1150))), 0), 2)</f>
        <v>0</v>
      </c>
      <c r="G1150" s="5">
        <f t="shared" si="70"/>
        <v>0</v>
      </c>
      <c r="H1150" s="5">
        <f t="shared" si="71"/>
        <v>0</v>
      </c>
    </row>
    <row r="1151" spans="1:8" x14ac:dyDescent="0.2">
      <c r="A1151" s="2">
        <v>1150</v>
      </c>
      <c r="B1151" s="5">
        <f t="shared" si="68"/>
        <v>0</v>
      </c>
      <c r="C1151" s="5">
        <f t="shared" si="69"/>
        <v>0</v>
      </c>
      <c r="D1151" s="5">
        <f>IF(ExtraPayment=0, 0, IF(AND($B1151&lt;&gt;0,ExtraPayment&lt;=$B1151),-ExtraPayment,-($F1151)-$B1151))</f>
        <v>0</v>
      </c>
      <c r="E1151" s="5">
        <f>IF($B1151 &lt;= 0, 0, -ROUND($B1151 * (InterestRate / PaymentsPerYear), 2))</f>
        <v>0</v>
      </c>
      <c r="F1151" s="5">
        <f>ROUND(IFERROR(IF(OR($B1151 &lt;=0, $B1151 = ExtraPayment),0,
MAX(-$B1151, -(-PMT(InterestRate/PaymentsPerYear,LoanTerm*PaymentsPerYear,LoanAmount) + $E1151))), 0), 2)</f>
        <v>0</v>
      </c>
      <c r="G1151" s="5">
        <f t="shared" si="70"/>
        <v>0</v>
      </c>
      <c r="H1151" s="5">
        <f t="shared" si="71"/>
        <v>0</v>
      </c>
    </row>
    <row r="1152" spans="1:8" x14ac:dyDescent="0.2">
      <c r="A1152" s="2">
        <v>1151</v>
      </c>
      <c r="B1152" s="5">
        <f t="shared" si="68"/>
        <v>0</v>
      </c>
      <c r="C1152" s="5">
        <f t="shared" si="69"/>
        <v>0</v>
      </c>
      <c r="D1152" s="5">
        <f>IF(ExtraPayment=0, 0, IF(AND($B1152&lt;&gt;0,ExtraPayment&lt;=$B1152),-ExtraPayment,-($F1152)-$B1152))</f>
        <v>0</v>
      </c>
      <c r="E1152" s="5">
        <f>IF($B1152 &lt;= 0, 0, -ROUND($B1152 * (InterestRate / PaymentsPerYear), 2))</f>
        <v>0</v>
      </c>
      <c r="F1152" s="5">
        <f>ROUND(IFERROR(IF(OR($B1152 &lt;=0, $B1152 = ExtraPayment),0,
MAX(-$B1152, -(-PMT(InterestRate/PaymentsPerYear,LoanTerm*PaymentsPerYear,LoanAmount) + $E1152))), 0), 2)</f>
        <v>0</v>
      </c>
      <c r="G1152" s="5">
        <f t="shared" si="70"/>
        <v>0</v>
      </c>
      <c r="H1152" s="5">
        <f t="shared" si="71"/>
        <v>0</v>
      </c>
    </row>
    <row r="1153" spans="1:8" x14ac:dyDescent="0.2">
      <c r="A1153" s="2">
        <v>1152</v>
      </c>
      <c r="B1153" s="5">
        <f t="shared" si="68"/>
        <v>0</v>
      </c>
      <c r="C1153" s="5">
        <f t="shared" si="69"/>
        <v>0</v>
      </c>
      <c r="D1153" s="5">
        <f>IF(ExtraPayment=0, 0, IF(AND($B1153&lt;&gt;0,ExtraPayment&lt;=$B1153),-ExtraPayment,-($F1153)-$B1153))</f>
        <v>0</v>
      </c>
      <c r="E1153" s="5">
        <f>IF($B1153 &lt;= 0, 0, -ROUND($B1153 * (InterestRate / PaymentsPerYear), 2))</f>
        <v>0</v>
      </c>
      <c r="F1153" s="5">
        <f>ROUND(IFERROR(IF(OR($B1153 &lt;=0, $B1153 = ExtraPayment),0,
MAX(-$B1153, -(-PMT(InterestRate/PaymentsPerYear,LoanTerm*PaymentsPerYear,LoanAmount) + $E1153))), 0), 2)</f>
        <v>0</v>
      </c>
      <c r="G1153" s="5">
        <f t="shared" si="70"/>
        <v>0</v>
      </c>
      <c r="H1153" s="5">
        <f t="shared" si="71"/>
        <v>0</v>
      </c>
    </row>
    <row r="1154" spans="1:8" x14ac:dyDescent="0.2">
      <c r="A1154" s="2">
        <v>1153</v>
      </c>
      <c r="B1154" s="5">
        <f t="shared" si="68"/>
        <v>0</v>
      </c>
      <c r="C1154" s="5">
        <f t="shared" si="69"/>
        <v>0</v>
      </c>
      <c r="D1154" s="5">
        <f>IF(ExtraPayment=0, 0, IF(AND($B1154&lt;&gt;0,ExtraPayment&lt;=$B1154),-ExtraPayment,-($F1154)-$B1154))</f>
        <v>0</v>
      </c>
      <c r="E1154" s="5">
        <f>IF($B1154 &lt;= 0, 0, -ROUND($B1154 * (InterestRate / PaymentsPerYear), 2))</f>
        <v>0</v>
      </c>
      <c r="F1154" s="5">
        <f>ROUND(IFERROR(IF(OR($B1154 &lt;=0, $B1154 = ExtraPayment),0,
MAX(-$B1154, -(-PMT(InterestRate/PaymentsPerYear,LoanTerm*PaymentsPerYear,LoanAmount) + $E1154))), 0), 2)</f>
        <v>0</v>
      </c>
      <c r="G1154" s="5">
        <f t="shared" si="70"/>
        <v>0</v>
      </c>
      <c r="H1154" s="5">
        <f t="shared" si="71"/>
        <v>0</v>
      </c>
    </row>
    <row r="1155" spans="1:8" x14ac:dyDescent="0.2">
      <c r="A1155" s="2">
        <v>1154</v>
      </c>
      <c r="B1155" s="5">
        <f t="shared" si="68"/>
        <v>0</v>
      </c>
      <c r="C1155" s="5">
        <f t="shared" si="69"/>
        <v>0</v>
      </c>
      <c r="D1155" s="5">
        <f>IF(ExtraPayment=0, 0, IF(AND($B1155&lt;&gt;0,ExtraPayment&lt;=$B1155),-ExtraPayment,-($F1155)-$B1155))</f>
        <v>0</v>
      </c>
      <c r="E1155" s="5">
        <f>IF($B1155 &lt;= 0, 0, -ROUND($B1155 * (InterestRate / PaymentsPerYear), 2))</f>
        <v>0</v>
      </c>
      <c r="F1155" s="5">
        <f>ROUND(IFERROR(IF(OR($B1155 &lt;=0, $B1155 = ExtraPayment),0,
MAX(-$B1155, -(-PMT(InterestRate/PaymentsPerYear,LoanTerm*PaymentsPerYear,LoanAmount) + $E1155))), 0), 2)</f>
        <v>0</v>
      </c>
      <c r="G1155" s="5">
        <f t="shared" si="70"/>
        <v>0</v>
      </c>
      <c r="H1155" s="5">
        <f t="shared" si="71"/>
        <v>0</v>
      </c>
    </row>
    <row r="1156" spans="1:8" x14ac:dyDescent="0.2">
      <c r="A1156" s="2">
        <v>1155</v>
      </c>
      <c r="B1156" s="5">
        <f t="shared" ref="B1156:B1219" si="72">ROUND(IF($H1155 &gt;= 0, MAX($H1155, $F1155), 0), 2)</f>
        <v>0</v>
      </c>
      <c r="C1156" s="5">
        <f t="shared" ref="C1156:C1219" si="73">IF($B1156 &lt;= 0, 0, $D1156+$E1156+$F1156)</f>
        <v>0</v>
      </c>
      <c r="D1156" s="5">
        <f>IF(ExtraPayment=0, 0, IF(AND($B1156&lt;&gt;0,ExtraPayment&lt;=$B1156),-ExtraPayment,-($F1156)-$B1156))</f>
        <v>0</v>
      </c>
      <c r="E1156" s="5">
        <f>IF($B1156 &lt;= 0, 0, -ROUND($B1156 * (InterestRate / PaymentsPerYear), 2))</f>
        <v>0</v>
      </c>
      <c r="F1156" s="5">
        <f>ROUND(IFERROR(IF(OR($B1156 &lt;=0, $B1156 = ExtraPayment),0,
MAX(-$B1156, -(-PMT(InterestRate/PaymentsPerYear,LoanTerm*PaymentsPerYear,LoanAmount) + $E1156))), 0), 2)</f>
        <v>0</v>
      </c>
      <c r="G1156" s="5">
        <f t="shared" ref="G1156:G1219" si="74">$D1156+$F1156</f>
        <v>0</v>
      </c>
      <c r="H1156" s="5">
        <f t="shared" ref="H1156:H1219" si="75">ROUND(IF($B1156 &lt;= 0, 0,MAX(0, $B1156 + $G1156)), 2)</f>
        <v>0</v>
      </c>
    </row>
    <row r="1157" spans="1:8" x14ac:dyDescent="0.2">
      <c r="A1157" s="2">
        <v>1156</v>
      </c>
      <c r="B1157" s="5">
        <f t="shared" si="72"/>
        <v>0</v>
      </c>
      <c r="C1157" s="5">
        <f t="shared" si="73"/>
        <v>0</v>
      </c>
      <c r="D1157" s="5">
        <f>IF(ExtraPayment=0, 0, IF(AND($B1157&lt;&gt;0,ExtraPayment&lt;=$B1157),-ExtraPayment,-($F1157)-$B1157))</f>
        <v>0</v>
      </c>
      <c r="E1157" s="5">
        <f>IF($B1157 &lt;= 0, 0, -ROUND($B1157 * (InterestRate / PaymentsPerYear), 2))</f>
        <v>0</v>
      </c>
      <c r="F1157" s="5">
        <f>ROUND(IFERROR(IF(OR($B1157 &lt;=0, $B1157 = ExtraPayment),0,
MAX(-$B1157, -(-PMT(InterestRate/PaymentsPerYear,LoanTerm*PaymentsPerYear,LoanAmount) + $E1157))), 0), 2)</f>
        <v>0</v>
      </c>
      <c r="G1157" s="5">
        <f t="shared" si="74"/>
        <v>0</v>
      </c>
      <c r="H1157" s="5">
        <f t="shared" si="75"/>
        <v>0</v>
      </c>
    </row>
    <row r="1158" spans="1:8" x14ac:dyDescent="0.2">
      <c r="A1158" s="2">
        <v>1157</v>
      </c>
      <c r="B1158" s="5">
        <f t="shared" si="72"/>
        <v>0</v>
      </c>
      <c r="C1158" s="5">
        <f t="shared" si="73"/>
        <v>0</v>
      </c>
      <c r="D1158" s="5">
        <f>IF(ExtraPayment=0, 0, IF(AND($B1158&lt;&gt;0,ExtraPayment&lt;=$B1158),-ExtraPayment,-($F1158)-$B1158))</f>
        <v>0</v>
      </c>
      <c r="E1158" s="5">
        <f>IF($B1158 &lt;= 0, 0, -ROUND($B1158 * (InterestRate / PaymentsPerYear), 2))</f>
        <v>0</v>
      </c>
      <c r="F1158" s="5">
        <f>ROUND(IFERROR(IF(OR($B1158 &lt;=0, $B1158 = ExtraPayment),0,
MAX(-$B1158, -(-PMT(InterestRate/PaymentsPerYear,LoanTerm*PaymentsPerYear,LoanAmount) + $E1158))), 0), 2)</f>
        <v>0</v>
      </c>
      <c r="G1158" s="5">
        <f t="shared" si="74"/>
        <v>0</v>
      </c>
      <c r="H1158" s="5">
        <f t="shared" si="75"/>
        <v>0</v>
      </c>
    </row>
    <row r="1159" spans="1:8" x14ac:dyDescent="0.2">
      <c r="A1159" s="2">
        <v>1158</v>
      </c>
      <c r="B1159" s="5">
        <f t="shared" si="72"/>
        <v>0</v>
      </c>
      <c r="C1159" s="5">
        <f t="shared" si="73"/>
        <v>0</v>
      </c>
      <c r="D1159" s="5">
        <f>IF(ExtraPayment=0, 0, IF(AND($B1159&lt;&gt;0,ExtraPayment&lt;=$B1159),-ExtraPayment,-($F1159)-$B1159))</f>
        <v>0</v>
      </c>
      <c r="E1159" s="5">
        <f>IF($B1159 &lt;= 0, 0, -ROUND($B1159 * (InterestRate / PaymentsPerYear), 2))</f>
        <v>0</v>
      </c>
      <c r="F1159" s="5">
        <f>ROUND(IFERROR(IF(OR($B1159 &lt;=0, $B1159 = ExtraPayment),0,
MAX(-$B1159, -(-PMT(InterestRate/PaymentsPerYear,LoanTerm*PaymentsPerYear,LoanAmount) + $E1159))), 0), 2)</f>
        <v>0</v>
      </c>
      <c r="G1159" s="5">
        <f t="shared" si="74"/>
        <v>0</v>
      </c>
      <c r="H1159" s="5">
        <f t="shared" si="75"/>
        <v>0</v>
      </c>
    </row>
    <row r="1160" spans="1:8" x14ac:dyDescent="0.2">
      <c r="A1160" s="2">
        <v>1159</v>
      </c>
      <c r="B1160" s="5">
        <f t="shared" si="72"/>
        <v>0</v>
      </c>
      <c r="C1160" s="5">
        <f t="shared" si="73"/>
        <v>0</v>
      </c>
      <c r="D1160" s="5">
        <f>IF(ExtraPayment=0, 0, IF(AND($B1160&lt;&gt;0,ExtraPayment&lt;=$B1160),-ExtraPayment,-($F1160)-$B1160))</f>
        <v>0</v>
      </c>
      <c r="E1160" s="5">
        <f>IF($B1160 &lt;= 0, 0, -ROUND($B1160 * (InterestRate / PaymentsPerYear), 2))</f>
        <v>0</v>
      </c>
      <c r="F1160" s="5">
        <f>ROUND(IFERROR(IF(OR($B1160 &lt;=0, $B1160 = ExtraPayment),0,
MAX(-$B1160, -(-PMT(InterestRate/PaymentsPerYear,LoanTerm*PaymentsPerYear,LoanAmount) + $E1160))), 0), 2)</f>
        <v>0</v>
      </c>
      <c r="G1160" s="5">
        <f t="shared" si="74"/>
        <v>0</v>
      </c>
      <c r="H1160" s="5">
        <f t="shared" si="75"/>
        <v>0</v>
      </c>
    </row>
    <row r="1161" spans="1:8" x14ac:dyDescent="0.2">
      <c r="A1161" s="2">
        <v>1160</v>
      </c>
      <c r="B1161" s="5">
        <f t="shared" si="72"/>
        <v>0</v>
      </c>
      <c r="C1161" s="5">
        <f t="shared" si="73"/>
        <v>0</v>
      </c>
      <c r="D1161" s="5">
        <f>IF(ExtraPayment=0, 0, IF(AND($B1161&lt;&gt;0,ExtraPayment&lt;=$B1161),-ExtraPayment,-($F1161)-$B1161))</f>
        <v>0</v>
      </c>
      <c r="E1161" s="5">
        <f>IF($B1161 &lt;= 0, 0, -ROUND($B1161 * (InterestRate / PaymentsPerYear), 2))</f>
        <v>0</v>
      </c>
      <c r="F1161" s="5">
        <f>ROUND(IFERROR(IF(OR($B1161 &lt;=0, $B1161 = ExtraPayment),0,
MAX(-$B1161, -(-PMT(InterestRate/PaymentsPerYear,LoanTerm*PaymentsPerYear,LoanAmount) + $E1161))), 0), 2)</f>
        <v>0</v>
      </c>
      <c r="G1161" s="5">
        <f t="shared" si="74"/>
        <v>0</v>
      </c>
      <c r="H1161" s="5">
        <f t="shared" si="75"/>
        <v>0</v>
      </c>
    </row>
    <row r="1162" spans="1:8" x14ac:dyDescent="0.2">
      <c r="A1162" s="2">
        <v>1161</v>
      </c>
      <c r="B1162" s="5">
        <f t="shared" si="72"/>
        <v>0</v>
      </c>
      <c r="C1162" s="5">
        <f t="shared" si="73"/>
        <v>0</v>
      </c>
      <c r="D1162" s="5">
        <f>IF(ExtraPayment=0, 0, IF(AND($B1162&lt;&gt;0,ExtraPayment&lt;=$B1162),-ExtraPayment,-($F1162)-$B1162))</f>
        <v>0</v>
      </c>
      <c r="E1162" s="5">
        <f>IF($B1162 &lt;= 0, 0, -ROUND($B1162 * (InterestRate / PaymentsPerYear), 2))</f>
        <v>0</v>
      </c>
      <c r="F1162" s="5">
        <f>ROUND(IFERROR(IF(OR($B1162 &lt;=0, $B1162 = ExtraPayment),0,
MAX(-$B1162, -(-PMT(InterestRate/PaymentsPerYear,LoanTerm*PaymentsPerYear,LoanAmount) + $E1162))), 0), 2)</f>
        <v>0</v>
      </c>
      <c r="G1162" s="5">
        <f t="shared" si="74"/>
        <v>0</v>
      </c>
      <c r="H1162" s="5">
        <f t="shared" si="75"/>
        <v>0</v>
      </c>
    </row>
    <row r="1163" spans="1:8" x14ac:dyDescent="0.2">
      <c r="A1163" s="2">
        <v>1162</v>
      </c>
      <c r="B1163" s="5">
        <f t="shared" si="72"/>
        <v>0</v>
      </c>
      <c r="C1163" s="5">
        <f t="shared" si="73"/>
        <v>0</v>
      </c>
      <c r="D1163" s="5">
        <f>IF(ExtraPayment=0, 0, IF(AND($B1163&lt;&gt;0,ExtraPayment&lt;=$B1163),-ExtraPayment,-($F1163)-$B1163))</f>
        <v>0</v>
      </c>
      <c r="E1163" s="5">
        <f>IF($B1163 &lt;= 0, 0, -ROUND($B1163 * (InterestRate / PaymentsPerYear), 2))</f>
        <v>0</v>
      </c>
      <c r="F1163" s="5">
        <f>ROUND(IFERROR(IF(OR($B1163 &lt;=0, $B1163 = ExtraPayment),0,
MAX(-$B1163, -(-PMT(InterestRate/PaymentsPerYear,LoanTerm*PaymentsPerYear,LoanAmount) + $E1163))), 0), 2)</f>
        <v>0</v>
      </c>
      <c r="G1163" s="5">
        <f t="shared" si="74"/>
        <v>0</v>
      </c>
      <c r="H1163" s="5">
        <f t="shared" si="75"/>
        <v>0</v>
      </c>
    </row>
    <row r="1164" spans="1:8" x14ac:dyDescent="0.2">
      <c r="A1164" s="2">
        <v>1163</v>
      </c>
      <c r="B1164" s="5">
        <f t="shared" si="72"/>
        <v>0</v>
      </c>
      <c r="C1164" s="5">
        <f t="shared" si="73"/>
        <v>0</v>
      </c>
      <c r="D1164" s="5">
        <f>IF(ExtraPayment=0, 0, IF(AND($B1164&lt;&gt;0,ExtraPayment&lt;=$B1164),-ExtraPayment,-($F1164)-$B1164))</f>
        <v>0</v>
      </c>
      <c r="E1164" s="5">
        <f>IF($B1164 &lt;= 0, 0, -ROUND($B1164 * (InterestRate / PaymentsPerYear), 2))</f>
        <v>0</v>
      </c>
      <c r="F1164" s="5">
        <f>ROUND(IFERROR(IF(OR($B1164 &lt;=0, $B1164 = ExtraPayment),0,
MAX(-$B1164, -(-PMT(InterestRate/PaymentsPerYear,LoanTerm*PaymentsPerYear,LoanAmount) + $E1164))), 0), 2)</f>
        <v>0</v>
      </c>
      <c r="G1164" s="5">
        <f t="shared" si="74"/>
        <v>0</v>
      </c>
      <c r="H1164" s="5">
        <f t="shared" si="75"/>
        <v>0</v>
      </c>
    </row>
    <row r="1165" spans="1:8" x14ac:dyDescent="0.2">
      <c r="A1165" s="2">
        <v>1164</v>
      </c>
      <c r="B1165" s="5">
        <f t="shared" si="72"/>
        <v>0</v>
      </c>
      <c r="C1165" s="5">
        <f t="shared" si="73"/>
        <v>0</v>
      </c>
      <c r="D1165" s="5">
        <f>IF(ExtraPayment=0, 0, IF(AND($B1165&lt;&gt;0,ExtraPayment&lt;=$B1165),-ExtraPayment,-($F1165)-$B1165))</f>
        <v>0</v>
      </c>
      <c r="E1165" s="5">
        <f>IF($B1165 &lt;= 0, 0, -ROUND($B1165 * (InterestRate / PaymentsPerYear), 2))</f>
        <v>0</v>
      </c>
      <c r="F1165" s="5">
        <f>ROUND(IFERROR(IF(OR($B1165 &lt;=0, $B1165 = ExtraPayment),0,
MAX(-$B1165, -(-PMT(InterestRate/PaymentsPerYear,LoanTerm*PaymentsPerYear,LoanAmount) + $E1165))), 0), 2)</f>
        <v>0</v>
      </c>
      <c r="G1165" s="5">
        <f t="shared" si="74"/>
        <v>0</v>
      </c>
      <c r="H1165" s="5">
        <f t="shared" si="75"/>
        <v>0</v>
      </c>
    </row>
    <row r="1166" spans="1:8" x14ac:dyDescent="0.2">
      <c r="A1166" s="2">
        <v>1165</v>
      </c>
      <c r="B1166" s="5">
        <f t="shared" si="72"/>
        <v>0</v>
      </c>
      <c r="C1166" s="5">
        <f t="shared" si="73"/>
        <v>0</v>
      </c>
      <c r="D1166" s="5">
        <f>IF(ExtraPayment=0, 0, IF(AND($B1166&lt;&gt;0,ExtraPayment&lt;=$B1166),-ExtraPayment,-($F1166)-$B1166))</f>
        <v>0</v>
      </c>
      <c r="E1166" s="5">
        <f>IF($B1166 &lt;= 0, 0, -ROUND($B1166 * (InterestRate / PaymentsPerYear), 2))</f>
        <v>0</v>
      </c>
      <c r="F1166" s="5">
        <f>ROUND(IFERROR(IF(OR($B1166 &lt;=0, $B1166 = ExtraPayment),0,
MAX(-$B1166, -(-PMT(InterestRate/PaymentsPerYear,LoanTerm*PaymentsPerYear,LoanAmount) + $E1166))), 0), 2)</f>
        <v>0</v>
      </c>
      <c r="G1166" s="5">
        <f t="shared" si="74"/>
        <v>0</v>
      </c>
      <c r="H1166" s="5">
        <f t="shared" si="75"/>
        <v>0</v>
      </c>
    </row>
    <row r="1167" spans="1:8" x14ac:dyDescent="0.2">
      <c r="A1167" s="2">
        <v>1166</v>
      </c>
      <c r="B1167" s="5">
        <f t="shared" si="72"/>
        <v>0</v>
      </c>
      <c r="C1167" s="5">
        <f t="shared" si="73"/>
        <v>0</v>
      </c>
      <c r="D1167" s="5">
        <f>IF(ExtraPayment=0, 0, IF(AND($B1167&lt;&gt;0,ExtraPayment&lt;=$B1167),-ExtraPayment,-($F1167)-$B1167))</f>
        <v>0</v>
      </c>
      <c r="E1167" s="5">
        <f>IF($B1167 &lt;= 0, 0, -ROUND($B1167 * (InterestRate / PaymentsPerYear), 2))</f>
        <v>0</v>
      </c>
      <c r="F1167" s="5">
        <f>ROUND(IFERROR(IF(OR($B1167 &lt;=0, $B1167 = ExtraPayment),0,
MAX(-$B1167, -(-PMT(InterestRate/PaymentsPerYear,LoanTerm*PaymentsPerYear,LoanAmount) + $E1167))), 0), 2)</f>
        <v>0</v>
      </c>
      <c r="G1167" s="5">
        <f t="shared" si="74"/>
        <v>0</v>
      </c>
      <c r="H1167" s="5">
        <f t="shared" si="75"/>
        <v>0</v>
      </c>
    </row>
    <row r="1168" spans="1:8" x14ac:dyDescent="0.2">
      <c r="A1168" s="2">
        <v>1167</v>
      </c>
      <c r="B1168" s="5">
        <f t="shared" si="72"/>
        <v>0</v>
      </c>
      <c r="C1168" s="5">
        <f t="shared" si="73"/>
        <v>0</v>
      </c>
      <c r="D1168" s="5">
        <f>IF(ExtraPayment=0, 0, IF(AND($B1168&lt;&gt;0,ExtraPayment&lt;=$B1168),-ExtraPayment,-($F1168)-$B1168))</f>
        <v>0</v>
      </c>
      <c r="E1168" s="5">
        <f>IF($B1168 &lt;= 0, 0, -ROUND($B1168 * (InterestRate / PaymentsPerYear), 2))</f>
        <v>0</v>
      </c>
      <c r="F1168" s="5">
        <f>ROUND(IFERROR(IF(OR($B1168 &lt;=0, $B1168 = ExtraPayment),0,
MAX(-$B1168, -(-PMT(InterestRate/PaymentsPerYear,LoanTerm*PaymentsPerYear,LoanAmount) + $E1168))), 0), 2)</f>
        <v>0</v>
      </c>
      <c r="G1168" s="5">
        <f t="shared" si="74"/>
        <v>0</v>
      </c>
      <c r="H1168" s="5">
        <f t="shared" si="75"/>
        <v>0</v>
      </c>
    </row>
    <row r="1169" spans="1:8" x14ac:dyDescent="0.2">
      <c r="A1169" s="2">
        <v>1168</v>
      </c>
      <c r="B1169" s="5">
        <f t="shared" si="72"/>
        <v>0</v>
      </c>
      <c r="C1169" s="5">
        <f t="shared" si="73"/>
        <v>0</v>
      </c>
      <c r="D1169" s="5">
        <f>IF(ExtraPayment=0, 0, IF(AND($B1169&lt;&gt;0,ExtraPayment&lt;=$B1169),-ExtraPayment,-($F1169)-$B1169))</f>
        <v>0</v>
      </c>
      <c r="E1169" s="5">
        <f>IF($B1169 &lt;= 0, 0, -ROUND($B1169 * (InterestRate / PaymentsPerYear), 2))</f>
        <v>0</v>
      </c>
      <c r="F1169" s="5">
        <f>ROUND(IFERROR(IF(OR($B1169 &lt;=0, $B1169 = ExtraPayment),0,
MAX(-$B1169, -(-PMT(InterestRate/PaymentsPerYear,LoanTerm*PaymentsPerYear,LoanAmount) + $E1169))), 0), 2)</f>
        <v>0</v>
      </c>
      <c r="G1169" s="5">
        <f t="shared" si="74"/>
        <v>0</v>
      </c>
      <c r="H1169" s="5">
        <f t="shared" si="75"/>
        <v>0</v>
      </c>
    </row>
    <row r="1170" spans="1:8" x14ac:dyDescent="0.2">
      <c r="A1170" s="2">
        <v>1169</v>
      </c>
      <c r="B1170" s="5">
        <f t="shared" si="72"/>
        <v>0</v>
      </c>
      <c r="C1170" s="5">
        <f t="shared" si="73"/>
        <v>0</v>
      </c>
      <c r="D1170" s="5">
        <f>IF(ExtraPayment=0, 0, IF(AND($B1170&lt;&gt;0,ExtraPayment&lt;=$B1170),-ExtraPayment,-($F1170)-$B1170))</f>
        <v>0</v>
      </c>
      <c r="E1170" s="5">
        <f>IF($B1170 &lt;= 0, 0, -ROUND($B1170 * (InterestRate / PaymentsPerYear), 2))</f>
        <v>0</v>
      </c>
      <c r="F1170" s="5">
        <f>ROUND(IFERROR(IF(OR($B1170 &lt;=0, $B1170 = ExtraPayment),0,
MAX(-$B1170, -(-PMT(InterestRate/PaymentsPerYear,LoanTerm*PaymentsPerYear,LoanAmount) + $E1170))), 0), 2)</f>
        <v>0</v>
      </c>
      <c r="G1170" s="5">
        <f t="shared" si="74"/>
        <v>0</v>
      </c>
      <c r="H1170" s="5">
        <f t="shared" si="75"/>
        <v>0</v>
      </c>
    </row>
    <row r="1171" spans="1:8" x14ac:dyDescent="0.2">
      <c r="A1171" s="2">
        <v>1170</v>
      </c>
      <c r="B1171" s="5">
        <f t="shared" si="72"/>
        <v>0</v>
      </c>
      <c r="C1171" s="5">
        <f t="shared" si="73"/>
        <v>0</v>
      </c>
      <c r="D1171" s="5">
        <f>IF(ExtraPayment=0, 0, IF(AND($B1171&lt;&gt;0,ExtraPayment&lt;=$B1171),-ExtraPayment,-($F1171)-$B1171))</f>
        <v>0</v>
      </c>
      <c r="E1171" s="5">
        <f>IF($B1171 &lt;= 0, 0, -ROUND($B1171 * (InterestRate / PaymentsPerYear), 2))</f>
        <v>0</v>
      </c>
      <c r="F1171" s="5">
        <f>ROUND(IFERROR(IF(OR($B1171 &lt;=0, $B1171 = ExtraPayment),0,
MAX(-$B1171, -(-PMT(InterestRate/PaymentsPerYear,LoanTerm*PaymentsPerYear,LoanAmount) + $E1171))), 0), 2)</f>
        <v>0</v>
      </c>
      <c r="G1171" s="5">
        <f t="shared" si="74"/>
        <v>0</v>
      </c>
      <c r="H1171" s="5">
        <f t="shared" si="75"/>
        <v>0</v>
      </c>
    </row>
    <row r="1172" spans="1:8" x14ac:dyDescent="0.2">
      <c r="A1172" s="2">
        <v>1171</v>
      </c>
      <c r="B1172" s="5">
        <f t="shared" si="72"/>
        <v>0</v>
      </c>
      <c r="C1172" s="5">
        <f t="shared" si="73"/>
        <v>0</v>
      </c>
      <c r="D1172" s="5">
        <f>IF(ExtraPayment=0, 0, IF(AND($B1172&lt;&gt;0,ExtraPayment&lt;=$B1172),-ExtraPayment,-($F1172)-$B1172))</f>
        <v>0</v>
      </c>
      <c r="E1172" s="5">
        <f>IF($B1172 &lt;= 0, 0, -ROUND($B1172 * (InterestRate / PaymentsPerYear), 2))</f>
        <v>0</v>
      </c>
      <c r="F1172" s="5">
        <f>ROUND(IFERROR(IF(OR($B1172 &lt;=0, $B1172 = ExtraPayment),0,
MAX(-$B1172, -(-PMT(InterestRate/PaymentsPerYear,LoanTerm*PaymentsPerYear,LoanAmount) + $E1172))), 0), 2)</f>
        <v>0</v>
      </c>
      <c r="G1172" s="5">
        <f t="shared" si="74"/>
        <v>0</v>
      </c>
      <c r="H1172" s="5">
        <f t="shared" si="75"/>
        <v>0</v>
      </c>
    </row>
    <row r="1173" spans="1:8" x14ac:dyDescent="0.2">
      <c r="A1173" s="2">
        <v>1172</v>
      </c>
      <c r="B1173" s="5">
        <f t="shared" si="72"/>
        <v>0</v>
      </c>
      <c r="C1173" s="5">
        <f t="shared" si="73"/>
        <v>0</v>
      </c>
      <c r="D1173" s="5">
        <f>IF(ExtraPayment=0, 0, IF(AND($B1173&lt;&gt;0,ExtraPayment&lt;=$B1173),-ExtraPayment,-($F1173)-$B1173))</f>
        <v>0</v>
      </c>
      <c r="E1173" s="5">
        <f>IF($B1173 &lt;= 0, 0, -ROUND($B1173 * (InterestRate / PaymentsPerYear), 2))</f>
        <v>0</v>
      </c>
      <c r="F1173" s="5">
        <f>ROUND(IFERROR(IF(OR($B1173 &lt;=0, $B1173 = ExtraPayment),0,
MAX(-$B1173, -(-PMT(InterestRate/PaymentsPerYear,LoanTerm*PaymentsPerYear,LoanAmount) + $E1173))), 0), 2)</f>
        <v>0</v>
      </c>
      <c r="G1173" s="5">
        <f t="shared" si="74"/>
        <v>0</v>
      </c>
      <c r="H1173" s="5">
        <f t="shared" si="75"/>
        <v>0</v>
      </c>
    </row>
    <row r="1174" spans="1:8" x14ac:dyDescent="0.2">
      <c r="A1174" s="2">
        <v>1173</v>
      </c>
      <c r="B1174" s="5">
        <f t="shared" si="72"/>
        <v>0</v>
      </c>
      <c r="C1174" s="5">
        <f t="shared" si="73"/>
        <v>0</v>
      </c>
      <c r="D1174" s="5">
        <f>IF(ExtraPayment=0, 0, IF(AND($B1174&lt;&gt;0,ExtraPayment&lt;=$B1174),-ExtraPayment,-($F1174)-$B1174))</f>
        <v>0</v>
      </c>
      <c r="E1174" s="5">
        <f>IF($B1174 &lt;= 0, 0, -ROUND($B1174 * (InterestRate / PaymentsPerYear), 2))</f>
        <v>0</v>
      </c>
      <c r="F1174" s="5">
        <f>ROUND(IFERROR(IF(OR($B1174 &lt;=0, $B1174 = ExtraPayment),0,
MAX(-$B1174, -(-PMT(InterestRate/PaymentsPerYear,LoanTerm*PaymentsPerYear,LoanAmount) + $E1174))), 0), 2)</f>
        <v>0</v>
      </c>
      <c r="G1174" s="5">
        <f t="shared" si="74"/>
        <v>0</v>
      </c>
      <c r="H1174" s="5">
        <f t="shared" si="75"/>
        <v>0</v>
      </c>
    </row>
    <row r="1175" spans="1:8" x14ac:dyDescent="0.2">
      <c r="A1175" s="2">
        <v>1174</v>
      </c>
      <c r="B1175" s="5">
        <f t="shared" si="72"/>
        <v>0</v>
      </c>
      <c r="C1175" s="5">
        <f t="shared" si="73"/>
        <v>0</v>
      </c>
      <c r="D1175" s="5">
        <f>IF(ExtraPayment=0, 0, IF(AND($B1175&lt;&gt;0,ExtraPayment&lt;=$B1175),-ExtraPayment,-($F1175)-$B1175))</f>
        <v>0</v>
      </c>
      <c r="E1175" s="5">
        <f>IF($B1175 &lt;= 0, 0, -ROUND($B1175 * (InterestRate / PaymentsPerYear), 2))</f>
        <v>0</v>
      </c>
      <c r="F1175" s="5">
        <f>ROUND(IFERROR(IF(OR($B1175 &lt;=0, $B1175 = ExtraPayment),0,
MAX(-$B1175, -(-PMT(InterestRate/PaymentsPerYear,LoanTerm*PaymentsPerYear,LoanAmount) + $E1175))), 0), 2)</f>
        <v>0</v>
      </c>
      <c r="G1175" s="5">
        <f t="shared" si="74"/>
        <v>0</v>
      </c>
      <c r="H1175" s="5">
        <f t="shared" si="75"/>
        <v>0</v>
      </c>
    </row>
    <row r="1176" spans="1:8" x14ac:dyDescent="0.2">
      <c r="A1176" s="2">
        <v>1175</v>
      </c>
      <c r="B1176" s="5">
        <f t="shared" si="72"/>
        <v>0</v>
      </c>
      <c r="C1176" s="5">
        <f t="shared" si="73"/>
        <v>0</v>
      </c>
      <c r="D1176" s="5">
        <f>IF(ExtraPayment=0, 0, IF(AND($B1176&lt;&gt;0,ExtraPayment&lt;=$B1176),-ExtraPayment,-($F1176)-$B1176))</f>
        <v>0</v>
      </c>
      <c r="E1176" s="5">
        <f>IF($B1176 &lt;= 0, 0, -ROUND($B1176 * (InterestRate / PaymentsPerYear), 2))</f>
        <v>0</v>
      </c>
      <c r="F1176" s="5">
        <f>ROUND(IFERROR(IF(OR($B1176 &lt;=0, $B1176 = ExtraPayment),0,
MAX(-$B1176, -(-PMT(InterestRate/PaymentsPerYear,LoanTerm*PaymentsPerYear,LoanAmount) + $E1176))), 0), 2)</f>
        <v>0</v>
      </c>
      <c r="G1176" s="5">
        <f t="shared" si="74"/>
        <v>0</v>
      </c>
      <c r="H1176" s="5">
        <f t="shared" si="75"/>
        <v>0</v>
      </c>
    </row>
    <row r="1177" spans="1:8" x14ac:dyDescent="0.2">
      <c r="A1177" s="2">
        <v>1176</v>
      </c>
      <c r="B1177" s="5">
        <f t="shared" si="72"/>
        <v>0</v>
      </c>
      <c r="C1177" s="5">
        <f t="shared" si="73"/>
        <v>0</v>
      </c>
      <c r="D1177" s="5">
        <f>IF(ExtraPayment=0, 0, IF(AND($B1177&lt;&gt;0,ExtraPayment&lt;=$B1177),-ExtraPayment,-($F1177)-$B1177))</f>
        <v>0</v>
      </c>
      <c r="E1177" s="5">
        <f>IF($B1177 &lt;= 0, 0, -ROUND($B1177 * (InterestRate / PaymentsPerYear), 2))</f>
        <v>0</v>
      </c>
      <c r="F1177" s="5">
        <f>ROUND(IFERROR(IF(OR($B1177 &lt;=0, $B1177 = ExtraPayment),0,
MAX(-$B1177, -(-PMT(InterestRate/PaymentsPerYear,LoanTerm*PaymentsPerYear,LoanAmount) + $E1177))), 0), 2)</f>
        <v>0</v>
      </c>
      <c r="G1177" s="5">
        <f t="shared" si="74"/>
        <v>0</v>
      </c>
      <c r="H1177" s="5">
        <f t="shared" si="75"/>
        <v>0</v>
      </c>
    </row>
    <row r="1178" spans="1:8" x14ac:dyDescent="0.2">
      <c r="A1178" s="2">
        <v>1177</v>
      </c>
      <c r="B1178" s="5">
        <f t="shared" si="72"/>
        <v>0</v>
      </c>
      <c r="C1178" s="5">
        <f t="shared" si="73"/>
        <v>0</v>
      </c>
      <c r="D1178" s="5">
        <f>IF(ExtraPayment=0, 0, IF(AND($B1178&lt;&gt;0,ExtraPayment&lt;=$B1178),-ExtraPayment,-($F1178)-$B1178))</f>
        <v>0</v>
      </c>
      <c r="E1178" s="5">
        <f>IF($B1178 &lt;= 0, 0, -ROUND($B1178 * (InterestRate / PaymentsPerYear), 2))</f>
        <v>0</v>
      </c>
      <c r="F1178" s="5">
        <f>ROUND(IFERROR(IF(OR($B1178 &lt;=0, $B1178 = ExtraPayment),0,
MAX(-$B1178, -(-PMT(InterestRate/PaymentsPerYear,LoanTerm*PaymentsPerYear,LoanAmount) + $E1178))), 0), 2)</f>
        <v>0</v>
      </c>
      <c r="G1178" s="5">
        <f t="shared" si="74"/>
        <v>0</v>
      </c>
      <c r="H1178" s="5">
        <f t="shared" si="75"/>
        <v>0</v>
      </c>
    </row>
    <row r="1179" spans="1:8" x14ac:dyDescent="0.2">
      <c r="A1179" s="2">
        <v>1178</v>
      </c>
      <c r="B1179" s="5">
        <f t="shared" si="72"/>
        <v>0</v>
      </c>
      <c r="C1179" s="5">
        <f t="shared" si="73"/>
        <v>0</v>
      </c>
      <c r="D1179" s="5">
        <f>IF(ExtraPayment=0, 0, IF(AND($B1179&lt;&gt;0,ExtraPayment&lt;=$B1179),-ExtraPayment,-($F1179)-$B1179))</f>
        <v>0</v>
      </c>
      <c r="E1179" s="5">
        <f>IF($B1179 &lt;= 0, 0, -ROUND($B1179 * (InterestRate / PaymentsPerYear), 2))</f>
        <v>0</v>
      </c>
      <c r="F1179" s="5">
        <f>ROUND(IFERROR(IF(OR($B1179 &lt;=0, $B1179 = ExtraPayment),0,
MAX(-$B1179, -(-PMT(InterestRate/PaymentsPerYear,LoanTerm*PaymentsPerYear,LoanAmount) + $E1179))), 0), 2)</f>
        <v>0</v>
      </c>
      <c r="G1179" s="5">
        <f t="shared" si="74"/>
        <v>0</v>
      </c>
      <c r="H1179" s="5">
        <f t="shared" si="75"/>
        <v>0</v>
      </c>
    </row>
    <row r="1180" spans="1:8" x14ac:dyDescent="0.2">
      <c r="A1180" s="2">
        <v>1179</v>
      </c>
      <c r="B1180" s="5">
        <f t="shared" si="72"/>
        <v>0</v>
      </c>
      <c r="C1180" s="5">
        <f t="shared" si="73"/>
        <v>0</v>
      </c>
      <c r="D1180" s="5">
        <f>IF(ExtraPayment=0, 0, IF(AND($B1180&lt;&gt;0,ExtraPayment&lt;=$B1180),-ExtraPayment,-($F1180)-$B1180))</f>
        <v>0</v>
      </c>
      <c r="E1180" s="5">
        <f>IF($B1180 &lt;= 0, 0, -ROUND($B1180 * (InterestRate / PaymentsPerYear), 2))</f>
        <v>0</v>
      </c>
      <c r="F1180" s="5">
        <f>ROUND(IFERROR(IF(OR($B1180 &lt;=0, $B1180 = ExtraPayment),0,
MAX(-$B1180, -(-PMT(InterestRate/PaymentsPerYear,LoanTerm*PaymentsPerYear,LoanAmount) + $E1180))), 0), 2)</f>
        <v>0</v>
      </c>
      <c r="G1180" s="5">
        <f t="shared" si="74"/>
        <v>0</v>
      </c>
      <c r="H1180" s="5">
        <f t="shared" si="75"/>
        <v>0</v>
      </c>
    </row>
    <row r="1181" spans="1:8" x14ac:dyDescent="0.2">
      <c r="A1181" s="2">
        <v>1180</v>
      </c>
      <c r="B1181" s="5">
        <f t="shared" si="72"/>
        <v>0</v>
      </c>
      <c r="C1181" s="5">
        <f t="shared" si="73"/>
        <v>0</v>
      </c>
      <c r="D1181" s="5">
        <f>IF(ExtraPayment=0, 0, IF(AND($B1181&lt;&gt;0,ExtraPayment&lt;=$B1181),-ExtraPayment,-($F1181)-$B1181))</f>
        <v>0</v>
      </c>
      <c r="E1181" s="5">
        <f>IF($B1181 &lt;= 0, 0, -ROUND($B1181 * (InterestRate / PaymentsPerYear), 2))</f>
        <v>0</v>
      </c>
      <c r="F1181" s="5">
        <f>ROUND(IFERROR(IF(OR($B1181 &lt;=0, $B1181 = ExtraPayment),0,
MAX(-$B1181, -(-PMT(InterestRate/PaymentsPerYear,LoanTerm*PaymentsPerYear,LoanAmount) + $E1181))), 0), 2)</f>
        <v>0</v>
      </c>
      <c r="G1181" s="5">
        <f t="shared" si="74"/>
        <v>0</v>
      </c>
      <c r="H1181" s="5">
        <f t="shared" si="75"/>
        <v>0</v>
      </c>
    </row>
    <row r="1182" spans="1:8" x14ac:dyDescent="0.2">
      <c r="A1182" s="2">
        <v>1181</v>
      </c>
      <c r="B1182" s="5">
        <f t="shared" si="72"/>
        <v>0</v>
      </c>
      <c r="C1182" s="5">
        <f t="shared" si="73"/>
        <v>0</v>
      </c>
      <c r="D1182" s="5">
        <f>IF(ExtraPayment=0, 0, IF(AND($B1182&lt;&gt;0,ExtraPayment&lt;=$B1182),-ExtraPayment,-($F1182)-$B1182))</f>
        <v>0</v>
      </c>
      <c r="E1182" s="5">
        <f>IF($B1182 &lt;= 0, 0, -ROUND($B1182 * (InterestRate / PaymentsPerYear), 2))</f>
        <v>0</v>
      </c>
      <c r="F1182" s="5">
        <f>ROUND(IFERROR(IF(OR($B1182 &lt;=0, $B1182 = ExtraPayment),0,
MAX(-$B1182, -(-PMT(InterestRate/PaymentsPerYear,LoanTerm*PaymentsPerYear,LoanAmount) + $E1182))), 0), 2)</f>
        <v>0</v>
      </c>
      <c r="G1182" s="5">
        <f t="shared" si="74"/>
        <v>0</v>
      </c>
      <c r="H1182" s="5">
        <f t="shared" si="75"/>
        <v>0</v>
      </c>
    </row>
    <row r="1183" spans="1:8" x14ac:dyDescent="0.2">
      <c r="A1183" s="2">
        <v>1182</v>
      </c>
      <c r="B1183" s="5">
        <f t="shared" si="72"/>
        <v>0</v>
      </c>
      <c r="C1183" s="5">
        <f t="shared" si="73"/>
        <v>0</v>
      </c>
      <c r="D1183" s="5">
        <f>IF(ExtraPayment=0, 0, IF(AND($B1183&lt;&gt;0,ExtraPayment&lt;=$B1183),-ExtraPayment,-($F1183)-$B1183))</f>
        <v>0</v>
      </c>
      <c r="E1183" s="5">
        <f>IF($B1183 &lt;= 0, 0, -ROUND($B1183 * (InterestRate / PaymentsPerYear), 2))</f>
        <v>0</v>
      </c>
      <c r="F1183" s="5">
        <f>ROUND(IFERROR(IF(OR($B1183 &lt;=0, $B1183 = ExtraPayment),0,
MAX(-$B1183, -(-PMT(InterestRate/PaymentsPerYear,LoanTerm*PaymentsPerYear,LoanAmount) + $E1183))), 0), 2)</f>
        <v>0</v>
      </c>
      <c r="G1183" s="5">
        <f t="shared" si="74"/>
        <v>0</v>
      </c>
      <c r="H1183" s="5">
        <f t="shared" si="75"/>
        <v>0</v>
      </c>
    </row>
    <row r="1184" spans="1:8" x14ac:dyDescent="0.2">
      <c r="A1184" s="2">
        <v>1183</v>
      </c>
      <c r="B1184" s="5">
        <f t="shared" si="72"/>
        <v>0</v>
      </c>
      <c r="C1184" s="5">
        <f t="shared" si="73"/>
        <v>0</v>
      </c>
      <c r="D1184" s="5">
        <f>IF(ExtraPayment=0, 0, IF(AND($B1184&lt;&gt;0,ExtraPayment&lt;=$B1184),-ExtraPayment,-($F1184)-$B1184))</f>
        <v>0</v>
      </c>
      <c r="E1184" s="5">
        <f>IF($B1184 &lt;= 0, 0, -ROUND($B1184 * (InterestRate / PaymentsPerYear), 2))</f>
        <v>0</v>
      </c>
      <c r="F1184" s="5">
        <f>ROUND(IFERROR(IF(OR($B1184 &lt;=0, $B1184 = ExtraPayment),0,
MAX(-$B1184, -(-PMT(InterestRate/PaymentsPerYear,LoanTerm*PaymentsPerYear,LoanAmount) + $E1184))), 0), 2)</f>
        <v>0</v>
      </c>
      <c r="G1184" s="5">
        <f t="shared" si="74"/>
        <v>0</v>
      </c>
      <c r="H1184" s="5">
        <f t="shared" si="75"/>
        <v>0</v>
      </c>
    </row>
    <row r="1185" spans="1:8" x14ac:dyDescent="0.2">
      <c r="A1185" s="2">
        <v>1184</v>
      </c>
      <c r="B1185" s="5">
        <f t="shared" si="72"/>
        <v>0</v>
      </c>
      <c r="C1185" s="5">
        <f t="shared" si="73"/>
        <v>0</v>
      </c>
      <c r="D1185" s="5">
        <f>IF(ExtraPayment=0, 0, IF(AND($B1185&lt;&gt;0,ExtraPayment&lt;=$B1185),-ExtraPayment,-($F1185)-$B1185))</f>
        <v>0</v>
      </c>
      <c r="E1185" s="5">
        <f>IF($B1185 &lt;= 0, 0, -ROUND($B1185 * (InterestRate / PaymentsPerYear), 2))</f>
        <v>0</v>
      </c>
      <c r="F1185" s="5">
        <f>ROUND(IFERROR(IF(OR($B1185 &lt;=0, $B1185 = ExtraPayment),0,
MAX(-$B1185, -(-PMT(InterestRate/PaymentsPerYear,LoanTerm*PaymentsPerYear,LoanAmount) + $E1185))), 0), 2)</f>
        <v>0</v>
      </c>
      <c r="G1185" s="5">
        <f t="shared" si="74"/>
        <v>0</v>
      </c>
      <c r="H1185" s="5">
        <f t="shared" si="75"/>
        <v>0</v>
      </c>
    </row>
    <row r="1186" spans="1:8" x14ac:dyDescent="0.2">
      <c r="A1186" s="2">
        <v>1185</v>
      </c>
      <c r="B1186" s="5">
        <f t="shared" si="72"/>
        <v>0</v>
      </c>
      <c r="C1186" s="5">
        <f t="shared" si="73"/>
        <v>0</v>
      </c>
      <c r="D1186" s="5">
        <f>IF(ExtraPayment=0, 0, IF(AND($B1186&lt;&gt;0,ExtraPayment&lt;=$B1186),-ExtraPayment,-($F1186)-$B1186))</f>
        <v>0</v>
      </c>
      <c r="E1186" s="5">
        <f>IF($B1186 &lt;= 0, 0, -ROUND($B1186 * (InterestRate / PaymentsPerYear), 2))</f>
        <v>0</v>
      </c>
      <c r="F1186" s="5">
        <f>ROUND(IFERROR(IF(OR($B1186 &lt;=0, $B1186 = ExtraPayment),0,
MAX(-$B1186, -(-PMT(InterestRate/PaymentsPerYear,LoanTerm*PaymentsPerYear,LoanAmount) + $E1186))), 0), 2)</f>
        <v>0</v>
      </c>
      <c r="G1186" s="5">
        <f t="shared" si="74"/>
        <v>0</v>
      </c>
      <c r="H1186" s="5">
        <f t="shared" si="75"/>
        <v>0</v>
      </c>
    </row>
    <row r="1187" spans="1:8" x14ac:dyDescent="0.2">
      <c r="A1187" s="2">
        <v>1186</v>
      </c>
      <c r="B1187" s="5">
        <f t="shared" si="72"/>
        <v>0</v>
      </c>
      <c r="C1187" s="5">
        <f t="shared" si="73"/>
        <v>0</v>
      </c>
      <c r="D1187" s="5">
        <f>IF(ExtraPayment=0, 0, IF(AND($B1187&lt;&gt;0,ExtraPayment&lt;=$B1187),-ExtraPayment,-($F1187)-$B1187))</f>
        <v>0</v>
      </c>
      <c r="E1187" s="5">
        <f>IF($B1187 &lt;= 0, 0, -ROUND($B1187 * (InterestRate / PaymentsPerYear), 2))</f>
        <v>0</v>
      </c>
      <c r="F1187" s="5">
        <f>ROUND(IFERROR(IF(OR($B1187 &lt;=0, $B1187 = ExtraPayment),0,
MAX(-$B1187, -(-PMT(InterestRate/PaymentsPerYear,LoanTerm*PaymentsPerYear,LoanAmount) + $E1187))), 0), 2)</f>
        <v>0</v>
      </c>
      <c r="G1187" s="5">
        <f t="shared" si="74"/>
        <v>0</v>
      </c>
      <c r="H1187" s="5">
        <f t="shared" si="75"/>
        <v>0</v>
      </c>
    </row>
    <row r="1188" spans="1:8" x14ac:dyDescent="0.2">
      <c r="A1188" s="2">
        <v>1187</v>
      </c>
      <c r="B1188" s="5">
        <f t="shared" si="72"/>
        <v>0</v>
      </c>
      <c r="C1188" s="5">
        <f t="shared" si="73"/>
        <v>0</v>
      </c>
      <c r="D1188" s="5">
        <f>IF(ExtraPayment=0, 0, IF(AND($B1188&lt;&gt;0,ExtraPayment&lt;=$B1188),-ExtraPayment,-($F1188)-$B1188))</f>
        <v>0</v>
      </c>
      <c r="E1188" s="5">
        <f>IF($B1188 &lt;= 0, 0, -ROUND($B1188 * (InterestRate / PaymentsPerYear), 2))</f>
        <v>0</v>
      </c>
      <c r="F1188" s="5">
        <f>ROUND(IFERROR(IF(OR($B1188 &lt;=0, $B1188 = ExtraPayment),0,
MAX(-$B1188, -(-PMT(InterestRate/PaymentsPerYear,LoanTerm*PaymentsPerYear,LoanAmount) + $E1188))), 0), 2)</f>
        <v>0</v>
      </c>
      <c r="G1188" s="5">
        <f t="shared" si="74"/>
        <v>0</v>
      </c>
      <c r="H1188" s="5">
        <f t="shared" si="75"/>
        <v>0</v>
      </c>
    </row>
    <row r="1189" spans="1:8" x14ac:dyDescent="0.2">
      <c r="A1189" s="2">
        <v>1188</v>
      </c>
      <c r="B1189" s="5">
        <f t="shared" si="72"/>
        <v>0</v>
      </c>
      <c r="C1189" s="5">
        <f t="shared" si="73"/>
        <v>0</v>
      </c>
      <c r="D1189" s="5">
        <f>IF(ExtraPayment=0, 0, IF(AND($B1189&lt;&gt;0,ExtraPayment&lt;=$B1189),-ExtraPayment,-($F1189)-$B1189))</f>
        <v>0</v>
      </c>
      <c r="E1189" s="5">
        <f>IF($B1189 &lt;= 0, 0, -ROUND($B1189 * (InterestRate / PaymentsPerYear), 2))</f>
        <v>0</v>
      </c>
      <c r="F1189" s="5">
        <f>ROUND(IFERROR(IF(OR($B1189 &lt;=0, $B1189 = ExtraPayment),0,
MAX(-$B1189, -(-PMT(InterestRate/PaymentsPerYear,LoanTerm*PaymentsPerYear,LoanAmount) + $E1189))), 0), 2)</f>
        <v>0</v>
      </c>
      <c r="G1189" s="5">
        <f t="shared" si="74"/>
        <v>0</v>
      </c>
      <c r="H1189" s="5">
        <f t="shared" si="75"/>
        <v>0</v>
      </c>
    </row>
    <row r="1190" spans="1:8" x14ac:dyDescent="0.2">
      <c r="A1190" s="2">
        <v>1189</v>
      </c>
      <c r="B1190" s="5">
        <f t="shared" si="72"/>
        <v>0</v>
      </c>
      <c r="C1190" s="5">
        <f t="shared" si="73"/>
        <v>0</v>
      </c>
      <c r="D1190" s="5">
        <f>IF(ExtraPayment=0, 0, IF(AND($B1190&lt;&gt;0,ExtraPayment&lt;=$B1190),-ExtraPayment,-($F1190)-$B1190))</f>
        <v>0</v>
      </c>
      <c r="E1190" s="5">
        <f>IF($B1190 &lt;= 0, 0, -ROUND($B1190 * (InterestRate / PaymentsPerYear), 2))</f>
        <v>0</v>
      </c>
      <c r="F1190" s="5">
        <f>ROUND(IFERROR(IF(OR($B1190 &lt;=0, $B1190 = ExtraPayment),0,
MAX(-$B1190, -(-PMT(InterestRate/PaymentsPerYear,LoanTerm*PaymentsPerYear,LoanAmount) + $E1190))), 0), 2)</f>
        <v>0</v>
      </c>
      <c r="G1190" s="5">
        <f t="shared" si="74"/>
        <v>0</v>
      </c>
      <c r="H1190" s="5">
        <f t="shared" si="75"/>
        <v>0</v>
      </c>
    </row>
    <row r="1191" spans="1:8" x14ac:dyDescent="0.2">
      <c r="A1191" s="2">
        <v>1190</v>
      </c>
      <c r="B1191" s="5">
        <f t="shared" si="72"/>
        <v>0</v>
      </c>
      <c r="C1191" s="5">
        <f t="shared" si="73"/>
        <v>0</v>
      </c>
      <c r="D1191" s="5">
        <f>IF(ExtraPayment=0, 0, IF(AND($B1191&lt;&gt;0,ExtraPayment&lt;=$B1191),-ExtraPayment,-($F1191)-$B1191))</f>
        <v>0</v>
      </c>
      <c r="E1191" s="5">
        <f>IF($B1191 &lt;= 0, 0, -ROUND($B1191 * (InterestRate / PaymentsPerYear), 2))</f>
        <v>0</v>
      </c>
      <c r="F1191" s="5">
        <f>ROUND(IFERROR(IF(OR($B1191 &lt;=0, $B1191 = ExtraPayment),0,
MAX(-$B1191, -(-PMT(InterestRate/PaymentsPerYear,LoanTerm*PaymentsPerYear,LoanAmount) + $E1191))), 0), 2)</f>
        <v>0</v>
      </c>
      <c r="G1191" s="5">
        <f t="shared" si="74"/>
        <v>0</v>
      </c>
      <c r="H1191" s="5">
        <f t="shared" si="75"/>
        <v>0</v>
      </c>
    </row>
    <row r="1192" spans="1:8" x14ac:dyDescent="0.2">
      <c r="A1192" s="2">
        <v>1191</v>
      </c>
      <c r="B1192" s="5">
        <f t="shared" si="72"/>
        <v>0</v>
      </c>
      <c r="C1192" s="5">
        <f t="shared" si="73"/>
        <v>0</v>
      </c>
      <c r="D1192" s="5">
        <f>IF(ExtraPayment=0, 0, IF(AND($B1192&lt;&gt;0,ExtraPayment&lt;=$B1192),-ExtraPayment,-($F1192)-$B1192))</f>
        <v>0</v>
      </c>
      <c r="E1192" s="5">
        <f>IF($B1192 &lt;= 0, 0, -ROUND($B1192 * (InterestRate / PaymentsPerYear), 2))</f>
        <v>0</v>
      </c>
      <c r="F1192" s="5">
        <f>ROUND(IFERROR(IF(OR($B1192 &lt;=0, $B1192 = ExtraPayment),0,
MAX(-$B1192, -(-PMT(InterestRate/PaymentsPerYear,LoanTerm*PaymentsPerYear,LoanAmount) + $E1192))), 0), 2)</f>
        <v>0</v>
      </c>
      <c r="G1192" s="5">
        <f t="shared" si="74"/>
        <v>0</v>
      </c>
      <c r="H1192" s="5">
        <f t="shared" si="75"/>
        <v>0</v>
      </c>
    </row>
    <row r="1193" spans="1:8" x14ac:dyDescent="0.2">
      <c r="A1193" s="2">
        <v>1192</v>
      </c>
      <c r="B1193" s="5">
        <f t="shared" si="72"/>
        <v>0</v>
      </c>
      <c r="C1193" s="5">
        <f t="shared" si="73"/>
        <v>0</v>
      </c>
      <c r="D1193" s="5">
        <f>IF(ExtraPayment=0, 0, IF(AND($B1193&lt;&gt;0,ExtraPayment&lt;=$B1193),-ExtraPayment,-($F1193)-$B1193))</f>
        <v>0</v>
      </c>
      <c r="E1193" s="5">
        <f>IF($B1193 &lt;= 0, 0, -ROUND($B1193 * (InterestRate / PaymentsPerYear), 2))</f>
        <v>0</v>
      </c>
      <c r="F1193" s="5">
        <f>ROUND(IFERROR(IF(OR($B1193 &lt;=0, $B1193 = ExtraPayment),0,
MAX(-$B1193, -(-PMT(InterestRate/PaymentsPerYear,LoanTerm*PaymentsPerYear,LoanAmount) + $E1193))), 0), 2)</f>
        <v>0</v>
      </c>
      <c r="G1193" s="5">
        <f t="shared" si="74"/>
        <v>0</v>
      </c>
      <c r="H1193" s="5">
        <f t="shared" si="75"/>
        <v>0</v>
      </c>
    </row>
    <row r="1194" spans="1:8" x14ac:dyDescent="0.2">
      <c r="A1194" s="2">
        <v>1193</v>
      </c>
      <c r="B1194" s="5">
        <f t="shared" si="72"/>
        <v>0</v>
      </c>
      <c r="C1194" s="5">
        <f t="shared" si="73"/>
        <v>0</v>
      </c>
      <c r="D1194" s="5">
        <f>IF(ExtraPayment=0, 0, IF(AND($B1194&lt;&gt;0,ExtraPayment&lt;=$B1194),-ExtraPayment,-($F1194)-$B1194))</f>
        <v>0</v>
      </c>
      <c r="E1194" s="5">
        <f>IF($B1194 &lt;= 0, 0, -ROUND($B1194 * (InterestRate / PaymentsPerYear), 2))</f>
        <v>0</v>
      </c>
      <c r="F1194" s="5">
        <f>ROUND(IFERROR(IF(OR($B1194 &lt;=0, $B1194 = ExtraPayment),0,
MAX(-$B1194, -(-PMT(InterestRate/PaymentsPerYear,LoanTerm*PaymentsPerYear,LoanAmount) + $E1194))), 0), 2)</f>
        <v>0</v>
      </c>
      <c r="G1194" s="5">
        <f t="shared" si="74"/>
        <v>0</v>
      </c>
      <c r="H1194" s="5">
        <f t="shared" si="75"/>
        <v>0</v>
      </c>
    </row>
    <row r="1195" spans="1:8" x14ac:dyDescent="0.2">
      <c r="A1195" s="2">
        <v>1194</v>
      </c>
      <c r="B1195" s="5">
        <f t="shared" si="72"/>
        <v>0</v>
      </c>
      <c r="C1195" s="5">
        <f t="shared" si="73"/>
        <v>0</v>
      </c>
      <c r="D1195" s="5">
        <f>IF(ExtraPayment=0, 0, IF(AND($B1195&lt;&gt;0,ExtraPayment&lt;=$B1195),-ExtraPayment,-($F1195)-$B1195))</f>
        <v>0</v>
      </c>
      <c r="E1195" s="5">
        <f>IF($B1195 &lt;= 0, 0, -ROUND($B1195 * (InterestRate / PaymentsPerYear), 2))</f>
        <v>0</v>
      </c>
      <c r="F1195" s="5">
        <f>ROUND(IFERROR(IF(OR($B1195 &lt;=0, $B1195 = ExtraPayment),0,
MAX(-$B1195, -(-PMT(InterestRate/PaymentsPerYear,LoanTerm*PaymentsPerYear,LoanAmount) + $E1195))), 0), 2)</f>
        <v>0</v>
      </c>
      <c r="G1195" s="5">
        <f t="shared" si="74"/>
        <v>0</v>
      </c>
      <c r="H1195" s="5">
        <f t="shared" si="75"/>
        <v>0</v>
      </c>
    </row>
    <row r="1196" spans="1:8" x14ac:dyDescent="0.2">
      <c r="A1196" s="2">
        <v>1195</v>
      </c>
      <c r="B1196" s="5">
        <f t="shared" si="72"/>
        <v>0</v>
      </c>
      <c r="C1196" s="5">
        <f t="shared" si="73"/>
        <v>0</v>
      </c>
      <c r="D1196" s="5">
        <f>IF(ExtraPayment=0, 0, IF(AND($B1196&lt;&gt;0,ExtraPayment&lt;=$B1196),-ExtraPayment,-($F1196)-$B1196))</f>
        <v>0</v>
      </c>
      <c r="E1196" s="5">
        <f>IF($B1196 &lt;= 0, 0, -ROUND($B1196 * (InterestRate / PaymentsPerYear), 2))</f>
        <v>0</v>
      </c>
      <c r="F1196" s="5">
        <f>ROUND(IFERROR(IF(OR($B1196 &lt;=0, $B1196 = ExtraPayment),0,
MAX(-$B1196, -(-PMT(InterestRate/PaymentsPerYear,LoanTerm*PaymentsPerYear,LoanAmount) + $E1196))), 0), 2)</f>
        <v>0</v>
      </c>
      <c r="G1196" s="5">
        <f t="shared" si="74"/>
        <v>0</v>
      </c>
      <c r="H1196" s="5">
        <f t="shared" si="75"/>
        <v>0</v>
      </c>
    </row>
    <row r="1197" spans="1:8" x14ac:dyDescent="0.2">
      <c r="A1197" s="2">
        <v>1196</v>
      </c>
      <c r="B1197" s="5">
        <f t="shared" si="72"/>
        <v>0</v>
      </c>
      <c r="C1197" s="5">
        <f t="shared" si="73"/>
        <v>0</v>
      </c>
      <c r="D1197" s="5">
        <f>IF(ExtraPayment=0, 0, IF(AND($B1197&lt;&gt;0,ExtraPayment&lt;=$B1197),-ExtraPayment,-($F1197)-$B1197))</f>
        <v>0</v>
      </c>
      <c r="E1197" s="5">
        <f>IF($B1197 &lt;= 0, 0, -ROUND($B1197 * (InterestRate / PaymentsPerYear), 2))</f>
        <v>0</v>
      </c>
      <c r="F1197" s="5">
        <f>ROUND(IFERROR(IF(OR($B1197 &lt;=0, $B1197 = ExtraPayment),0,
MAX(-$B1197, -(-PMT(InterestRate/PaymentsPerYear,LoanTerm*PaymentsPerYear,LoanAmount) + $E1197))), 0), 2)</f>
        <v>0</v>
      </c>
      <c r="G1197" s="5">
        <f t="shared" si="74"/>
        <v>0</v>
      </c>
      <c r="H1197" s="5">
        <f t="shared" si="75"/>
        <v>0</v>
      </c>
    </row>
    <row r="1198" spans="1:8" x14ac:dyDescent="0.2">
      <c r="A1198" s="2">
        <v>1197</v>
      </c>
      <c r="B1198" s="5">
        <f t="shared" si="72"/>
        <v>0</v>
      </c>
      <c r="C1198" s="5">
        <f t="shared" si="73"/>
        <v>0</v>
      </c>
      <c r="D1198" s="5">
        <f>IF(ExtraPayment=0, 0, IF(AND($B1198&lt;&gt;0,ExtraPayment&lt;=$B1198),-ExtraPayment,-($F1198)-$B1198))</f>
        <v>0</v>
      </c>
      <c r="E1198" s="5">
        <f>IF($B1198 &lt;= 0, 0, -ROUND($B1198 * (InterestRate / PaymentsPerYear), 2))</f>
        <v>0</v>
      </c>
      <c r="F1198" s="5">
        <f>ROUND(IFERROR(IF(OR($B1198 &lt;=0, $B1198 = ExtraPayment),0,
MAX(-$B1198, -(-PMT(InterestRate/PaymentsPerYear,LoanTerm*PaymentsPerYear,LoanAmount) + $E1198))), 0), 2)</f>
        <v>0</v>
      </c>
      <c r="G1198" s="5">
        <f t="shared" si="74"/>
        <v>0</v>
      </c>
      <c r="H1198" s="5">
        <f t="shared" si="75"/>
        <v>0</v>
      </c>
    </row>
    <row r="1199" spans="1:8" x14ac:dyDescent="0.2">
      <c r="A1199" s="2">
        <v>1198</v>
      </c>
      <c r="B1199" s="5">
        <f t="shared" si="72"/>
        <v>0</v>
      </c>
      <c r="C1199" s="5">
        <f t="shared" si="73"/>
        <v>0</v>
      </c>
      <c r="D1199" s="5">
        <f>IF(ExtraPayment=0, 0, IF(AND($B1199&lt;&gt;0,ExtraPayment&lt;=$B1199),-ExtraPayment,-($F1199)-$B1199))</f>
        <v>0</v>
      </c>
      <c r="E1199" s="5">
        <f>IF($B1199 &lt;= 0, 0, -ROUND($B1199 * (InterestRate / PaymentsPerYear), 2))</f>
        <v>0</v>
      </c>
      <c r="F1199" s="5">
        <f>ROUND(IFERROR(IF(OR($B1199 &lt;=0, $B1199 = ExtraPayment),0,
MAX(-$B1199, -(-PMT(InterestRate/PaymentsPerYear,LoanTerm*PaymentsPerYear,LoanAmount) + $E1199))), 0), 2)</f>
        <v>0</v>
      </c>
      <c r="G1199" s="5">
        <f t="shared" si="74"/>
        <v>0</v>
      </c>
      <c r="H1199" s="5">
        <f t="shared" si="75"/>
        <v>0</v>
      </c>
    </row>
    <row r="1200" spans="1:8" x14ac:dyDescent="0.2">
      <c r="A1200" s="2">
        <v>1199</v>
      </c>
      <c r="B1200" s="5">
        <f t="shared" si="72"/>
        <v>0</v>
      </c>
      <c r="C1200" s="5">
        <f t="shared" si="73"/>
        <v>0</v>
      </c>
      <c r="D1200" s="5">
        <f>IF(ExtraPayment=0, 0, IF(AND($B1200&lt;&gt;0,ExtraPayment&lt;=$B1200),-ExtraPayment,-($F1200)-$B1200))</f>
        <v>0</v>
      </c>
      <c r="E1200" s="5">
        <f>IF($B1200 &lt;= 0, 0, -ROUND($B1200 * (InterestRate / PaymentsPerYear), 2))</f>
        <v>0</v>
      </c>
      <c r="F1200" s="5">
        <f>ROUND(IFERROR(IF(OR($B1200 &lt;=0, $B1200 = ExtraPayment),0,
MAX(-$B1200, -(-PMT(InterestRate/PaymentsPerYear,LoanTerm*PaymentsPerYear,LoanAmount) + $E1200))), 0), 2)</f>
        <v>0</v>
      </c>
      <c r="G1200" s="5">
        <f t="shared" si="74"/>
        <v>0</v>
      </c>
      <c r="H1200" s="5">
        <f t="shared" si="75"/>
        <v>0</v>
      </c>
    </row>
    <row r="1201" spans="1:8" x14ac:dyDescent="0.2">
      <c r="A1201" s="2">
        <v>1200</v>
      </c>
      <c r="B1201" s="5">
        <f t="shared" si="72"/>
        <v>0</v>
      </c>
      <c r="C1201" s="5">
        <f t="shared" si="73"/>
        <v>0</v>
      </c>
      <c r="D1201" s="5">
        <f>IF(ExtraPayment=0, 0, IF(AND($B1201&lt;&gt;0,ExtraPayment&lt;=$B1201),-ExtraPayment,-($F1201)-$B1201))</f>
        <v>0</v>
      </c>
      <c r="E1201" s="5">
        <f>IF($B1201 &lt;= 0, 0, -ROUND($B1201 * (InterestRate / PaymentsPerYear), 2))</f>
        <v>0</v>
      </c>
      <c r="F1201" s="5">
        <f>ROUND(IFERROR(IF(OR($B1201 &lt;=0, $B1201 = ExtraPayment),0,
MAX(-$B1201, -(-PMT(InterestRate/PaymentsPerYear,LoanTerm*PaymentsPerYear,LoanAmount) + $E1201))), 0), 2)</f>
        <v>0</v>
      </c>
      <c r="G1201" s="5">
        <f t="shared" si="74"/>
        <v>0</v>
      </c>
      <c r="H1201" s="5">
        <f t="shared" si="75"/>
        <v>0</v>
      </c>
    </row>
    <row r="1202" spans="1:8" x14ac:dyDescent="0.2">
      <c r="A1202" s="2">
        <v>1201</v>
      </c>
      <c r="B1202" s="5">
        <f t="shared" si="72"/>
        <v>0</v>
      </c>
      <c r="C1202" s="5">
        <f t="shared" si="73"/>
        <v>0</v>
      </c>
      <c r="D1202" s="5">
        <f>IF(ExtraPayment=0, 0, IF(AND($B1202&lt;&gt;0,ExtraPayment&lt;=$B1202),-ExtraPayment,-($F1202)-$B1202))</f>
        <v>0</v>
      </c>
      <c r="E1202" s="5">
        <f>IF($B1202 &lt;= 0, 0, -ROUND($B1202 * (InterestRate / PaymentsPerYear), 2))</f>
        <v>0</v>
      </c>
      <c r="F1202" s="5">
        <f>ROUND(IFERROR(IF(OR($B1202 &lt;=0, $B1202 = ExtraPayment),0,
MAX(-$B1202, -(-PMT(InterestRate/PaymentsPerYear,LoanTerm*PaymentsPerYear,LoanAmount) + $E1202))), 0), 2)</f>
        <v>0</v>
      </c>
      <c r="G1202" s="5">
        <f t="shared" si="74"/>
        <v>0</v>
      </c>
      <c r="H1202" s="5">
        <f t="shared" si="75"/>
        <v>0</v>
      </c>
    </row>
    <row r="1203" spans="1:8" x14ac:dyDescent="0.2">
      <c r="A1203" s="2">
        <v>1202</v>
      </c>
      <c r="B1203" s="5">
        <f t="shared" si="72"/>
        <v>0</v>
      </c>
      <c r="C1203" s="5">
        <f t="shared" si="73"/>
        <v>0</v>
      </c>
      <c r="D1203" s="5">
        <f>IF(ExtraPayment=0, 0, IF(AND($B1203&lt;&gt;0,ExtraPayment&lt;=$B1203),-ExtraPayment,-($F1203)-$B1203))</f>
        <v>0</v>
      </c>
      <c r="E1203" s="5">
        <f>IF($B1203 &lt;= 0, 0, -ROUND($B1203 * (InterestRate / PaymentsPerYear), 2))</f>
        <v>0</v>
      </c>
      <c r="F1203" s="5">
        <f>ROUND(IFERROR(IF(OR($B1203 &lt;=0, $B1203 = ExtraPayment),0,
MAX(-$B1203, -(-PMT(InterestRate/PaymentsPerYear,LoanTerm*PaymentsPerYear,LoanAmount) + $E1203))), 0), 2)</f>
        <v>0</v>
      </c>
      <c r="G1203" s="5">
        <f t="shared" si="74"/>
        <v>0</v>
      </c>
      <c r="H1203" s="5">
        <f t="shared" si="75"/>
        <v>0</v>
      </c>
    </row>
    <row r="1204" spans="1:8" x14ac:dyDescent="0.2">
      <c r="A1204" s="2">
        <v>1203</v>
      </c>
      <c r="B1204" s="5">
        <f t="shared" si="72"/>
        <v>0</v>
      </c>
      <c r="C1204" s="5">
        <f t="shared" si="73"/>
        <v>0</v>
      </c>
      <c r="D1204" s="5">
        <f>IF(ExtraPayment=0, 0, IF(AND($B1204&lt;&gt;0,ExtraPayment&lt;=$B1204),-ExtraPayment,-($F1204)-$B1204))</f>
        <v>0</v>
      </c>
      <c r="E1204" s="5">
        <f>IF($B1204 &lt;= 0, 0, -ROUND($B1204 * (InterestRate / PaymentsPerYear), 2))</f>
        <v>0</v>
      </c>
      <c r="F1204" s="5">
        <f>ROUND(IFERROR(IF(OR($B1204 &lt;=0, $B1204 = ExtraPayment),0,
MAX(-$B1204, -(-PMT(InterestRate/PaymentsPerYear,LoanTerm*PaymentsPerYear,LoanAmount) + $E1204))), 0), 2)</f>
        <v>0</v>
      </c>
      <c r="G1204" s="5">
        <f t="shared" si="74"/>
        <v>0</v>
      </c>
      <c r="H1204" s="5">
        <f t="shared" si="75"/>
        <v>0</v>
      </c>
    </row>
    <row r="1205" spans="1:8" x14ac:dyDescent="0.2">
      <c r="A1205" s="2">
        <v>1204</v>
      </c>
      <c r="B1205" s="5">
        <f t="shared" si="72"/>
        <v>0</v>
      </c>
      <c r="C1205" s="5">
        <f t="shared" si="73"/>
        <v>0</v>
      </c>
      <c r="D1205" s="5">
        <f>IF(ExtraPayment=0, 0, IF(AND($B1205&lt;&gt;0,ExtraPayment&lt;=$B1205),-ExtraPayment,-($F1205)-$B1205))</f>
        <v>0</v>
      </c>
      <c r="E1205" s="5">
        <f>IF($B1205 &lt;= 0, 0, -ROUND($B1205 * (InterestRate / PaymentsPerYear), 2))</f>
        <v>0</v>
      </c>
      <c r="F1205" s="5">
        <f>ROUND(IFERROR(IF(OR($B1205 &lt;=0, $B1205 = ExtraPayment),0,
MAX(-$B1205, -(-PMT(InterestRate/PaymentsPerYear,LoanTerm*PaymentsPerYear,LoanAmount) + $E1205))), 0), 2)</f>
        <v>0</v>
      </c>
      <c r="G1205" s="5">
        <f t="shared" si="74"/>
        <v>0</v>
      </c>
      <c r="H1205" s="5">
        <f t="shared" si="75"/>
        <v>0</v>
      </c>
    </row>
    <row r="1206" spans="1:8" x14ac:dyDescent="0.2">
      <c r="A1206" s="2">
        <v>1205</v>
      </c>
      <c r="B1206" s="5">
        <f t="shared" si="72"/>
        <v>0</v>
      </c>
      <c r="C1206" s="5">
        <f t="shared" si="73"/>
        <v>0</v>
      </c>
      <c r="D1206" s="5">
        <f>IF(ExtraPayment=0, 0, IF(AND($B1206&lt;&gt;0,ExtraPayment&lt;=$B1206),-ExtraPayment,-($F1206)-$B1206))</f>
        <v>0</v>
      </c>
      <c r="E1206" s="5">
        <f>IF($B1206 &lt;= 0, 0, -ROUND($B1206 * (InterestRate / PaymentsPerYear), 2))</f>
        <v>0</v>
      </c>
      <c r="F1206" s="5">
        <f>ROUND(IFERROR(IF(OR($B1206 &lt;=0, $B1206 = ExtraPayment),0,
MAX(-$B1206, -(-PMT(InterestRate/PaymentsPerYear,LoanTerm*PaymentsPerYear,LoanAmount) + $E1206))), 0), 2)</f>
        <v>0</v>
      </c>
      <c r="G1206" s="5">
        <f t="shared" si="74"/>
        <v>0</v>
      </c>
      <c r="H1206" s="5">
        <f t="shared" si="75"/>
        <v>0</v>
      </c>
    </row>
    <row r="1207" spans="1:8" x14ac:dyDescent="0.2">
      <c r="A1207" s="2">
        <v>1206</v>
      </c>
      <c r="B1207" s="5">
        <f t="shared" si="72"/>
        <v>0</v>
      </c>
      <c r="C1207" s="5">
        <f t="shared" si="73"/>
        <v>0</v>
      </c>
      <c r="D1207" s="5">
        <f>IF(ExtraPayment=0, 0, IF(AND($B1207&lt;&gt;0,ExtraPayment&lt;=$B1207),-ExtraPayment,-($F1207)-$B1207))</f>
        <v>0</v>
      </c>
      <c r="E1207" s="5">
        <f>IF($B1207 &lt;= 0, 0, -ROUND($B1207 * (InterestRate / PaymentsPerYear), 2))</f>
        <v>0</v>
      </c>
      <c r="F1207" s="5">
        <f>ROUND(IFERROR(IF(OR($B1207 &lt;=0, $B1207 = ExtraPayment),0,
MAX(-$B1207, -(-PMT(InterestRate/PaymentsPerYear,LoanTerm*PaymentsPerYear,LoanAmount) + $E1207))), 0), 2)</f>
        <v>0</v>
      </c>
      <c r="G1207" s="5">
        <f t="shared" si="74"/>
        <v>0</v>
      </c>
      <c r="H1207" s="5">
        <f t="shared" si="75"/>
        <v>0</v>
      </c>
    </row>
    <row r="1208" spans="1:8" x14ac:dyDescent="0.2">
      <c r="A1208" s="2">
        <v>1207</v>
      </c>
      <c r="B1208" s="5">
        <f t="shared" si="72"/>
        <v>0</v>
      </c>
      <c r="C1208" s="5">
        <f t="shared" si="73"/>
        <v>0</v>
      </c>
      <c r="D1208" s="5">
        <f>IF(ExtraPayment=0, 0, IF(AND($B1208&lt;&gt;0,ExtraPayment&lt;=$B1208),-ExtraPayment,-($F1208)-$B1208))</f>
        <v>0</v>
      </c>
      <c r="E1208" s="5">
        <f>IF($B1208 &lt;= 0, 0, -ROUND($B1208 * (InterestRate / PaymentsPerYear), 2))</f>
        <v>0</v>
      </c>
      <c r="F1208" s="5">
        <f>ROUND(IFERROR(IF(OR($B1208 &lt;=0, $B1208 = ExtraPayment),0,
MAX(-$B1208, -(-PMT(InterestRate/PaymentsPerYear,LoanTerm*PaymentsPerYear,LoanAmount) + $E1208))), 0), 2)</f>
        <v>0</v>
      </c>
      <c r="G1208" s="5">
        <f t="shared" si="74"/>
        <v>0</v>
      </c>
      <c r="H1208" s="5">
        <f t="shared" si="75"/>
        <v>0</v>
      </c>
    </row>
    <row r="1209" spans="1:8" x14ac:dyDescent="0.2">
      <c r="A1209" s="2">
        <v>1208</v>
      </c>
      <c r="B1209" s="5">
        <f t="shared" si="72"/>
        <v>0</v>
      </c>
      <c r="C1209" s="5">
        <f t="shared" si="73"/>
        <v>0</v>
      </c>
      <c r="D1209" s="5">
        <f>IF(ExtraPayment=0, 0, IF(AND($B1209&lt;&gt;0,ExtraPayment&lt;=$B1209),-ExtraPayment,-($F1209)-$B1209))</f>
        <v>0</v>
      </c>
      <c r="E1209" s="5">
        <f>IF($B1209 &lt;= 0, 0, -ROUND($B1209 * (InterestRate / PaymentsPerYear), 2))</f>
        <v>0</v>
      </c>
      <c r="F1209" s="5">
        <f>ROUND(IFERROR(IF(OR($B1209 &lt;=0, $B1209 = ExtraPayment),0,
MAX(-$B1209, -(-PMT(InterestRate/PaymentsPerYear,LoanTerm*PaymentsPerYear,LoanAmount) + $E1209))), 0), 2)</f>
        <v>0</v>
      </c>
      <c r="G1209" s="5">
        <f t="shared" si="74"/>
        <v>0</v>
      </c>
      <c r="H1209" s="5">
        <f t="shared" si="75"/>
        <v>0</v>
      </c>
    </row>
    <row r="1210" spans="1:8" x14ac:dyDescent="0.2">
      <c r="A1210" s="2">
        <v>1209</v>
      </c>
      <c r="B1210" s="5">
        <f t="shared" si="72"/>
        <v>0</v>
      </c>
      <c r="C1210" s="5">
        <f t="shared" si="73"/>
        <v>0</v>
      </c>
      <c r="D1210" s="5">
        <f>IF(ExtraPayment=0, 0, IF(AND($B1210&lt;&gt;0,ExtraPayment&lt;=$B1210),-ExtraPayment,-($F1210)-$B1210))</f>
        <v>0</v>
      </c>
      <c r="E1210" s="5">
        <f>IF($B1210 &lt;= 0, 0, -ROUND($B1210 * (InterestRate / PaymentsPerYear), 2))</f>
        <v>0</v>
      </c>
      <c r="F1210" s="5">
        <f>ROUND(IFERROR(IF(OR($B1210 &lt;=0, $B1210 = ExtraPayment),0,
MAX(-$B1210, -(-PMT(InterestRate/PaymentsPerYear,LoanTerm*PaymentsPerYear,LoanAmount) + $E1210))), 0), 2)</f>
        <v>0</v>
      </c>
      <c r="G1210" s="5">
        <f t="shared" si="74"/>
        <v>0</v>
      </c>
      <c r="H1210" s="5">
        <f t="shared" si="75"/>
        <v>0</v>
      </c>
    </row>
    <row r="1211" spans="1:8" x14ac:dyDescent="0.2">
      <c r="A1211" s="2">
        <v>1210</v>
      </c>
      <c r="B1211" s="5">
        <f t="shared" si="72"/>
        <v>0</v>
      </c>
      <c r="C1211" s="5">
        <f t="shared" si="73"/>
        <v>0</v>
      </c>
      <c r="D1211" s="5">
        <f>IF(ExtraPayment=0, 0, IF(AND($B1211&lt;&gt;0,ExtraPayment&lt;=$B1211),-ExtraPayment,-($F1211)-$B1211))</f>
        <v>0</v>
      </c>
      <c r="E1211" s="5">
        <f>IF($B1211 &lt;= 0, 0, -ROUND($B1211 * (InterestRate / PaymentsPerYear), 2))</f>
        <v>0</v>
      </c>
      <c r="F1211" s="5">
        <f>ROUND(IFERROR(IF(OR($B1211 &lt;=0, $B1211 = ExtraPayment),0,
MAX(-$B1211, -(-PMT(InterestRate/PaymentsPerYear,LoanTerm*PaymentsPerYear,LoanAmount) + $E1211))), 0), 2)</f>
        <v>0</v>
      </c>
      <c r="G1211" s="5">
        <f t="shared" si="74"/>
        <v>0</v>
      </c>
      <c r="H1211" s="5">
        <f t="shared" si="75"/>
        <v>0</v>
      </c>
    </row>
    <row r="1212" spans="1:8" x14ac:dyDescent="0.2">
      <c r="A1212" s="2">
        <v>1211</v>
      </c>
      <c r="B1212" s="5">
        <f t="shared" si="72"/>
        <v>0</v>
      </c>
      <c r="C1212" s="5">
        <f t="shared" si="73"/>
        <v>0</v>
      </c>
      <c r="D1212" s="5">
        <f>IF(ExtraPayment=0, 0, IF(AND($B1212&lt;&gt;0,ExtraPayment&lt;=$B1212),-ExtraPayment,-($F1212)-$B1212))</f>
        <v>0</v>
      </c>
      <c r="E1212" s="5">
        <f>IF($B1212 &lt;= 0, 0, -ROUND($B1212 * (InterestRate / PaymentsPerYear), 2))</f>
        <v>0</v>
      </c>
      <c r="F1212" s="5">
        <f>ROUND(IFERROR(IF(OR($B1212 &lt;=0, $B1212 = ExtraPayment),0,
MAX(-$B1212, -(-PMT(InterestRate/PaymentsPerYear,LoanTerm*PaymentsPerYear,LoanAmount) + $E1212))), 0), 2)</f>
        <v>0</v>
      </c>
      <c r="G1212" s="5">
        <f t="shared" si="74"/>
        <v>0</v>
      </c>
      <c r="H1212" s="5">
        <f t="shared" si="75"/>
        <v>0</v>
      </c>
    </row>
    <row r="1213" spans="1:8" x14ac:dyDescent="0.2">
      <c r="A1213" s="2">
        <v>1212</v>
      </c>
      <c r="B1213" s="5">
        <f t="shared" si="72"/>
        <v>0</v>
      </c>
      <c r="C1213" s="5">
        <f t="shared" si="73"/>
        <v>0</v>
      </c>
      <c r="D1213" s="5">
        <f>IF(ExtraPayment=0, 0, IF(AND($B1213&lt;&gt;0,ExtraPayment&lt;=$B1213),-ExtraPayment,-($F1213)-$B1213))</f>
        <v>0</v>
      </c>
      <c r="E1213" s="5">
        <f>IF($B1213 &lt;= 0, 0, -ROUND($B1213 * (InterestRate / PaymentsPerYear), 2))</f>
        <v>0</v>
      </c>
      <c r="F1213" s="5">
        <f>ROUND(IFERROR(IF(OR($B1213 &lt;=0, $B1213 = ExtraPayment),0,
MAX(-$B1213, -(-PMT(InterestRate/PaymentsPerYear,LoanTerm*PaymentsPerYear,LoanAmount) + $E1213))), 0), 2)</f>
        <v>0</v>
      </c>
      <c r="G1213" s="5">
        <f t="shared" si="74"/>
        <v>0</v>
      </c>
      <c r="H1213" s="5">
        <f t="shared" si="75"/>
        <v>0</v>
      </c>
    </row>
    <row r="1214" spans="1:8" x14ac:dyDescent="0.2">
      <c r="A1214" s="2">
        <v>1213</v>
      </c>
      <c r="B1214" s="5">
        <f t="shared" si="72"/>
        <v>0</v>
      </c>
      <c r="C1214" s="5">
        <f t="shared" si="73"/>
        <v>0</v>
      </c>
      <c r="D1214" s="5">
        <f>IF(ExtraPayment=0, 0, IF(AND($B1214&lt;&gt;0,ExtraPayment&lt;=$B1214),-ExtraPayment,-($F1214)-$B1214))</f>
        <v>0</v>
      </c>
      <c r="E1214" s="5">
        <f>IF($B1214 &lt;= 0, 0, -ROUND($B1214 * (InterestRate / PaymentsPerYear), 2))</f>
        <v>0</v>
      </c>
      <c r="F1214" s="5">
        <f>ROUND(IFERROR(IF(OR($B1214 &lt;=0, $B1214 = ExtraPayment),0,
MAX(-$B1214, -(-PMT(InterestRate/PaymentsPerYear,LoanTerm*PaymentsPerYear,LoanAmount) + $E1214))), 0), 2)</f>
        <v>0</v>
      </c>
      <c r="G1214" s="5">
        <f t="shared" si="74"/>
        <v>0</v>
      </c>
      <c r="H1214" s="5">
        <f t="shared" si="75"/>
        <v>0</v>
      </c>
    </row>
    <row r="1215" spans="1:8" x14ac:dyDescent="0.2">
      <c r="A1215" s="2">
        <v>1214</v>
      </c>
      <c r="B1215" s="5">
        <f t="shared" si="72"/>
        <v>0</v>
      </c>
      <c r="C1215" s="5">
        <f t="shared" si="73"/>
        <v>0</v>
      </c>
      <c r="D1215" s="5">
        <f>IF(ExtraPayment=0, 0, IF(AND($B1215&lt;&gt;0,ExtraPayment&lt;=$B1215),-ExtraPayment,-($F1215)-$B1215))</f>
        <v>0</v>
      </c>
      <c r="E1215" s="5">
        <f>IF($B1215 &lt;= 0, 0, -ROUND($B1215 * (InterestRate / PaymentsPerYear), 2))</f>
        <v>0</v>
      </c>
      <c r="F1215" s="5">
        <f>ROUND(IFERROR(IF(OR($B1215 &lt;=0, $B1215 = ExtraPayment),0,
MAX(-$B1215, -(-PMT(InterestRate/PaymentsPerYear,LoanTerm*PaymentsPerYear,LoanAmount) + $E1215))), 0), 2)</f>
        <v>0</v>
      </c>
      <c r="G1215" s="5">
        <f t="shared" si="74"/>
        <v>0</v>
      </c>
      <c r="H1215" s="5">
        <f t="shared" si="75"/>
        <v>0</v>
      </c>
    </row>
    <row r="1216" spans="1:8" x14ac:dyDescent="0.2">
      <c r="A1216" s="2">
        <v>1215</v>
      </c>
      <c r="B1216" s="5">
        <f t="shared" si="72"/>
        <v>0</v>
      </c>
      <c r="C1216" s="5">
        <f t="shared" si="73"/>
        <v>0</v>
      </c>
      <c r="D1216" s="5">
        <f>IF(ExtraPayment=0, 0, IF(AND($B1216&lt;&gt;0,ExtraPayment&lt;=$B1216),-ExtraPayment,-($F1216)-$B1216))</f>
        <v>0</v>
      </c>
      <c r="E1216" s="5">
        <f>IF($B1216 &lt;= 0, 0, -ROUND($B1216 * (InterestRate / PaymentsPerYear), 2))</f>
        <v>0</v>
      </c>
      <c r="F1216" s="5">
        <f>ROUND(IFERROR(IF(OR($B1216 &lt;=0, $B1216 = ExtraPayment),0,
MAX(-$B1216, -(-PMT(InterestRate/PaymentsPerYear,LoanTerm*PaymentsPerYear,LoanAmount) + $E1216))), 0), 2)</f>
        <v>0</v>
      </c>
      <c r="G1216" s="5">
        <f t="shared" si="74"/>
        <v>0</v>
      </c>
      <c r="H1216" s="5">
        <f t="shared" si="75"/>
        <v>0</v>
      </c>
    </row>
    <row r="1217" spans="1:8" x14ac:dyDescent="0.2">
      <c r="A1217" s="2">
        <v>1216</v>
      </c>
      <c r="B1217" s="5">
        <f t="shared" si="72"/>
        <v>0</v>
      </c>
      <c r="C1217" s="5">
        <f t="shared" si="73"/>
        <v>0</v>
      </c>
      <c r="D1217" s="5">
        <f>IF(ExtraPayment=0, 0, IF(AND($B1217&lt;&gt;0,ExtraPayment&lt;=$B1217),-ExtraPayment,-($F1217)-$B1217))</f>
        <v>0</v>
      </c>
      <c r="E1217" s="5">
        <f>IF($B1217 &lt;= 0, 0, -ROUND($B1217 * (InterestRate / PaymentsPerYear), 2))</f>
        <v>0</v>
      </c>
      <c r="F1217" s="5">
        <f>ROUND(IFERROR(IF(OR($B1217 &lt;=0, $B1217 = ExtraPayment),0,
MAX(-$B1217, -(-PMT(InterestRate/PaymentsPerYear,LoanTerm*PaymentsPerYear,LoanAmount) + $E1217))), 0), 2)</f>
        <v>0</v>
      </c>
      <c r="G1217" s="5">
        <f t="shared" si="74"/>
        <v>0</v>
      </c>
      <c r="H1217" s="5">
        <f t="shared" si="75"/>
        <v>0</v>
      </c>
    </row>
    <row r="1218" spans="1:8" x14ac:dyDescent="0.2">
      <c r="A1218" s="2">
        <v>1217</v>
      </c>
      <c r="B1218" s="5">
        <f t="shared" si="72"/>
        <v>0</v>
      </c>
      <c r="C1218" s="5">
        <f t="shared" si="73"/>
        <v>0</v>
      </c>
      <c r="D1218" s="5">
        <f>IF(ExtraPayment=0, 0, IF(AND($B1218&lt;&gt;0,ExtraPayment&lt;=$B1218),-ExtraPayment,-($F1218)-$B1218))</f>
        <v>0</v>
      </c>
      <c r="E1218" s="5">
        <f>IF($B1218 &lt;= 0, 0, -ROUND($B1218 * (InterestRate / PaymentsPerYear), 2))</f>
        <v>0</v>
      </c>
      <c r="F1218" s="5">
        <f>ROUND(IFERROR(IF(OR($B1218 &lt;=0, $B1218 = ExtraPayment),0,
MAX(-$B1218, -(-PMT(InterestRate/PaymentsPerYear,LoanTerm*PaymentsPerYear,LoanAmount) + $E1218))), 0), 2)</f>
        <v>0</v>
      </c>
      <c r="G1218" s="5">
        <f t="shared" si="74"/>
        <v>0</v>
      </c>
      <c r="H1218" s="5">
        <f t="shared" si="75"/>
        <v>0</v>
      </c>
    </row>
    <row r="1219" spans="1:8" x14ac:dyDescent="0.2">
      <c r="A1219" s="2">
        <v>1218</v>
      </c>
      <c r="B1219" s="5">
        <f t="shared" si="72"/>
        <v>0</v>
      </c>
      <c r="C1219" s="5">
        <f t="shared" si="73"/>
        <v>0</v>
      </c>
      <c r="D1219" s="5">
        <f>IF(ExtraPayment=0, 0, IF(AND($B1219&lt;&gt;0,ExtraPayment&lt;=$B1219),-ExtraPayment,-($F1219)-$B1219))</f>
        <v>0</v>
      </c>
      <c r="E1219" s="5">
        <f>IF($B1219 &lt;= 0, 0, -ROUND($B1219 * (InterestRate / PaymentsPerYear), 2))</f>
        <v>0</v>
      </c>
      <c r="F1219" s="5">
        <f>ROUND(IFERROR(IF(OR($B1219 &lt;=0, $B1219 = ExtraPayment),0,
MAX(-$B1219, -(-PMT(InterestRate/PaymentsPerYear,LoanTerm*PaymentsPerYear,LoanAmount) + $E1219))), 0), 2)</f>
        <v>0</v>
      </c>
      <c r="G1219" s="5">
        <f t="shared" si="74"/>
        <v>0</v>
      </c>
      <c r="H1219" s="5">
        <f t="shared" si="75"/>
        <v>0</v>
      </c>
    </row>
    <row r="1220" spans="1:8" x14ac:dyDescent="0.2">
      <c r="A1220" s="2">
        <v>1219</v>
      </c>
      <c r="B1220" s="5">
        <f t="shared" ref="B1220:B1283" si="76">ROUND(IF($H1219 &gt;= 0, MAX($H1219, $F1219), 0), 2)</f>
        <v>0</v>
      </c>
      <c r="C1220" s="5">
        <f t="shared" ref="C1220:C1283" si="77">IF($B1220 &lt;= 0, 0, $D1220+$E1220+$F1220)</f>
        <v>0</v>
      </c>
      <c r="D1220" s="5">
        <f>IF(ExtraPayment=0, 0, IF(AND($B1220&lt;&gt;0,ExtraPayment&lt;=$B1220),-ExtraPayment,-($F1220)-$B1220))</f>
        <v>0</v>
      </c>
      <c r="E1220" s="5">
        <f>IF($B1220 &lt;= 0, 0, -ROUND($B1220 * (InterestRate / PaymentsPerYear), 2))</f>
        <v>0</v>
      </c>
      <c r="F1220" s="5">
        <f>ROUND(IFERROR(IF(OR($B1220 &lt;=0, $B1220 = ExtraPayment),0,
MAX(-$B1220, -(-PMT(InterestRate/PaymentsPerYear,LoanTerm*PaymentsPerYear,LoanAmount) + $E1220))), 0), 2)</f>
        <v>0</v>
      </c>
      <c r="G1220" s="5">
        <f t="shared" ref="G1220:G1283" si="78">$D1220+$F1220</f>
        <v>0</v>
      </c>
      <c r="H1220" s="5">
        <f t="shared" ref="H1220:H1283" si="79">ROUND(IF($B1220 &lt;= 0, 0,MAX(0, $B1220 + $G1220)), 2)</f>
        <v>0</v>
      </c>
    </row>
    <row r="1221" spans="1:8" x14ac:dyDescent="0.2">
      <c r="A1221" s="2">
        <v>1220</v>
      </c>
      <c r="B1221" s="5">
        <f t="shared" si="76"/>
        <v>0</v>
      </c>
      <c r="C1221" s="5">
        <f t="shared" si="77"/>
        <v>0</v>
      </c>
      <c r="D1221" s="5">
        <f>IF(ExtraPayment=0, 0, IF(AND($B1221&lt;&gt;0,ExtraPayment&lt;=$B1221),-ExtraPayment,-($F1221)-$B1221))</f>
        <v>0</v>
      </c>
      <c r="E1221" s="5">
        <f>IF($B1221 &lt;= 0, 0, -ROUND($B1221 * (InterestRate / PaymentsPerYear), 2))</f>
        <v>0</v>
      </c>
      <c r="F1221" s="5">
        <f>ROUND(IFERROR(IF(OR($B1221 &lt;=0, $B1221 = ExtraPayment),0,
MAX(-$B1221, -(-PMT(InterestRate/PaymentsPerYear,LoanTerm*PaymentsPerYear,LoanAmount) + $E1221))), 0), 2)</f>
        <v>0</v>
      </c>
      <c r="G1221" s="5">
        <f t="shared" si="78"/>
        <v>0</v>
      </c>
      <c r="H1221" s="5">
        <f t="shared" si="79"/>
        <v>0</v>
      </c>
    </row>
    <row r="1222" spans="1:8" x14ac:dyDescent="0.2">
      <c r="A1222" s="2">
        <v>1221</v>
      </c>
      <c r="B1222" s="5">
        <f t="shared" si="76"/>
        <v>0</v>
      </c>
      <c r="C1222" s="5">
        <f t="shared" si="77"/>
        <v>0</v>
      </c>
      <c r="D1222" s="5">
        <f>IF(ExtraPayment=0, 0, IF(AND($B1222&lt;&gt;0,ExtraPayment&lt;=$B1222),-ExtraPayment,-($F1222)-$B1222))</f>
        <v>0</v>
      </c>
      <c r="E1222" s="5">
        <f>IF($B1222 &lt;= 0, 0, -ROUND($B1222 * (InterestRate / PaymentsPerYear), 2))</f>
        <v>0</v>
      </c>
      <c r="F1222" s="5">
        <f>ROUND(IFERROR(IF(OR($B1222 &lt;=0, $B1222 = ExtraPayment),0,
MAX(-$B1222, -(-PMT(InterestRate/PaymentsPerYear,LoanTerm*PaymentsPerYear,LoanAmount) + $E1222))), 0), 2)</f>
        <v>0</v>
      </c>
      <c r="G1222" s="5">
        <f t="shared" si="78"/>
        <v>0</v>
      </c>
      <c r="H1222" s="5">
        <f t="shared" si="79"/>
        <v>0</v>
      </c>
    </row>
    <row r="1223" spans="1:8" x14ac:dyDescent="0.2">
      <c r="A1223" s="2">
        <v>1222</v>
      </c>
      <c r="B1223" s="5">
        <f t="shared" si="76"/>
        <v>0</v>
      </c>
      <c r="C1223" s="5">
        <f t="shared" si="77"/>
        <v>0</v>
      </c>
      <c r="D1223" s="5">
        <f>IF(ExtraPayment=0, 0, IF(AND($B1223&lt;&gt;0,ExtraPayment&lt;=$B1223),-ExtraPayment,-($F1223)-$B1223))</f>
        <v>0</v>
      </c>
      <c r="E1223" s="5">
        <f>IF($B1223 &lt;= 0, 0, -ROUND($B1223 * (InterestRate / PaymentsPerYear), 2))</f>
        <v>0</v>
      </c>
      <c r="F1223" s="5">
        <f>ROUND(IFERROR(IF(OR($B1223 &lt;=0, $B1223 = ExtraPayment),0,
MAX(-$B1223, -(-PMT(InterestRate/PaymentsPerYear,LoanTerm*PaymentsPerYear,LoanAmount) + $E1223))), 0), 2)</f>
        <v>0</v>
      </c>
      <c r="G1223" s="5">
        <f t="shared" si="78"/>
        <v>0</v>
      </c>
      <c r="H1223" s="5">
        <f t="shared" si="79"/>
        <v>0</v>
      </c>
    </row>
    <row r="1224" spans="1:8" x14ac:dyDescent="0.2">
      <c r="A1224" s="2">
        <v>1223</v>
      </c>
      <c r="B1224" s="5">
        <f t="shared" si="76"/>
        <v>0</v>
      </c>
      <c r="C1224" s="5">
        <f t="shared" si="77"/>
        <v>0</v>
      </c>
      <c r="D1224" s="5">
        <f>IF(ExtraPayment=0, 0, IF(AND($B1224&lt;&gt;0,ExtraPayment&lt;=$B1224),-ExtraPayment,-($F1224)-$B1224))</f>
        <v>0</v>
      </c>
      <c r="E1224" s="5">
        <f>IF($B1224 &lt;= 0, 0, -ROUND($B1224 * (InterestRate / PaymentsPerYear), 2))</f>
        <v>0</v>
      </c>
      <c r="F1224" s="5">
        <f>ROUND(IFERROR(IF(OR($B1224 &lt;=0, $B1224 = ExtraPayment),0,
MAX(-$B1224, -(-PMT(InterestRate/PaymentsPerYear,LoanTerm*PaymentsPerYear,LoanAmount) + $E1224))), 0), 2)</f>
        <v>0</v>
      </c>
      <c r="G1224" s="5">
        <f t="shared" si="78"/>
        <v>0</v>
      </c>
      <c r="H1224" s="5">
        <f t="shared" si="79"/>
        <v>0</v>
      </c>
    </row>
    <row r="1225" spans="1:8" x14ac:dyDescent="0.2">
      <c r="A1225" s="2">
        <v>1224</v>
      </c>
      <c r="B1225" s="5">
        <f t="shared" si="76"/>
        <v>0</v>
      </c>
      <c r="C1225" s="5">
        <f t="shared" si="77"/>
        <v>0</v>
      </c>
      <c r="D1225" s="5">
        <f>IF(ExtraPayment=0, 0, IF(AND($B1225&lt;&gt;0,ExtraPayment&lt;=$B1225),-ExtraPayment,-($F1225)-$B1225))</f>
        <v>0</v>
      </c>
      <c r="E1225" s="5">
        <f>IF($B1225 &lt;= 0, 0, -ROUND($B1225 * (InterestRate / PaymentsPerYear), 2))</f>
        <v>0</v>
      </c>
      <c r="F1225" s="5">
        <f>ROUND(IFERROR(IF(OR($B1225 &lt;=0, $B1225 = ExtraPayment),0,
MAX(-$B1225, -(-PMT(InterestRate/PaymentsPerYear,LoanTerm*PaymentsPerYear,LoanAmount) + $E1225))), 0), 2)</f>
        <v>0</v>
      </c>
      <c r="G1225" s="5">
        <f t="shared" si="78"/>
        <v>0</v>
      </c>
      <c r="H1225" s="5">
        <f t="shared" si="79"/>
        <v>0</v>
      </c>
    </row>
    <row r="1226" spans="1:8" x14ac:dyDescent="0.2">
      <c r="A1226" s="2">
        <v>1225</v>
      </c>
      <c r="B1226" s="5">
        <f t="shared" si="76"/>
        <v>0</v>
      </c>
      <c r="C1226" s="5">
        <f t="shared" si="77"/>
        <v>0</v>
      </c>
      <c r="D1226" s="5">
        <f>IF(ExtraPayment=0, 0, IF(AND($B1226&lt;&gt;0,ExtraPayment&lt;=$B1226),-ExtraPayment,-($F1226)-$B1226))</f>
        <v>0</v>
      </c>
      <c r="E1226" s="5">
        <f>IF($B1226 &lt;= 0, 0, -ROUND($B1226 * (InterestRate / PaymentsPerYear), 2))</f>
        <v>0</v>
      </c>
      <c r="F1226" s="5">
        <f>ROUND(IFERROR(IF(OR($B1226 &lt;=0, $B1226 = ExtraPayment),0,
MAX(-$B1226, -(-PMT(InterestRate/PaymentsPerYear,LoanTerm*PaymentsPerYear,LoanAmount) + $E1226))), 0), 2)</f>
        <v>0</v>
      </c>
      <c r="G1226" s="5">
        <f t="shared" si="78"/>
        <v>0</v>
      </c>
      <c r="H1226" s="5">
        <f t="shared" si="79"/>
        <v>0</v>
      </c>
    </row>
    <row r="1227" spans="1:8" x14ac:dyDescent="0.2">
      <c r="A1227" s="2">
        <v>1226</v>
      </c>
      <c r="B1227" s="5">
        <f t="shared" si="76"/>
        <v>0</v>
      </c>
      <c r="C1227" s="5">
        <f t="shared" si="77"/>
        <v>0</v>
      </c>
      <c r="D1227" s="5">
        <f>IF(ExtraPayment=0, 0, IF(AND($B1227&lt;&gt;0,ExtraPayment&lt;=$B1227),-ExtraPayment,-($F1227)-$B1227))</f>
        <v>0</v>
      </c>
      <c r="E1227" s="5">
        <f>IF($B1227 &lt;= 0, 0, -ROUND($B1227 * (InterestRate / PaymentsPerYear), 2))</f>
        <v>0</v>
      </c>
      <c r="F1227" s="5">
        <f>ROUND(IFERROR(IF(OR($B1227 &lt;=0, $B1227 = ExtraPayment),0,
MAX(-$B1227, -(-PMT(InterestRate/PaymentsPerYear,LoanTerm*PaymentsPerYear,LoanAmount) + $E1227))), 0), 2)</f>
        <v>0</v>
      </c>
      <c r="G1227" s="5">
        <f t="shared" si="78"/>
        <v>0</v>
      </c>
      <c r="H1227" s="5">
        <f t="shared" si="79"/>
        <v>0</v>
      </c>
    </row>
    <row r="1228" spans="1:8" x14ac:dyDescent="0.2">
      <c r="A1228" s="2">
        <v>1227</v>
      </c>
      <c r="B1228" s="5">
        <f t="shared" si="76"/>
        <v>0</v>
      </c>
      <c r="C1228" s="5">
        <f t="shared" si="77"/>
        <v>0</v>
      </c>
      <c r="D1228" s="5">
        <f>IF(ExtraPayment=0, 0, IF(AND($B1228&lt;&gt;0,ExtraPayment&lt;=$B1228),-ExtraPayment,-($F1228)-$B1228))</f>
        <v>0</v>
      </c>
      <c r="E1228" s="5">
        <f>IF($B1228 &lt;= 0, 0, -ROUND($B1228 * (InterestRate / PaymentsPerYear), 2))</f>
        <v>0</v>
      </c>
      <c r="F1228" s="5">
        <f>ROUND(IFERROR(IF(OR($B1228 &lt;=0, $B1228 = ExtraPayment),0,
MAX(-$B1228, -(-PMT(InterestRate/PaymentsPerYear,LoanTerm*PaymentsPerYear,LoanAmount) + $E1228))), 0), 2)</f>
        <v>0</v>
      </c>
      <c r="G1228" s="5">
        <f t="shared" si="78"/>
        <v>0</v>
      </c>
      <c r="H1228" s="5">
        <f t="shared" si="79"/>
        <v>0</v>
      </c>
    </row>
    <row r="1229" spans="1:8" x14ac:dyDescent="0.2">
      <c r="A1229" s="2">
        <v>1228</v>
      </c>
      <c r="B1229" s="5">
        <f t="shared" si="76"/>
        <v>0</v>
      </c>
      <c r="C1229" s="5">
        <f t="shared" si="77"/>
        <v>0</v>
      </c>
      <c r="D1229" s="5">
        <f>IF(ExtraPayment=0, 0, IF(AND($B1229&lt;&gt;0,ExtraPayment&lt;=$B1229),-ExtraPayment,-($F1229)-$B1229))</f>
        <v>0</v>
      </c>
      <c r="E1229" s="5">
        <f>IF($B1229 &lt;= 0, 0, -ROUND($B1229 * (InterestRate / PaymentsPerYear), 2))</f>
        <v>0</v>
      </c>
      <c r="F1229" s="5">
        <f>ROUND(IFERROR(IF(OR($B1229 &lt;=0, $B1229 = ExtraPayment),0,
MAX(-$B1229, -(-PMT(InterestRate/PaymentsPerYear,LoanTerm*PaymentsPerYear,LoanAmount) + $E1229))), 0), 2)</f>
        <v>0</v>
      </c>
      <c r="G1229" s="5">
        <f t="shared" si="78"/>
        <v>0</v>
      </c>
      <c r="H1229" s="5">
        <f t="shared" si="79"/>
        <v>0</v>
      </c>
    </row>
    <row r="1230" spans="1:8" x14ac:dyDescent="0.2">
      <c r="A1230" s="2">
        <v>1229</v>
      </c>
      <c r="B1230" s="5">
        <f t="shared" si="76"/>
        <v>0</v>
      </c>
      <c r="C1230" s="5">
        <f t="shared" si="77"/>
        <v>0</v>
      </c>
      <c r="D1230" s="5">
        <f>IF(ExtraPayment=0, 0, IF(AND($B1230&lt;&gt;0,ExtraPayment&lt;=$B1230),-ExtraPayment,-($F1230)-$B1230))</f>
        <v>0</v>
      </c>
      <c r="E1230" s="5">
        <f>IF($B1230 &lt;= 0, 0, -ROUND($B1230 * (InterestRate / PaymentsPerYear), 2))</f>
        <v>0</v>
      </c>
      <c r="F1230" s="5">
        <f>ROUND(IFERROR(IF(OR($B1230 &lt;=0, $B1230 = ExtraPayment),0,
MAX(-$B1230, -(-PMT(InterestRate/PaymentsPerYear,LoanTerm*PaymentsPerYear,LoanAmount) + $E1230))), 0), 2)</f>
        <v>0</v>
      </c>
      <c r="G1230" s="5">
        <f t="shared" si="78"/>
        <v>0</v>
      </c>
      <c r="H1230" s="5">
        <f t="shared" si="79"/>
        <v>0</v>
      </c>
    </row>
    <row r="1231" spans="1:8" x14ac:dyDescent="0.2">
      <c r="A1231" s="2">
        <v>1230</v>
      </c>
      <c r="B1231" s="5">
        <f t="shared" si="76"/>
        <v>0</v>
      </c>
      <c r="C1231" s="5">
        <f t="shared" si="77"/>
        <v>0</v>
      </c>
      <c r="D1231" s="5">
        <f>IF(ExtraPayment=0, 0, IF(AND($B1231&lt;&gt;0,ExtraPayment&lt;=$B1231),-ExtraPayment,-($F1231)-$B1231))</f>
        <v>0</v>
      </c>
      <c r="E1231" s="5">
        <f>IF($B1231 &lt;= 0, 0, -ROUND($B1231 * (InterestRate / PaymentsPerYear), 2))</f>
        <v>0</v>
      </c>
      <c r="F1231" s="5">
        <f>ROUND(IFERROR(IF(OR($B1231 &lt;=0, $B1231 = ExtraPayment),0,
MAX(-$B1231, -(-PMT(InterestRate/PaymentsPerYear,LoanTerm*PaymentsPerYear,LoanAmount) + $E1231))), 0), 2)</f>
        <v>0</v>
      </c>
      <c r="G1231" s="5">
        <f t="shared" si="78"/>
        <v>0</v>
      </c>
      <c r="H1231" s="5">
        <f t="shared" si="79"/>
        <v>0</v>
      </c>
    </row>
    <row r="1232" spans="1:8" x14ac:dyDescent="0.2">
      <c r="A1232" s="2">
        <v>1231</v>
      </c>
      <c r="B1232" s="5">
        <f t="shared" si="76"/>
        <v>0</v>
      </c>
      <c r="C1232" s="5">
        <f t="shared" si="77"/>
        <v>0</v>
      </c>
      <c r="D1232" s="5">
        <f>IF(ExtraPayment=0, 0, IF(AND($B1232&lt;&gt;0,ExtraPayment&lt;=$B1232),-ExtraPayment,-($F1232)-$B1232))</f>
        <v>0</v>
      </c>
      <c r="E1232" s="5">
        <f>IF($B1232 &lt;= 0, 0, -ROUND($B1232 * (InterestRate / PaymentsPerYear), 2))</f>
        <v>0</v>
      </c>
      <c r="F1232" s="5">
        <f>ROUND(IFERROR(IF(OR($B1232 &lt;=0, $B1232 = ExtraPayment),0,
MAX(-$B1232, -(-PMT(InterestRate/PaymentsPerYear,LoanTerm*PaymentsPerYear,LoanAmount) + $E1232))), 0), 2)</f>
        <v>0</v>
      </c>
      <c r="G1232" s="5">
        <f t="shared" si="78"/>
        <v>0</v>
      </c>
      <c r="H1232" s="5">
        <f t="shared" si="79"/>
        <v>0</v>
      </c>
    </row>
    <row r="1233" spans="1:8" x14ac:dyDescent="0.2">
      <c r="A1233" s="2">
        <v>1232</v>
      </c>
      <c r="B1233" s="5">
        <f t="shared" si="76"/>
        <v>0</v>
      </c>
      <c r="C1233" s="5">
        <f t="shared" si="77"/>
        <v>0</v>
      </c>
      <c r="D1233" s="5">
        <f>IF(ExtraPayment=0, 0, IF(AND($B1233&lt;&gt;0,ExtraPayment&lt;=$B1233),-ExtraPayment,-($F1233)-$B1233))</f>
        <v>0</v>
      </c>
      <c r="E1233" s="5">
        <f>IF($B1233 &lt;= 0, 0, -ROUND($B1233 * (InterestRate / PaymentsPerYear), 2))</f>
        <v>0</v>
      </c>
      <c r="F1233" s="5">
        <f>ROUND(IFERROR(IF(OR($B1233 &lt;=0, $B1233 = ExtraPayment),0,
MAX(-$B1233, -(-PMT(InterestRate/PaymentsPerYear,LoanTerm*PaymentsPerYear,LoanAmount) + $E1233))), 0), 2)</f>
        <v>0</v>
      </c>
      <c r="G1233" s="5">
        <f t="shared" si="78"/>
        <v>0</v>
      </c>
      <c r="H1233" s="5">
        <f t="shared" si="79"/>
        <v>0</v>
      </c>
    </row>
    <row r="1234" spans="1:8" x14ac:dyDescent="0.2">
      <c r="A1234" s="2">
        <v>1233</v>
      </c>
      <c r="B1234" s="5">
        <f t="shared" si="76"/>
        <v>0</v>
      </c>
      <c r="C1234" s="5">
        <f t="shared" si="77"/>
        <v>0</v>
      </c>
      <c r="D1234" s="5">
        <f>IF(ExtraPayment=0, 0, IF(AND($B1234&lt;&gt;0,ExtraPayment&lt;=$B1234),-ExtraPayment,-($F1234)-$B1234))</f>
        <v>0</v>
      </c>
      <c r="E1234" s="5">
        <f>IF($B1234 &lt;= 0, 0, -ROUND($B1234 * (InterestRate / PaymentsPerYear), 2))</f>
        <v>0</v>
      </c>
      <c r="F1234" s="5">
        <f>ROUND(IFERROR(IF(OR($B1234 &lt;=0, $B1234 = ExtraPayment),0,
MAX(-$B1234, -(-PMT(InterestRate/PaymentsPerYear,LoanTerm*PaymentsPerYear,LoanAmount) + $E1234))), 0), 2)</f>
        <v>0</v>
      </c>
      <c r="G1234" s="5">
        <f t="shared" si="78"/>
        <v>0</v>
      </c>
      <c r="H1234" s="5">
        <f t="shared" si="79"/>
        <v>0</v>
      </c>
    </row>
    <row r="1235" spans="1:8" x14ac:dyDescent="0.2">
      <c r="A1235" s="2">
        <v>1234</v>
      </c>
      <c r="B1235" s="5">
        <f t="shared" si="76"/>
        <v>0</v>
      </c>
      <c r="C1235" s="5">
        <f t="shared" si="77"/>
        <v>0</v>
      </c>
      <c r="D1235" s="5">
        <f>IF(ExtraPayment=0, 0, IF(AND($B1235&lt;&gt;0,ExtraPayment&lt;=$B1235),-ExtraPayment,-($F1235)-$B1235))</f>
        <v>0</v>
      </c>
      <c r="E1235" s="5">
        <f>IF($B1235 &lt;= 0, 0, -ROUND($B1235 * (InterestRate / PaymentsPerYear), 2))</f>
        <v>0</v>
      </c>
      <c r="F1235" s="5">
        <f>ROUND(IFERROR(IF(OR($B1235 &lt;=0, $B1235 = ExtraPayment),0,
MAX(-$B1235, -(-PMT(InterestRate/PaymentsPerYear,LoanTerm*PaymentsPerYear,LoanAmount) + $E1235))), 0), 2)</f>
        <v>0</v>
      </c>
      <c r="G1235" s="5">
        <f t="shared" si="78"/>
        <v>0</v>
      </c>
      <c r="H1235" s="5">
        <f t="shared" si="79"/>
        <v>0</v>
      </c>
    </row>
    <row r="1236" spans="1:8" x14ac:dyDescent="0.2">
      <c r="A1236" s="2">
        <v>1235</v>
      </c>
      <c r="B1236" s="5">
        <f t="shared" si="76"/>
        <v>0</v>
      </c>
      <c r="C1236" s="5">
        <f t="shared" si="77"/>
        <v>0</v>
      </c>
      <c r="D1236" s="5">
        <f>IF(ExtraPayment=0, 0, IF(AND($B1236&lt;&gt;0,ExtraPayment&lt;=$B1236),-ExtraPayment,-($F1236)-$B1236))</f>
        <v>0</v>
      </c>
      <c r="E1236" s="5">
        <f>IF($B1236 &lt;= 0, 0, -ROUND($B1236 * (InterestRate / PaymentsPerYear), 2))</f>
        <v>0</v>
      </c>
      <c r="F1236" s="5">
        <f>ROUND(IFERROR(IF(OR($B1236 &lt;=0, $B1236 = ExtraPayment),0,
MAX(-$B1236, -(-PMT(InterestRate/PaymentsPerYear,LoanTerm*PaymentsPerYear,LoanAmount) + $E1236))), 0), 2)</f>
        <v>0</v>
      </c>
      <c r="G1236" s="5">
        <f t="shared" si="78"/>
        <v>0</v>
      </c>
      <c r="H1236" s="5">
        <f t="shared" si="79"/>
        <v>0</v>
      </c>
    </row>
    <row r="1237" spans="1:8" x14ac:dyDescent="0.2">
      <c r="A1237" s="2">
        <v>1236</v>
      </c>
      <c r="B1237" s="5">
        <f t="shared" si="76"/>
        <v>0</v>
      </c>
      <c r="C1237" s="5">
        <f t="shared" si="77"/>
        <v>0</v>
      </c>
      <c r="D1237" s="5">
        <f>IF(ExtraPayment=0, 0, IF(AND($B1237&lt;&gt;0,ExtraPayment&lt;=$B1237),-ExtraPayment,-($F1237)-$B1237))</f>
        <v>0</v>
      </c>
      <c r="E1237" s="5">
        <f>IF($B1237 &lt;= 0, 0, -ROUND($B1237 * (InterestRate / PaymentsPerYear), 2))</f>
        <v>0</v>
      </c>
      <c r="F1237" s="5">
        <f>ROUND(IFERROR(IF(OR($B1237 &lt;=0, $B1237 = ExtraPayment),0,
MAX(-$B1237, -(-PMT(InterestRate/PaymentsPerYear,LoanTerm*PaymentsPerYear,LoanAmount) + $E1237))), 0), 2)</f>
        <v>0</v>
      </c>
      <c r="G1237" s="5">
        <f t="shared" si="78"/>
        <v>0</v>
      </c>
      <c r="H1237" s="5">
        <f t="shared" si="79"/>
        <v>0</v>
      </c>
    </row>
    <row r="1238" spans="1:8" x14ac:dyDescent="0.2">
      <c r="A1238" s="2">
        <v>1237</v>
      </c>
      <c r="B1238" s="5">
        <f t="shared" si="76"/>
        <v>0</v>
      </c>
      <c r="C1238" s="5">
        <f t="shared" si="77"/>
        <v>0</v>
      </c>
      <c r="D1238" s="5">
        <f>IF(ExtraPayment=0, 0, IF(AND($B1238&lt;&gt;0,ExtraPayment&lt;=$B1238),-ExtraPayment,-($F1238)-$B1238))</f>
        <v>0</v>
      </c>
      <c r="E1238" s="5">
        <f>IF($B1238 &lt;= 0, 0, -ROUND($B1238 * (InterestRate / PaymentsPerYear), 2))</f>
        <v>0</v>
      </c>
      <c r="F1238" s="5">
        <f>ROUND(IFERROR(IF(OR($B1238 &lt;=0, $B1238 = ExtraPayment),0,
MAX(-$B1238, -(-PMT(InterestRate/PaymentsPerYear,LoanTerm*PaymentsPerYear,LoanAmount) + $E1238))), 0), 2)</f>
        <v>0</v>
      </c>
      <c r="G1238" s="5">
        <f t="shared" si="78"/>
        <v>0</v>
      </c>
      <c r="H1238" s="5">
        <f t="shared" si="79"/>
        <v>0</v>
      </c>
    </row>
    <row r="1239" spans="1:8" x14ac:dyDescent="0.2">
      <c r="A1239" s="2">
        <v>1238</v>
      </c>
      <c r="B1239" s="5">
        <f t="shared" si="76"/>
        <v>0</v>
      </c>
      <c r="C1239" s="5">
        <f t="shared" si="77"/>
        <v>0</v>
      </c>
      <c r="D1239" s="5">
        <f>IF(ExtraPayment=0, 0, IF(AND($B1239&lt;&gt;0,ExtraPayment&lt;=$B1239),-ExtraPayment,-($F1239)-$B1239))</f>
        <v>0</v>
      </c>
      <c r="E1239" s="5">
        <f>IF($B1239 &lt;= 0, 0, -ROUND($B1239 * (InterestRate / PaymentsPerYear), 2))</f>
        <v>0</v>
      </c>
      <c r="F1239" s="5">
        <f>ROUND(IFERROR(IF(OR($B1239 &lt;=0, $B1239 = ExtraPayment),0,
MAX(-$B1239, -(-PMT(InterestRate/PaymentsPerYear,LoanTerm*PaymentsPerYear,LoanAmount) + $E1239))), 0), 2)</f>
        <v>0</v>
      </c>
      <c r="G1239" s="5">
        <f t="shared" si="78"/>
        <v>0</v>
      </c>
      <c r="H1239" s="5">
        <f t="shared" si="79"/>
        <v>0</v>
      </c>
    </row>
    <row r="1240" spans="1:8" x14ac:dyDescent="0.2">
      <c r="A1240" s="2">
        <v>1239</v>
      </c>
      <c r="B1240" s="5">
        <f t="shared" si="76"/>
        <v>0</v>
      </c>
      <c r="C1240" s="5">
        <f t="shared" si="77"/>
        <v>0</v>
      </c>
      <c r="D1240" s="5">
        <f>IF(ExtraPayment=0, 0, IF(AND($B1240&lt;&gt;0,ExtraPayment&lt;=$B1240),-ExtraPayment,-($F1240)-$B1240))</f>
        <v>0</v>
      </c>
      <c r="E1240" s="5">
        <f>IF($B1240 &lt;= 0, 0, -ROUND($B1240 * (InterestRate / PaymentsPerYear), 2))</f>
        <v>0</v>
      </c>
      <c r="F1240" s="5">
        <f>ROUND(IFERROR(IF(OR($B1240 &lt;=0, $B1240 = ExtraPayment),0,
MAX(-$B1240, -(-PMT(InterestRate/PaymentsPerYear,LoanTerm*PaymentsPerYear,LoanAmount) + $E1240))), 0), 2)</f>
        <v>0</v>
      </c>
      <c r="G1240" s="5">
        <f t="shared" si="78"/>
        <v>0</v>
      </c>
      <c r="H1240" s="5">
        <f t="shared" si="79"/>
        <v>0</v>
      </c>
    </row>
    <row r="1241" spans="1:8" x14ac:dyDescent="0.2">
      <c r="A1241" s="2">
        <v>1240</v>
      </c>
      <c r="B1241" s="5">
        <f t="shared" si="76"/>
        <v>0</v>
      </c>
      <c r="C1241" s="5">
        <f t="shared" si="77"/>
        <v>0</v>
      </c>
      <c r="D1241" s="5">
        <f>IF(ExtraPayment=0, 0, IF(AND($B1241&lt;&gt;0,ExtraPayment&lt;=$B1241),-ExtraPayment,-($F1241)-$B1241))</f>
        <v>0</v>
      </c>
      <c r="E1241" s="5">
        <f>IF($B1241 &lt;= 0, 0, -ROUND($B1241 * (InterestRate / PaymentsPerYear), 2))</f>
        <v>0</v>
      </c>
      <c r="F1241" s="5">
        <f>ROUND(IFERROR(IF(OR($B1241 &lt;=0, $B1241 = ExtraPayment),0,
MAX(-$B1241, -(-PMT(InterestRate/PaymentsPerYear,LoanTerm*PaymentsPerYear,LoanAmount) + $E1241))), 0), 2)</f>
        <v>0</v>
      </c>
      <c r="G1241" s="5">
        <f t="shared" si="78"/>
        <v>0</v>
      </c>
      <c r="H1241" s="5">
        <f t="shared" si="79"/>
        <v>0</v>
      </c>
    </row>
    <row r="1242" spans="1:8" x14ac:dyDescent="0.2">
      <c r="A1242" s="2">
        <v>1241</v>
      </c>
      <c r="B1242" s="5">
        <f t="shared" si="76"/>
        <v>0</v>
      </c>
      <c r="C1242" s="5">
        <f t="shared" si="77"/>
        <v>0</v>
      </c>
      <c r="D1242" s="5">
        <f>IF(ExtraPayment=0, 0, IF(AND($B1242&lt;&gt;0,ExtraPayment&lt;=$B1242),-ExtraPayment,-($F1242)-$B1242))</f>
        <v>0</v>
      </c>
      <c r="E1242" s="5">
        <f>IF($B1242 &lt;= 0, 0, -ROUND($B1242 * (InterestRate / PaymentsPerYear), 2))</f>
        <v>0</v>
      </c>
      <c r="F1242" s="5">
        <f>ROUND(IFERROR(IF(OR($B1242 &lt;=0, $B1242 = ExtraPayment),0,
MAX(-$B1242, -(-PMT(InterestRate/PaymentsPerYear,LoanTerm*PaymentsPerYear,LoanAmount) + $E1242))), 0), 2)</f>
        <v>0</v>
      </c>
      <c r="G1242" s="5">
        <f t="shared" si="78"/>
        <v>0</v>
      </c>
      <c r="H1242" s="5">
        <f t="shared" si="79"/>
        <v>0</v>
      </c>
    </row>
    <row r="1243" spans="1:8" x14ac:dyDescent="0.2">
      <c r="A1243" s="2">
        <v>1242</v>
      </c>
      <c r="B1243" s="5">
        <f t="shared" si="76"/>
        <v>0</v>
      </c>
      <c r="C1243" s="5">
        <f t="shared" si="77"/>
        <v>0</v>
      </c>
      <c r="D1243" s="5">
        <f>IF(ExtraPayment=0, 0, IF(AND($B1243&lt;&gt;0,ExtraPayment&lt;=$B1243),-ExtraPayment,-($F1243)-$B1243))</f>
        <v>0</v>
      </c>
      <c r="E1243" s="5">
        <f>IF($B1243 &lt;= 0, 0, -ROUND($B1243 * (InterestRate / PaymentsPerYear), 2))</f>
        <v>0</v>
      </c>
      <c r="F1243" s="5">
        <f>ROUND(IFERROR(IF(OR($B1243 &lt;=0, $B1243 = ExtraPayment),0,
MAX(-$B1243, -(-PMT(InterestRate/PaymentsPerYear,LoanTerm*PaymentsPerYear,LoanAmount) + $E1243))), 0), 2)</f>
        <v>0</v>
      </c>
      <c r="G1243" s="5">
        <f t="shared" si="78"/>
        <v>0</v>
      </c>
      <c r="H1243" s="5">
        <f t="shared" si="79"/>
        <v>0</v>
      </c>
    </row>
    <row r="1244" spans="1:8" x14ac:dyDescent="0.2">
      <c r="A1244" s="2">
        <v>1243</v>
      </c>
      <c r="B1244" s="5">
        <f t="shared" si="76"/>
        <v>0</v>
      </c>
      <c r="C1244" s="5">
        <f t="shared" si="77"/>
        <v>0</v>
      </c>
      <c r="D1244" s="5">
        <f>IF(ExtraPayment=0, 0, IF(AND($B1244&lt;&gt;0,ExtraPayment&lt;=$B1244),-ExtraPayment,-($F1244)-$B1244))</f>
        <v>0</v>
      </c>
      <c r="E1244" s="5">
        <f>IF($B1244 &lt;= 0, 0, -ROUND($B1244 * (InterestRate / PaymentsPerYear), 2))</f>
        <v>0</v>
      </c>
      <c r="F1244" s="5">
        <f>ROUND(IFERROR(IF(OR($B1244 &lt;=0, $B1244 = ExtraPayment),0,
MAX(-$B1244, -(-PMT(InterestRate/PaymentsPerYear,LoanTerm*PaymentsPerYear,LoanAmount) + $E1244))), 0), 2)</f>
        <v>0</v>
      </c>
      <c r="G1244" s="5">
        <f t="shared" si="78"/>
        <v>0</v>
      </c>
      <c r="H1244" s="5">
        <f t="shared" si="79"/>
        <v>0</v>
      </c>
    </row>
    <row r="1245" spans="1:8" x14ac:dyDescent="0.2">
      <c r="A1245" s="2">
        <v>1244</v>
      </c>
      <c r="B1245" s="5">
        <f t="shared" si="76"/>
        <v>0</v>
      </c>
      <c r="C1245" s="5">
        <f t="shared" si="77"/>
        <v>0</v>
      </c>
      <c r="D1245" s="5">
        <f>IF(ExtraPayment=0, 0, IF(AND($B1245&lt;&gt;0,ExtraPayment&lt;=$B1245),-ExtraPayment,-($F1245)-$B1245))</f>
        <v>0</v>
      </c>
      <c r="E1245" s="5">
        <f>IF($B1245 &lt;= 0, 0, -ROUND($B1245 * (InterestRate / PaymentsPerYear), 2))</f>
        <v>0</v>
      </c>
      <c r="F1245" s="5">
        <f>ROUND(IFERROR(IF(OR($B1245 &lt;=0, $B1245 = ExtraPayment),0,
MAX(-$B1245, -(-PMT(InterestRate/PaymentsPerYear,LoanTerm*PaymentsPerYear,LoanAmount) + $E1245))), 0), 2)</f>
        <v>0</v>
      </c>
      <c r="G1245" s="5">
        <f t="shared" si="78"/>
        <v>0</v>
      </c>
      <c r="H1245" s="5">
        <f t="shared" si="79"/>
        <v>0</v>
      </c>
    </row>
    <row r="1246" spans="1:8" x14ac:dyDescent="0.2">
      <c r="A1246" s="2">
        <v>1245</v>
      </c>
      <c r="B1246" s="5">
        <f t="shared" si="76"/>
        <v>0</v>
      </c>
      <c r="C1246" s="5">
        <f t="shared" si="77"/>
        <v>0</v>
      </c>
      <c r="D1246" s="5">
        <f>IF(ExtraPayment=0, 0, IF(AND($B1246&lt;&gt;0,ExtraPayment&lt;=$B1246),-ExtraPayment,-($F1246)-$B1246))</f>
        <v>0</v>
      </c>
      <c r="E1246" s="5">
        <f>IF($B1246 &lt;= 0, 0, -ROUND($B1246 * (InterestRate / PaymentsPerYear), 2))</f>
        <v>0</v>
      </c>
      <c r="F1246" s="5">
        <f>ROUND(IFERROR(IF(OR($B1246 &lt;=0, $B1246 = ExtraPayment),0,
MAX(-$B1246, -(-PMT(InterestRate/PaymentsPerYear,LoanTerm*PaymentsPerYear,LoanAmount) + $E1246))), 0), 2)</f>
        <v>0</v>
      </c>
      <c r="G1246" s="5">
        <f t="shared" si="78"/>
        <v>0</v>
      </c>
      <c r="H1246" s="5">
        <f t="shared" si="79"/>
        <v>0</v>
      </c>
    </row>
    <row r="1247" spans="1:8" x14ac:dyDescent="0.2">
      <c r="A1247" s="2">
        <v>1246</v>
      </c>
      <c r="B1247" s="5">
        <f t="shared" si="76"/>
        <v>0</v>
      </c>
      <c r="C1247" s="5">
        <f t="shared" si="77"/>
        <v>0</v>
      </c>
      <c r="D1247" s="5">
        <f>IF(ExtraPayment=0, 0, IF(AND($B1247&lt;&gt;0,ExtraPayment&lt;=$B1247),-ExtraPayment,-($F1247)-$B1247))</f>
        <v>0</v>
      </c>
      <c r="E1247" s="5">
        <f>IF($B1247 &lt;= 0, 0, -ROUND($B1247 * (InterestRate / PaymentsPerYear), 2))</f>
        <v>0</v>
      </c>
      <c r="F1247" s="5">
        <f>ROUND(IFERROR(IF(OR($B1247 &lt;=0, $B1247 = ExtraPayment),0,
MAX(-$B1247, -(-PMT(InterestRate/PaymentsPerYear,LoanTerm*PaymentsPerYear,LoanAmount) + $E1247))), 0), 2)</f>
        <v>0</v>
      </c>
      <c r="G1247" s="5">
        <f t="shared" si="78"/>
        <v>0</v>
      </c>
      <c r="H1247" s="5">
        <f t="shared" si="79"/>
        <v>0</v>
      </c>
    </row>
    <row r="1248" spans="1:8" x14ac:dyDescent="0.2">
      <c r="A1248" s="2">
        <v>1247</v>
      </c>
      <c r="B1248" s="5">
        <f t="shared" si="76"/>
        <v>0</v>
      </c>
      <c r="C1248" s="5">
        <f t="shared" si="77"/>
        <v>0</v>
      </c>
      <c r="D1248" s="5">
        <f>IF(ExtraPayment=0, 0, IF(AND($B1248&lt;&gt;0,ExtraPayment&lt;=$B1248),-ExtraPayment,-($F1248)-$B1248))</f>
        <v>0</v>
      </c>
      <c r="E1248" s="5">
        <f>IF($B1248 &lt;= 0, 0, -ROUND($B1248 * (InterestRate / PaymentsPerYear), 2))</f>
        <v>0</v>
      </c>
      <c r="F1248" s="5">
        <f>ROUND(IFERROR(IF(OR($B1248 &lt;=0, $B1248 = ExtraPayment),0,
MAX(-$B1248, -(-PMT(InterestRate/PaymentsPerYear,LoanTerm*PaymentsPerYear,LoanAmount) + $E1248))), 0), 2)</f>
        <v>0</v>
      </c>
      <c r="G1248" s="5">
        <f t="shared" si="78"/>
        <v>0</v>
      </c>
      <c r="H1248" s="5">
        <f t="shared" si="79"/>
        <v>0</v>
      </c>
    </row>
    <row r="1249" spans="1:8" x14ac:dyDescent="0.2">
      <c r="A1249" s="2">
        <v>1248</v>
      </c>
      <c r="B1249" s="5">
        <f t="shared" si="76"/>
        <v>0</v>
      </c>
      <c r="C1249" s="5">
        <f t="shared" si="77"/>
        <v>0</v>
      </c>
      <c r="D1249" s="5">
        <f>IF(ExtraPayment=0, 0, IF(AND($B1249&lt;&gt;0,ExtraPayment&lt;=$B1249),-ExtraPayment,-($F1249)-$B1249))</f>
        <v>0</v>
      </c>
      <c r="E1249" s="5">
        <f>IF($B1249 &lt;= 0, 0, -ROUND($B1249 * (InterestRate / PaymentsPerYear), 2))</f>
        <v>0</v>
      </c>
      <c r="F1249" s="5">
        <f>ROUND(IFERROR(IF(OR($B1249 &lt;=0, $B1249 = ExtraPayment),0,
MAX(-$B1249, -(-PMT(InterestRate/PaymentsPerYear,LoanTerm*PaymentsPerYear,LoanAmount) + $E1249))), 0), 2)</f>
        <v>0</v>
      </c>
      <c r="G1249" s="5">
        <f t="shared" si="78"/>
        <v>0</v>
      </c>
      <c r="H1249" s="5">
        <f t="shared" si="79"/>
        <v>0</v>
      </c>
    </row>
    <row r="1250" spans="1:8" x14ac:dyDescent="0.2">
      <c r="A1250" s="2">
        <v>1249</v>
      </c>
      <c r="B1250" s="5">
        <f t="shared" si="76"/>
        <v>0</v>
      </c>
      <c r="C1250" s="5">
        <f t="shared" si="77"/>
        <v>0</v>
      </c>
      <c r="D1250" s="5">
        <f>IF(ExtraPayment=0, 0, IF(AND($B1250&lt;&gt;0,ExtraPayment&lt;=$B1250),-ExtraPayment,-($F1250)-$B1250))</f>
        <v>0</v>
      </c>
      <c r="E1250" s="5">
        <f>IF($B1250 &lt;= 0, 0, -ROUND($B1250 * (InterestRate / PaymentsPerYear), 2))</f>
        <v>0</v>
      </c>
      <c r="F1250" s="5">
        <f>ROUND(IFERROR(IF(OR($B1250 &lt;=0, $B1250 = ExtraPayment),0,
MAX(-$B1250, -(-PMT(InterestRate/PaymentsPerYear,LoanTerm*PaymentsPerYear,LoanAmount) + $E1250))), 0), 2)</f>
        <v>0</v>
      </c>
      <c r="G1250" s="5">
        <f t="shared" si="78"/>
        <v>0</v>
      </c>
      <c r="H1250" s="5">
        <f t="shared" si="79"/>
        <v>0</v>
      </c>
    </row>
    <row r="1251" spans="1:8" x14ac:dyDescent="0.2">
      <c r="A1251" s="2">
        <v>1250</v>
      </c>
      <c r="B1251" s="5">
        <f t="shared" si="76"/>
        <v>0</v>
      </c>
      <c r="C1251" s="5">
        <f t="shared" si="77"/>
        <v>0</v>
      </c>
      <c r="D1251" s="5">
        <f>IF(ExtraPayment=0, 0, IF(AND($B1251&lt;&gt;0,ExtraPayment&lt;=$B1251),-ExtraPayment,-($F1251)-$B1251))</f>
        <v>0</v>
      </c>
      <c r="E1251" s="5">
        <f>IF($B1251 &lt;= 0, 0, -ROUND($B1251 * (InterestRate / PaymentsPerYear), 2))</f>
        <v>0</v>
      </c>
      <c r="F1251" s="5">
        <f>ROUND(IFERROR(IF(OR($B1251 &lt;=0, $B1251 = ExtraPayment),0,
MAX(-$B1251, -(-PMT(InterestRate/PaymentsPerYear,LoanTerm*PaymentsPerYear,LoanAmount) + $E1251))), 0), 2)</f>
        <v>0</v>
      </c>
      <c r="G1251" s="5">
        <f t="shared" si="78"/>
        <v>0</v>
      </c>
      <c r="H1251" s="5">
        <f t="shared" si="79"/>
        <v>0</v>
      </c>
    </row>
    <row r="1252" spans="1:8" x14ac:dyDescent="0.2">
      <c r="A1252" s="2">
        <v>1251</v>
      </c>
      <c r="B1252" s="5">
        <f t="shared" si="76"/>
        <v>0</v>
      </c>
      <c r="C1252" s="5">
        <f t="shared" si="77"/>
        <v>0</v>
      </c>
      <c r="D1252" s="5">
        <f>IF(ExtraPayment=0, 0, IF(AND($B1252&lt;&gt;0,ExtraPayment&lt;=$B1252),-ExtraPayment,-($F1252)-$B1252))</f>
        <v>0</v>
      </c>
      <c r="E1252" s="5">
        <f>IF($B1252 &lt;= 0, 0, -ROUND($B1252 * (InterestRate / PaymentsPerYear), 2))</f>
        <v>0</v>
      </c>
      <c r="F1252" s="5">
        <f>ROUND(IFERROR(IF(OR($B1252 &lt;=0, $B1252 = ExtraPayment),0,
MAX(-$B1252, -(-PMT(InterestRate/PaymentsPerYear,LoanTerm*PaymentsPerYear,LoanAmount) + $E1252))), 0), 2)</f>
        <v>0</v>
      </c>
      <c r="G1252" s="5">
        <f t="shared" si="78"/>
        <v>0</v>
      </c>
      <c r="H1252" s="5">
        <f t="shared" si="79"/>
        <v>0</v>
      </c>
    </row>
    <row r="1253" spans="1:8" x14ac:dyDescent="0.2">
      <c r="A1253" s="2">
        <v>1252</v>
      </c>
      <c r="B1253" s="5">
        <f t="shared" si="76"/>
        <v>0</v>
      </c>
      <c r="C1253" s="5">
        <f t="shared" si="77"/>
        <v>0</v>
      </c>
      <c r="D1253" s="5">
        <f>IF(ExtraPayment=0, 0, IF(AND($B1253&lt;&gt;0,ExtraPayment&lt;=$B1253),-ExtraPayment,-($F1253)-$B1253))</f>
        <v>0</v>
      </c>
      <c r="E1253" s="5">
        <f>IF($B1253 &lt;= 0, 0, -ROUND($B1253 * (InterestRate / PaymentsPerYear), 2))</f>
        <v>0</v>
      </c>
      <c r="F1253" s="5">
        <f>ROUND(IFERROR(IF(OR($B1253 &lt;=0, $B1253 = ExtraPayment),0,
MAX(-$B1253, -(-PMT(InterestRate/PaymentsPerYear,LoanTerm*PaymentsPerYear,LoanAmount) + $E1253))), 0), 2)</f>
        <v>0</v>
      </c>
      <c r="G1253" s="5">
        <f t="shared" si="78"/>
        <v>0</v>
      </c>
      <c r="H1253" s="5">
        <f t="shared" si="79"/>
        <v>0</v>
      </c>
    </row>
    <row r="1254" spans="1:8" x14ac:dyDescent="0.2">
      <c r="A1254" s="2">
        <v>1253</v>
      </c>
      <c r="B1254" s="5">
        <f t="shared" si="76"/>
        <v>0</v>
      </c>
      <c r="C1254" s="5">
        <f t="shared" si="77"/>
        <v>0</v>
      </c>
      <c r="D1254" s="5">
        <f>IF(ExtraPayment=0, 0, IF(AND($B1254&lt;&gt;0,ExtraPayment&lt;=$B1254),-ExtraPayment,-($F1254)-$B1254))</f>
        <v>0</v>
      </c>
      <c r="E1254" s="5">
        <f>IF($B1254 &lt;= 0, 0, -ROUND($B1254 * (InterestRate / PaymentsPerYear), 2))</f>
        <v>0</v>
      </c>
      <c r="F1254" s="5">
        <f>ROUND(IFERROR(IF(OR($B1254 &lt;=0, $B1254 = ExtraPayment),0,
MAX(-$B1254, -(-PMT(InterestRate/PaymentsPerYear,LoanTerm*PaymentsPerYear,LoanAmount) + $E1254))), 0), 2)</f>
        <v>0</v>
      </c>
      <c r="G1254" s="5">
        <f t="shared" si="78"/>
        <v>0</v>
      </c>
      <c r="H1254" s="5">
        <f t="shared" si="79"/>
        <v>0</v>
      </c>
    </row>
    <row r="1255" spans="1:8" x14ac:dyDescent="0.2">
      <c r="A1255" s="2">
        <v>1254</v>
      </c>
      <c r="B1255" s="5">
        <f t="shared" si="76"/>
        <v>0</v>
      </c>
      <c r="C1255" s="5">
        <f t="shared" si="77"/>
        <v>0</v>
      </c>
      <c r="D1255" s="5">
        <f>IF(ExtraPayment=0, 0, IF(AND($B1255&lt;&gt;0,ExtraPayment&lt;=$B1255),-ExtraPayment,-($F1255)-$B1255))</f>
        <v>0</v>
      </c>
      <c r="E1255" s="5">
        <f>IF($B1255 &lt;= 0, 0, -ROUND($B1255 * (InterestRate / PaymentsPerYear), 2))</f>
        <v>0</v>
      </c>
      <c r="F1255" s="5">
        <f>ROUND(IFERROR(IF(OR($B1255 &lt;=0, $B1255 = ExtraPayment),0,
MAX(-$B1255, -(-PMT(InterestRate/PaymentsPerYear,LoanTerm*PaymentsPerYear,LoanAmount) + $E1255))), 0), 2)</f>
        <v>0</v>
      </c>
      <c r="G1255" s="5">
        <f t="shared" si="78"/>
        <v>0</v>
      </c>
      <c r="H1255" s="5">
        <f t="shared" si="79"/>
        <v>0</v>
      </c>
    </row>
    <row r="1256" spans="1:8" x14ac:dyDescent="0.2">
      <c r="A1256" s="2">
        <v>1255</v>
      </c>
      <c r="B1256" s="5">
        <f t="shared" si="76"/>
        <v>0</v>
      </c>
      <c r="C1256" s="5">
        <f t="shared" si="77"/>
        <v>0</v>
      </c>
      <c r="D1256" s="5">
        <f>IF(ExtraPayment=0, 0, IF(AND($B1256&lt;&gt;0,ExtraPayment&lt;=$B1256),-ExtraPayment,-($F1256)-$B1256))</f>
        <v>0</v>
      </c>
      <c r="E1256" s="5">
        <f>IF($B1256 &lt;= 0, 0, -ROUND($B1256 * (InterestRate / PaymentsPerYear), 2))</f>
        <v>0</v>
      </c>
      <c r="F1256" s="5">
        <f>ROUND(IFERROR(IF(OR($B1256 &lt;=0, $B1256 = ExtraPayment),0,
MAX(-$B1256, -(-PMT(InterestRate/PaymentsPerYear,LoanTerm*PaymentsPerYear,LoanAmount) + $E1256))), 0), 2)</f>
        <v>0</v>
      </c>
      <c r="G1256" s="5">
        <f t="shared" si="78"/>
        <v>0</v>
      </c>
      <c r="H1256" s="5">
        <f t="shared" si="79"/>
        <v>0</v>
      </c>
    </row>
    <row r="1257" spans="1:8" x14ac:dyDescent="0.2">
      <c r="A1257" s="2">
        <v>1256</v>
      </c>
      <c r="B1257" s="5">
        <f t="shared" si="76"/>
        <v>0</v>
      </c>
      <c r="C1257" s="5">
        <f t="shared" si="77"/>
        <v>0</v>
      </c>
      <c r="D1257" s="5">
        <f>IF(ExtraPayment=0, 0, IF(AND($B1257&lt;&gt;0,ExtraPayment&lt;=$B1257),-ExtraPayment,-($F1257)-$B1257))</f>
        <v>0</v>
      </c>
      <c r="E1257" s="5">
        <f>IF($B1257 &lt;= 0, 0, -ROUND($B1257 * (InterestRate / PaymentsPerYear), 2))</f>
        <v>0</v>
      </c>
      <c r="F1257" s="5">
        <f>ROUND(IFERROR(IF(OR($B1257 &lt;=0, $B1257 = ExtraPayment),0,
MAX(-$B1257, -(-PMT(InterestRate/PaymentsPerYear,LoanTerm*PaymentsPerYear,LoanAmount) + $E1257))), 0), 2)</f>
        <v>0</v>
      </c>
      <c r="G1257" s="5">
        <f t="shared" si="78"/>
        <v>0</v>
      </c>
      <c r="H1257" s="5">
        <f t="shared" si="79"/>
        <v>0</v>
      </c>
    </row>
    <row r="1258" spans="1:8" x14ac:dyDescent="0.2">
      <c r="A1258" s="2">
        <v>1257</v>
      </c>
      <c r="B1258" s="5">
        <f t="shared" si="76"/>
        <v>0</v>
      </c>
      <c r="C1258" s="5">
        <f t="shared" si="77"/>
        <v>0</v>
      </c>
      <c r="D1258" s="5">
        <f>IF(ExtraPayment=0, 0, IF(AND($B1258&lt;&gt;0,ExtraPayment&lt;=$B1258),-ExtraPayment,-($F1258)-$B1258))</f>
        <v>0</v>
      </c>
      <c r="E1258" s="5">
        <f>IF($B1258 &lt;= 0, 0, -ROUND($B1258 * (InterestRate / PaymentsPerYear), 2))</f>
        <v>0</v>
      </c>
      <c r="F1258" s="5">
        <f>ROUND(IFERROR(IF(OR($B1258 &lt;=0, $B1258 = ExtraPayment),0,
MAX(-$B1258, -(-PMT(InterestRate/PaymentsPerYear,LoanTerm*PaymentsPerYear,LoanAmount) + $E1258))), 0), 2)</f>
        <v>0</v>
      </c>
      <c r="G1258" s="5">
        <f t="shared" si="78"/>
        <v>0</v>
      </c>
      <c r="H1258" s="5">
        <f t="shared" si="79"/>
        <v>0</v>
      </c>
    </row>
    <row r="1259" spans="1:8" x14ac:dyDescent="0.2">
      <c r="A1259" s="2">
        <v>1258</v>
      </c>
      <c r="B1259" s="5">
        <f t="shared" si="76"/>
        <v>0</v>
      </c>
      <c r="C1259" s="5">
        <f t="shared" si="77"/>
        <v>0</v>
      </c>
      <c r="D1259" s="5">
        <f>IF(ExtraPayment=0, 0, IF(AND($B1259&lt;&gt;0,ExtraPayment&lt;=$B1259),-ExtraPayment,-($F1259)-$B1259))</f>
        <v>0</v>
      </c>
      <c r="E1259" s="5">
        <f>IF($B1259 &lt;= 0, 0, -ROUND($B1259 * (InterestRate / PaymentsPerYear), 2))</f>
        <v>0</v>
      </c>
      <c r="F1259" s="5">
        <f>ROUND(IFERROR(IF(OR($B1259 &lt;=0, $B1259 = ExtraPayment),0,
MAX(-$B1259, -(-PMT(InterestRate/PaymentsPerYear,LoanTerm*PaymentsPerYear,LoanAmount) + $E1259))), 0), 2)</f>
        <v>0</v>
      </c>
      <c r="G1259" s="5">
        <f t="shared" si="78"/>
        <v>0</v>
      </c>
      <c r="H1259" s="5">
        <f t="shared" si="79"/>
        <v>0</v>
      </c>
    </row>
    <row r="1260" spans="1:8" x14ac:dyDescent="0.2">
      <c r="A1260" s="2">
        <v>1259</v>
      </c>
      <c r="B1260" s="5">
        <f t="shared" si="76"/>
        <v>0</v>
      </c>
      <c r="C1260" s="5">
        <f t="shared" si="77"/>
        <v>0</v>
      </c>
      <c r="D1260" s="5">
        <f>IF(ExtraPayment=0, 0, IF(AND($B1260&lt;&gt;0,ExtraPayment&lt;=$B1260),-ExtraPayment,-($F1260)-$B1260))</f>
        <v>0</v>
      </c>
      <c r="E1260" s="5">
        <f>IF($B1260 &lt;= 0, 0, -ROUND($B1260 * (InterestRate / PaymentsPerYear), 2))</f>
        <v>0</v>
      </c>
      <c r="F1260" s="5">
        <f>ROUND(IFERROR(IF(OR($B1260 &lt;=0, $B1260 = ExtraPayment),0,
MAX(-$B1260, -(-PMT(InterestRate/PaymentsPerYear,LoanTerm*PaymentsPerYear,LoanAmount) + $E1260))), 0), 2)</f>
        <v>0</v>
      </c>
      <c r="G1260" s="5">
        <f t="shared" si="78"/>
        <v>0</v>
      </c>
      <c r="H1260" s="5">
        <f t="shared" si="79"/>
        <v>0</v>
      </c>
    </row>
    <row r="1261" spans="1:8" x14ac:dyDescent="0.2">
      <c r="A1261" s="2">
        <v>1260</v>
      </c>
      <c r="B1261" s="5">
        <f t="shared" si="76"/>
        <v>0</v>
      </c>
      <c r="C1261" s="5">
        <f t="shared" si="77"/>
        <v>0</v>
      </c>
      <c r="D1261" s="5">
        <f>IF(ExtraPayment=0, 0, IF(AND($B1261&lt;&gt;0,ExtraPayment&lt;=$B1261),-ExtraPayment,-($F1261)-$B1261))</f>
        <v>0</v>
      </c>
      <c r="E1261" s="5">
        <f>IF($B1261 &lt;= 0, 0, -ROUND($B1261 * (InterestRate / PaymentsPerYear), 2))</f>
        <v>0</v>
      </c>
      <c r="F1261" s="5">
        <f>ROUND(IFERROR(IF(OR($B1261 &lt;=0, $B1261 = ExtraPayment),0,
MAX(-$B1261, -(-PMT(InterestRate/PaymentsPerYear,LoanTerm*PaymentsPerYear,LoanAmount) + $E1261))), 0), 2)</f>
        <v>0</v>
      </c>
      <c r="G1261" s="5">
        <f t="shared" si="78"/>
        <v>0</v>
      </c>
      <c r="H1261" s="5">
        <f t="shared" si="79"/>
        <v>0</v>
      </c>
    </row>
    <row r="1262" spans="1:8" x14ac:dyDescent="0.2">
      <c r="A1262" s="2">
        <v>1261</v>
      </c>
      <c r="B1262" s="5">
        <f t="shared" si="76"/>
        <v>0</v>
      </c>
      <c r="C1262" s="5">
        <f t="shared" si="77"/>
        <v>0</v>
      </c>
      <c r="D1262" s="5">
        <f>IF(ExtraPayment=0, 0, IF(AND($B1262&lt;&gt;0,ExtraPayment&lt;=$B1262),-ExtraPayment,-($F1262)-$B1262))</f>
        <v>0</v>
      </c>
      <c r="E1262" s="5">
        <f>IF($B1262 &lt;= 0, 0, -ROUND($B1262 * (InterestRate / PaymentsPerYear), 2))</f>
        <v>0</v>
      </c>
      <c r="F1262" s="5">
        <f>ROUND(IFERROR(IF(OR($B1262 &lt;=0, $B1262 = ExtraPayment),0,
MAX(-$B1262, -(-PMT(InterestRate/PaymentsPerYear,LoanTerm*PaymentsPerYear,LoanAmount) + $E1262))), 0), 2)</f>
        <v>0</v>
      </c>
      <c r="G1262" s="5">
        <f t="shared" si="78"/>
        <v>0</v>
      </c>
      <c r="H1262" s="5">
        <f t="shared" si="79"/>
        <v>0</v>
      </c>
    </row>
    <row r="1263" spans="1:8" x14ac:dyDescent="0.2">
      <c r="A1263" s="2">
        <v>1262</v>
      </c>
      <c r="B1263" s="5">
        <f t="shared" si="76"/>
        <v>0</v>
      </c>
      <c r="C1263" s="5">
        <f t="shared" si="77"/>
        <v>0</v>
      </c>
      <c r="D1263" s="5">
        <f>IF(ExtraPayment=0, 0, IF(AND($B1263&lt;&gt;0,ExtraPayment&lt;=$B1263),-ExtraPayment,-($F1263)-$B1263))</f>
        <v>0</v>
      </c>
      <c r="E1263" s="5">
        <f>IF($B1263 &lt;= 0, 0, -ROUND($B1263 * (InterestRate / PaymentsPerYear), 2))</f>
        <v>0</v>
      </c>
      <c r="F1263" s="5">
        <f>ROUND(IFERROR(IF(OR($B1263 &lt;=0, $B1263 = ExtraPayment),0,
MAX(-$B1263, -(-PMT(InterestRate/PaymentsPerYear,LoanTerm*PaymentsPerYear,LoanAmount) + $E1263))), 0), 2)</f>
        <v>0</v>
      </c>
      <c r="G1263" s="5">
        <f t="shared" si="78"/>
        <v>0</v>
      </c>
      <c r="H1263" s="5">
        <f t="shared" si="79"/>
        <v>0</v>
      </c>
    </row>
    <row r="1264" spans="1:8" x14ac:dyDescent="0.2">
      <c r="A1264" s="2">
        <v>1263</v>
      </c>
      <c r="B1264" s="5">
        <f t="shared" si="76"/>
        <v>0</v>
      </c>
      <c r="C1264" s="5">
        <f t="shared" si="77"/>
        <v>0</v>
      </c>
      <c r="D1264" s="5">
        <f>IF(ExtraPayment=0, 0, IF(AND($B1264&lt;&gt;0,ExtraPayment&lt;=$B1264),-ExtraPayment,-($F1264)-$B1264))</f>
        <v>0</v>
      </c>
      <c r="E1264" s="5">
        <f>IF($B1264 &lt;= 0, 0, -ROUND($B1264 * (InterestRate / PaymentsPerYear), 2))</f>
        <v>0</v>
      </c>
      <c r="F1264" s="5">
        <f>ROUND(IFERROR(IF(OR($B1264 &lt;=0, $B1264 = ExtraPayment),0,
MAX(-$B1264, -(-PMT(InterestRate/PaymentsPerYear,LoanTerm*PaymentsPerYear,LoanAmount) + $E1264))), 0), 2)</f>
        <v>0</v>
      </c>
      <c r="G1264" s="5">
        <f t="shared" si="78"/>
        <v>0</v>
      </c>
      <c r="H1264" s="5">
        <f t="shared" si="79"/>
        <v>0</v>
      </c>
    </row>
    <row r="1265" spans="1:8" x14ac:dyDescent="0.2">
      <c r="A1265" s="2">
        <v>1264</v>
      </c>
      <c r="B1265" s="5">
        <f t="shared" si="76"/>
        <v>0</v>
      </c>
      <c r="C1265" s="5">
        <f t="shared" si="77"/>
        <v>0</v>
      </c>
      <c r="D1265" s="5">
        <f>IF(ExtraPayment=0, 0, IF(AND($B1265&lt;&gt;0,ExtraPayment&lt;=$B1265),-ExtraPayment,-($F1265)-$B1265))</f>
        <v>0</v>
      </c>
      <c r="E1265" s="5">
        <f>IF($B1265 &lt;= 0, 0, -ROUND($B1265 * (InterestRate / PaymentsPerYear), 2))</f>
        <v>0</v>
      </c>
      <c r="F1265" s="5">
        <f>ROUND(IFERROR(IF(OR($B1265 &lt;=0, $B1265 = ExtraPayment),0,
MAX(-$B1265, -(-PMT(InterestRate/PaymentsPerYear,LoanTerm*PaymentsPerYear,LoanAmount) + $E1265))), 0), 2)</f>
        <v>0</v>
      </c>
      <c r="G1265" s="5">
        <f t="shared" si="78"/>
        <v>0</v>
      </c>
      <c r="H1265" s="5">
        <f t="shared" si="79"/>
        <v>0</v>
      </c>
    </row>
    <row r="1266" spans="1:8" x14ac:dyDescent="0.2">
      <c r="A1266" s="2">
        <v>1265</v>
      </c>
      <c r="B1266" s="5">
        <f t="shared" si="76"/>
        <v>0</v>
      </c>
      <c r="C1266" s="5">
        <f t="shared" si="77"/>
        <v>0</v>
      </c>
      <c r="D1266" s="5">
        <f>IF(ExtraPayment=0, 0, IF(AND($B1266&lt;&gt;0,ExtraPayment&lt;=$B1266),-ExtraPayment,-($F1266)-$B1266))</f>
        <v>0</v>
      </c>
      <c r="E1266" s="5">
        <f>IF($B1266 &lt;= 0, 0, -ROUND($B1266 * (InterestRate / PaymentsPerYear), 2))</f>
        <v>0</v>
      </c>
      <c r="F1266" s="5">
        <f>ROUND(IFERROR(IF(OR($B1266 &lt;=0, $B1266 = ExtraPayment),0,
MAX(-$B1266, -(-PMT(InterestRate/PaymentsPerYear,LoanTerm*PaymentsPerYear,LoanAmount) + $E1266))), 0), 2)</f>
        <v>0</v>
      </c>
      <c r="G1266" s="5">
        <f t="shared" si="78"/>
        <v>0</v>
      </c>
      <c r="H1266" s="5">
        <f t="shared" si="79"/>
        <v>0</v>
      </c>
    </row>
    <row r="1267" spans="1:8" x14ac:dyDescent="0.2">
      <c r="A1267" s="2">
        <v>1266</v>
      </c>
      <c r="B1267" s="5">
        <f t="shared" si="76"/>
        <v>0</v>
      </c>
      <c r="C1267" s="5">
        <f t="shared" si="77"/>
        <v>0</v>
      </c>
      <c r="D1267" s="5">
        <f>IF(ExtraPayment=0, 0, IF(AND($B1267&lt;&gt;0,ExtraPayment&lt;=$B1267),-ExtraPayment,-($F1267)-$B1267))</f>
        <v>0</v>
      </c>
      <c r="E1267" s="5">
        <f>IF($B1267 &lt;= 0, 0, -ROUND($B1267 * (InterestRate / PaymentsPerYear), 2))</f>
        <v>0</v>
      </c>
      <c r="F1267" s="5">
        <f>ROUND(IFERROR(IF(OR($B1267 &lt;=0, $B1267 = ExtraPayment),0,
MAX(-$B1267, -(-PMT(InterestRate/PaymentsPerYear,LoanTerm*PaymentsPerYear,LoanAmount) + $E1267))), 0), 2)</f>
        <v>0</v>
      </c>
      <c r="G1267" s="5">
        <f t="shared" si="78"/>
        <v>0</v>
      </c>
      <c r="H1267" s="5">
        <f t="shared" si="79"/>
        <v>0</v>
      </c>
    </row>
    <row r="1268" spans="1:8" x14ac:dyDescent="0.2">
      <c r="A1268" s="2">
        <v>1267</v>
      </c>
      <c r="B1268" s="5">
        <f t="shared" si="76"/>
        <v>0</v>
      </c>
      <c r="C1268" s="5">
        <f t="shared" si="77"/>
        <v>0</v>
      </c>
      <c r="D1268" s="5">
        <f>IF(ExtraPayment=0, 0, IF(AND($B1268&lt;&gt;0,ExtraPayment&lt;=$B1268),-ExtraPayment,-($F1268)-$B1268))</f>
        <v>0</v>
      </c>
      <c r="E1268" s="5">
        <f>IF($B1268 &lt;= 0, 0, -ROUND($B1268 * (InterestRate / PaymentsPerYear), 2))</f>
        <v>0</v>
      </c>
      <c r="F1268" s="5">
        <f>ROUND(IFERROR(IF(OR($B1268 &lt;=0, $B1268 = ExtraPayment),0,
MAX(-$B1268, -(-PMT(InterestRate/PaymentsPerYear,LoanTerm*PaymentsPerYear,LoanAmount) + $E1268))), 0), 2)</f>
        <v>0</v>
      </c>
      <c r="G1268" s="5">
        <f t="shared" si="78"/>
        <v>0</v>
      </c>
      <c r="H1268" s="5">
        <f t="shared" si="79"/>
        <v>0</v>
      </c>
    </row>
    <row r="1269" spans="1:8" x14ac:dyDescent="0.2">
      <c r="A1269" s="2">
        <v>1268</v>
      </c>
      <c r="B1269" s="5">
        <f t="shared" si="76"/>
        <v>0</v>
      </c>
      <c r="C1269" s="5">
        <f t="shared" si="77"/>
        <v>0</v>
      </c>
      <c r="D1269" s="5">
        <f>IF(ExtraPayment=0, 0, IF(AND($B1269&lt;&gt;0,ExtraPayment&lt;=$B1269),-ExtraPayment,-($F1269)-$B1269))</f>
        <v>0</v>
      </c>
      <c r="E1269" s="5">
        <f>IF($B1269 &lt;= 0, 0, -ROUND($B1269 * (InterestRate / PaymentsPerYear), 2))</f>
        <v>0</v>
      </c>
      <c r="F1269" s="5">
        <f>ROUND(IFERROR(IF(OR($B1269 &lt;=0, $B1269 = ExtraPayment),0,
MAX(-$B1269, -(-PMT(InterestRate/PaymentsPerYear,LoanTerm*PaymentsPerYear,LoanAmount) + $E1269))), 0), 2)</f>
        <v>0</v>
      </c>
      <c r="G1269" s="5">
        <f t="shared" si="78"/>
        <v>0</v>
      </c>
      <c r="H1269" s="5">
        <f t="shared" si="79"/>
        <v>0</v>
      </c>
    </row>
    <row r="1270" spans="1:8" x14ac:dyDescent="0.2">
      <c r="A1270" s="2">
        <v>1269</v>
      </c>
      <c r="B1270" s="5">
        <f t="shared" si="76"/>
        <v>0</v>
      </c>
      <c r="C1270" s="5">
        <f t="shared" si="77"/>
        <v>0</v>
      </c>
      <c r="D1270" s="5">
        <f>IF(ExtraPayment=0, 0, IF(AND($B1270&lt;&gt;0,ExtraPayment&lt;=$B1270),-ExtraPayment,-($F1270)-$B1270))</f>
        <v>0</v>
      </c>
      <c r="E1270" s="5">
        <f>IF($B1270 &lt;= 0, 0, -ROUND($B1270 * (InterestRate / PaymentsPerYear), 2))</f>
        <v>0</v>
      </c>
      <c r="F1270" s="5">
        <f>ROUND(IFERROR(IF(OR($B1270 &lt;=0, $B1270 = ExtraPayment),0,
MAX(-$B1270, -(-PMT(InterestRate/PaymentsPerYear,LoanTerm*PaymentsPerYear,LoanAmount) + $E1270))), 0), 2)</f>
        <v>0</v>
      </c>
      <c r="G1270" s="5">
        <f t="shared" si="78"/>
        <v>0</v>
      </c>
      <c r="H1270" s="5">
        <f t="shared" si="79"/>
        <v>0</v>
      </c>
    </row>
    <row r="1271" spans="1:8" x14ac:dyDescent="0.2">
      <c r="A1271" s="2">
        <v>1270</v>
      </c>
      <c r="B1271" s="5">
        <f t="shared" si="76"/>
        <v>0</v>
      </c>
      <c r="C1271" s="5">
        <f t="shared" si="77"/>
        <v>0</v>
      </c>
      <c r="D1271" s="5">
        <f>IF(ExtraPayment=0, 0, IF(AND($B1271&lt;&gt;0,ExtraPayment&lt;=$B1271),-ExtraPayment,-($F1271)-$B1271))</f>
        <v>0</v>
      </c>
      <c r="E1271" s="5">
        <f>IF($B1271 &lt;= 0, 0, -ROUND($B1271 * (InterestRate / PaymentsPerYear), 2))</f>
        <v>0</v>
      </c>
      <c r="F1271" s="5">
        <f>ROUND(IFERROR(IF(OR($B1271 &lt;=0, $B1271 = ExtraPayment),0,
MAX(-$B1271, -(-PMT(InterestRate/PaymentsPerYear,LoanTerm*PaymentsPerYear,LoanAmount) + $E1271))), 0), 2)</f>
        <v>0</v>
      </c>
      <c r="G1271" s="5">
        <f t="shared" si="78"/>
        <v>0</v>
      </c>
      <c r="H1271" s="5">
        <f t="shared" si="79"/>
        <v>0</v>
      </c>
    </row>
    <row r="1272" spans="1:8" x14ac:dyDescent="0.2">
      <c r="A1272" s="2">
        <v>1271</v>
      </c>
      <c r="B1272" s="5">
        <f t="shared" si="76"/>
        <v>0</v>
      </c>
      <c r="C1272" s="5">
        <f t="shared" si="77"/>
        <v>0</v>
      </c>
      <c r="D1272" s="5">
        <f>IF(ExtraPayment=0, 0, IF(AND($B1272&lt;&gt;0,ExtraPayment&lt;=$B1272),-ExtraPayment,-($F1272)-$B1272))</f>
        <v>0</v>
      </c>
      <c r="E1272" s="5">
        <f>IF($B1272 &lt;= 0, 0, -ROUND($B1272 * (InterestRate / PaymentsPerYear), 2))</f>
        <v>0</v>
      </c>
      <c r="F1272" s="5">
        <f>ROUND(IFERROR(IF(OR($B1272 &lt;=0, $B1272 = ExtraPayment),0,
MAX(-$B1272, -(-PMT(InterestRate/PaymentsPerYear,LoanTerm*PaymentsPerYear,LoanAmount) + $E1272))), 0), 2)</f>
        <v>0</v>
      </c>
      <c r="G1272" s="5">
        <f t="shared" si="78"/>
        <v>0</v>
      </c>
      <c r="H1272" s="5">
        <f t="shared" si="79"/>
        <v>0</v>
      </c>
    </row>
    <row r="1273" spans="1:8" x14ac:dyDescent="0.2">
      <c r="A1273" s="2">
        <v>1272</v>
      </c>
      <c r="B1273" s="5">
        <f t="shared" si="76"/>
        <v>0</v>
      </c>
      <c r="C1273" s="5">
        <f t="shared" si="77"/>
        <v>0</v>
      </c>
      <c r="D1273" s="5">
        <f>IF(ExtraPayment=0, 0, IF(AND($B1273&lt;&gt;0,ExtraPayment&lt;=$B1273),-ExtraPayment,-($F1273)-$B1273))</f>
        <v>0</v>
      </c>
      <c r="E1273" s="5">
        <f>IF($B1273 &lt;= 0, 0, -ROUND($B1273 * (InterestRate / PaymentsPerYear), 2))</f>
        <v>0</v>
      </c>
      <c r="F1273" s="5">
        <f>ROUND(IFERROR(IF(OR($B1273 &lt;=0, $B1273 = ExtraPayment),0,
MAX(-$B1273, -(-PMT(InterestRate/PaymentsPerYear,LoanTerm*PaymentsPerYear,LoanAmount) + $E1273))), 0), 2)</f>
        <v>0</v>
      </c>
      <c r="G1273" s="5">
        <f t="shared" si="78"/>
        <v>0</v>
      </c>
      <c r="H1273" s="5">
        <f t="shared" si="79"/>
        <v>0</v>
      </c>
    </row>
    <row r="1274" spans="1:8" x14ac:dyDescent="0.2">
      <c r="A1274" s="2">
        <v>1273</v>
      </c>
      <c r="B1274" s="5">
        <f t="shared" si="76"/>
        <v>0</v>
      </c>
      <c r="C1274" s="5">
        <f t="shared" si="77"/>
        <v>0</v>
      </c>
      <c r="D1274" s="5">
        <f>IF(ExtraPayment=0, 0, IF(AND($B1274&lt;&gt;0,ExtraPayment&lt;=$B1274),-ExtraPayment,-($F1274)-$B1274))</f>
        <v>0</v>
      </c>
      <c r="E1274" s="5">
        <f>IF($B1274 &lt;= 0, 0, -ROUND($B1274 * (InterestRate / PaymentsPerYear), 2))</f>
        <v>0</v>
      </c>
      <c r="F1274" s="5">
        <f>ROUND(IFERROR(IF(OR($B1274 &lt;=0, $B1274 = ExtraPayment),0,
MAX(-$B1274, -(-PMT(InterestRate/PaymentsPerYear,LoanTerm*PaymentsPerYear,LoanAmount) + $E1274))), 0), 2)</f>
        <v>0</v>
      </c>
      <c r="G1274" s="5">
        <f t="shared" si="78"/>
        <v>0</v>
      </c>
      <c r="H1274" s="5">
        <f t="shared" si="79"/>
        <v>0</v>
      </c>
    </row>
    <row r="1275" spans="1:8" x14ac:dyDescent="0.2">
      <c r="A1275" s="2">
        <v>1274</v>
      </c>
      <c r="B1275" s="5">
        <f t="shared" si="76"/>
        <v>0</v>
      </c>
      <c r="C1275" s="5">
        <f t="shared" si="77"/>
        <v>0</v>
      </c>
      <c r="D1275" s="5">
        <f>IF(ExtraPayment=0, 0, IF(AND($B1275&lt;&gt;0,ExtraPayment&lt;=$B1275),-ExtraPayment,-($F1275)-$B1275))</f>
        <v>0</v>
      </c>
      <c r="E1275" s="5">
        <f>IF($B1275 &lt;= 0, 0, -ROUND($B1275 * (InterestRate / PaymentsPerYear), 2))</f>
        <v>0</v>
      </c>
      <c r="F1275" s="5">
        <f>ROUND(IFERROR(IF(OR($B1275 &lt;=0, $B1275 = ExtraPayment),0,
MAX(-$B1275, -(-PMT(InterestRate/PaymentsPerYear,LoanTerm*PaymentsPerYear,LoanAmount) + $E1275))), 0), 2)</f>
        <v>0</v>
      </c>
      <c r="G1275" s="5">
        <f t="shared" si="78"/>
        <v>0</v>
      </c>
      <c r="H1275" s="5">
        <f t="shared" si="79"/>
        <v>0</v>
      </c>
    </row>
    <row r="1276" spans="1:8" x14ac:dyDescent="0.2">
      <c r="A1276" s="2">
        <v>1275</v>
      </c>
      <c r="B1276" s="5">
        <f t="shared" si="76"/>
        <v>0</v>
      </c>
      <c r="C1276" s="5">
        <f t="shared" si="77"/>
        <v>0</v>
      </c>
      <c r="D1276" s="5">
        <f>IF(ExtraPayment=0, 0, IF(AND($B1276&lt;&gt;0,ExtraPayment&lt;=$B1276),-ExtraPayment,-($F1276)-$B1276))</f>
        <v>0</v>
      </c>
      <c r="E1276" s="5">
        <f>IF($B1276 &lt;= 0, 0, -ROUND($B1276 * (InterestRate / PaymentsPerYear), 2))</f>
        <v>0</v>
      </c>
      <c r="F1276" s="5">
        <f>ROUND(IFERROR(IF(OR($B1276 &lt;=0, $B1276 = ExtraPayment),0,
MAX(-$B1276, -(-PMT(InterestRate/PaymentsPerYear,LoanTerm*PaymentsPerYear,LoanAmount) + $E1276))), 0), 2)</f>
        <v>0</v>
      </c>
      <c r="G1276" s="5">
        <f t="shared" si="78"/>
        <v>0</v>
      </c>
      <c r="H1276" s="5">
        <f t="shared" si="79"/>
        <v>0</v>
      </c>
    </row>
    <row r="1277" spans="1:8" x14ac:dyDescent="0.2">
      <c r="A1277" s="2">
        <v>1276</v>
      </c>
      <c r="B1277" s="5">
        <f t="shared" si="76"/>
        <v>0</v>
      </c>
      <c r="C1277" s="5">
        <f t="shared" si="77"/>
        <v>0</v>
      </c>
      <c r="D1277" s="5">
        <f>IF(ExtraPayment=0, 0, IF(AND($B1277&lt;&gt;0,ExtraPayment&lt;=$B1277),-ExtraPayment,-($F1277)-$B1277))</f>
        <v>0</v>
      </c>
      <c r="E1277" s="5">
        <f>IF($B1277 &lt;= 0, 0, -ROUND($B1277 * (InterestRate / PaymentsPerYear), 2))</f>
        <v>0</v>
      </c>
      <c r="F1277" s="5">
        <f>ROUND(IFERROR(IF(OR($B1277 &lt;=0, $B1277 = ExtraPayment),0,
MAX(-$B1277, -(-PMT(InterestRate/PaymentsPerYear,LoanTerm*PaymentsPerYear,LoanAmount) + $E1277))), 0), 2)</f>
        <v>0</v>
      </c>
      <c r="G1277" s="5">
        <f t="shared" si="78"/>
        <v>0</v>
      </c>
      <c r="H1277" s="5">
        <f t="shared" si="79"/>
        <v>0</v>
      </c>
    </row>
    <row r="1278" spans="1:8" x14ac:dyDescent="0.2">
      <c r="A1278" s="2">
        <v>1277</v>
      </c>
      <c r="B1278" s="5">
        <f t="shared" si="76"/>
        <v>0</v>
      </c>
      <c r="C1278" s="5">
        <f t="shared" si="77"/>
        <v>0</v>
      </c>
      <c r="D1278" s="5">
        <f>IF(ExtraPayment=0, 0, IF(AND($B1278&lt;&gt;0,ExtraPayment&lt;=$B1278),-ExtraPayment,-($F1278)-$B1278))</f>
        <v>0</v>
      </c>
      <c r="E1278" s="5">
        <f>IF($B1278 &lt;= 0, 0, -ROUND($B1278 * (InterestRate / PaymentsPerYear), 2))</f>
        <v>0</v>
      </c>
      <c r="F1278" s="5">
        <f>ROUND(IFERROR(IF(OR($B1278 &lt;=0, $B1278 = ExtraPayment),0,
MAX(-$B1278, -(-PMT(InterestRate/PaymentsPerYear,LoanTerm*PaymentsPerYear,LoanAmount) + $E1278))), 0), 2)</f>
        <v>0</v>
      </c>
      <c r="G1278" s="5">
        <f t="shared" si="78"/>
        <v>0</v>
      </c>
      <c r="H1278" s="5">
        <f t="shared" si="79"/>
        <v>0</v>
      </c>
    </row>
    <row r="1279" spans="1:8" x14ac:dyDescent="0.2">
      <c r="A1279" s="2">
        <v>1278</v>
      </c>
      <c r="B1279" s="5">
        <f t="shared" si="76"/>
        <v>0</v>
      </c>
      <c r="C1279" s="5">
        <f t="shared" si="77"/>
        <v>0</v>
      </c>
      <c r="D1279" s="5">
        <f>IF(ExtraPayment=0, 0, IF(AND($B1279&lt;&gt;0,ExtraPayment&lt;=$B1279),-ExtraPayment,-($F1279)-$B1279))</f>
        <v>0</v>
      </c>
      <c r="E1279" s="5">
        <f>IF($B1279 &lt;= 0, 0, -ROUND($B1279 * (InterestRate / PaymentsPerYear), 2))</f>
        <v>0</v>
      </c>
      <c r="F1279" s="5">
        <f>ROUND(IFERROR(IF(OR($B1279 &lt;=0, $B1279 = ExtraPayment),0,
MAX(-$B1279, -(-PMT(InterestRate/PaymentsPerYear,LoanTerm*PaymentsPerYear,LoanAmount) + $E1279))), 0), 2)</f>
        <v>0</v>
      </c>
      <c r="G1279" s="5">
        <f t="shared" si="78"/>
        <v>0</v>
      </c>
      <c r="H1279" s="5">
        <f t="shared" si="79"/>
        <v>0</v>
      </c>
    </row>
    <row r="1280" spans="1:8" x14ac:dyDescent="0.2">
      <c r="A1280" s="2">
        <v>1279</v>
      </c>
      <c r="B1280" s="5">
        <f t="shared" si="76"/>
        <v>0</v>
      </c>
      <c r="C1280" s="5">
        <f t="shared" si="77"/>
        <v>0</v>
      </c>
      <c r="D1280" s="5">
        <f>IF(ExtraPayment=0, 0, IF(AND($B1280&lt;&gt;0,ExtraPayment&lt;=$B1280),-ExtraPayment,-($F1280)-$B1280))</f>
        <v>0</v>
      </c>
      <c r="E1280" s="5">
        <f>IF($B1280 &lt;= 0, 0, -ROUND($B1280 * (InterestRate / PaymentsPerYear), 2))</f>
        <v>0</v>
      </c>
      <c r="F1280" s="5">
        <f>ROUND(IFERROR(IF(OR($B1280 &lt;=0, $B1280 = ExtraPayment),0,
MAX(-$B1280, -(-PMT(InterestRate/PaymentsPerYear,LoanTerm*PaymentsPerYear,LoanAmount) + $E1280))), 0), 2)</f>
        <v>0</v>
      </c>
      <c r="G1280" s="5">
        <f t="shared" si="78"/>
        <v>0</v>
      </c>
      <c r="H1280" s="5">
        <f t="shared" si="79"/>
        <v>0</v>
      </c>
    </row>
    <row r="1281" spans="1:8" x14ac:dyDescent="0.2">
      <c r="A1281" s="2">
        <v>1280</v>
      </c>
      <c r="B1281" s="5">
        <f t="shared" si="76"/>
        <v>0</v>
      </c>
      <c r="C1281" s="5">
        <f t="shared" si="77"/>
        <v>0</v>
      </c>
      <c r="D1281" s="5">
        <f>IF(ExtraPayment=0, 0, IF(AND($B1281&lt;&gt;0,ExtraPayment&lt;=$B1281),-ExtraPayment,-($F1281)-$B1281))</f>
        <v>0</v>
      </c>
      <c r="E1281" s="5">
        <f>IF($B1281 &lt;= 0, 0, -ROUND($B1281 * (InterestRate / PaymentsPerYear), 2))</f>
        <v>0</v>
      </c>
      <c r="F1281" s="5">
        <f>ROUND(IFERROR(IF(OR($B1281 &lt;=0, $B1281 = ExtraPayment),0,
MAX(-$B1281, -(-PMT(InterestRate/PaymentsPerYear,LoanTerm*PaymentsPerYear,LoanAmount) + $E1281))), 0), 2)</f>
        <v>0</v>
      </c>
      <c r="G1281" s="5">
        <f t="shared" si="78"/>
        <v>0</v>
      </c>
      <c r="H1281" s="5">
        <f t="shared" si="79"/>
        <v>0</v>
      </c>
    </row>
    <row r="1282" spans="1:8" x14ac:dyDescent="0.2">
      <c r="A1282" s="2">
        <v>1281</v>
      </c>
      <c r="B1282" s="5">
        <f t="shared" si="76"/>
        <v>0</v>
      </c>
      <c r="C1282" s="5">
        <f t="shared" si="77"/>
        <v>0</v>
      </c>
      <c r="D1282" s="5">
        <f>IF(ExtraPayment=0, 0, IF(AND($B1282&lt;&gt;0,ExtraPayment&lt;=$B1282),-ExtraPayment,-($F1282)-$B1282))</f>
        <v>0</v>
      </c>
      <c r="E1282" s="5">
        <f>IF($B1282 &lt;= 0, 0, -ROUND($B1282 * (InterestRate / PaymentsPerYear), 2))</f>
        <v>0</v>
      </c>
      <c r="F1282" s="5">
        <f>ROUND(IFERROR(IF(OR($B1282 &lt;=0, $B1282 = ExtraPayment),0,
MAX(-$B1282, -(-PMT(InterestRate/PaymentsPerYear,LoanTerm*PaymentsPerYear,LoanAmount) + $E1282))), 0), 2)</f>
        <v>0</v>
      </c>
      <c r="G1282" s="5">
        <f t="shared" si="78"/>
        <v>0</v>
      </c>
      <c r="H1282" s="5">
        <f t="shared" si="79"/>
        <v>0</v>
      </c>
    </row>
    <row r="1283" spans="1:8" x14ac:dyDescent="0.2">
      <c r="A1283" s="2">
        <v>1282</v>
      </c>
      <c r="B1283" s="5">
        <f t="shared" si="76"/>
        <v>0</v>
      </c>
      <c r="C1283" s="5">
        <f t="shared" si="77"/>
        <v>0</v>
      </c>
      <c r="D1283" s="5">
        <f>IF(ExtraPayment=0, 0, IF(AND($B1283&lt;&gt;0,ExtraPayment&lt;=$B1283),-ExtraPayment,-($F1283)-$B1283))</f>
        <v>0</v>
      </c>
      <c r="E1283" s="5">
        <f>IF($B1283 &lt;= 0, 0, -ROUND($B1283 * (InterestRate / PaymentsPerYear), 2))</f>
        <v>0</v>
      </c>
      <c r="F1283" s="5">
        <f>ROUND(IFERROR(IF(OR($B1283 &lt;=0, $B1283 = ExtraPayment),0,
MAX(-$B1283, -(-PMT(InterestRate/PaymentsPerYear,LoanTerm*PaymentsPerYear,LoanAmount) + $E1283))), 0), 2)</f>
        <v>0</v>
      </c>
      <c r="G1283" s="5">
        <f t="shared" si="78"/>
        <v>0</v>
      </c>
      <c r="H1283" s="5">
        <f t="shared" si="79"/>
        <v>0</v>
      </c>
    </row>
    <row r="1284" spans="1:8" x14ac:dyDescent="0.2">
      <c r="A1284" s="2">
        <v>1283</v>
      </c>
      <c r="B1284" s="5">
        <f t="shared" ref="B1284:B1347" si="80">ROUND(IF($H1283 &gt;= 0, MAX($H1283, $F1283), 0), 2)</f>
        <v>0</v>
      </c>
      <c r="C1284" s="5">
        <f t="shared" ref="C1284:C1347" si="81">IF($B1284 &lt;= 0, 0, $D1284+$E1284+$F1284)</f>
        <v>0</v>
      </c>
      <c r="D1284" s="5">
        <f>IF(ExtraPayment=0, 0, IF(AND($B1284&lt;&gt;0,ExtraPayment&lt;=$B1284),-ExtraPayment,-($F1284)-$B1284))</f>
        <v>0</v>
      </c>
      <c r="E1284" s="5">
        <f>IF($B1284 &lt;= 0, 0, -ROUND($B1284 * (InterestRate / PaymentsPerYear), 2))</f>
        <v>0</v>
      </c>
      <c r="F1284" s="5">
        <f>ROUND(IFERROR(IF(OR($B1284 &lt;=0, $B1284 = ExtraPayment),0,
MAX(-$B1284, -(-PMT(InterestRate/PaymentsPerYear,LoanTerm*PaymentsPerYear,LoanAmount) + $E1284))), 0), 2)</f>
        <v>0</v>
      </c>
      <c r="G1284" s="5">
        <f t="shared" ref="G1284:G1347" si="82">$D1284+$F1284</f>
        <v>0</v>
      </c>
      <c r="H1284" s="5">
        <f t="shared" ref="H1284:H1347" si="83">ROUND(IF($B1284 &lt;= 0, 0,MAX(0, $B1284 + $G1284)), 2)</f>
        <v>0</v>
      </c>
    </row>
    <row r="1285" spans="1:8" x14ac:dyDescent="0.2">
      <c r="A1285" s="2">
        <v>1284</v>
      </c>
      <c r="B1285" s="5">
        <f t="shared" si="80"/>
        <v>0</v>
      </c>
      <c r="C1285" s="5">
        <f t="shared" si="81"/>
        <v>0</v>
      </c>
      <c r="D1285" s="5">
        <f>IF(ExtraPayment=0, 0, IF(AND($B1285&lt;&gt;0,ExtraPayment&lt;=$B1285),-ExtraPayment,-($F1285)-$B1285))</f>
        <v>0</v>
      </c>
      <c r="E1285" s="5">
        <f>IF($B1285 &lt;= 0, 0, -ROUND($B1285 * (InterestRate / PaymentsPerYear), 2))</f>
        <v>0</v>
      </c>
      <c r="F1285" s="5">
        <f>ROUND(IFERROR(IF(OR($B1285 &lt;=0, $B1285 = ExtraPayment),0,
MAX(-$B1285, -(-PMT(InterestRate/PaymentsPerYear,LoanTerm*PaymentsPerYear,LoanAmount) + $E1285))), 0), 2)</f>
        <v>0</v>
      </c>
      <c r="G1285" s="5">
        <f t="shared" si="82"/>
        <v>0</v>
      </c>
      <c r="H1285" s="5">
        <f t="shared" si="83"/>
        <v>0</v>
      </c>
    </row>
    <row r="1286" spans="1:8" x14ac:dyDescent="0.2">
      <c r="A1286" s="2">
        <v>1285</v>
      </c>
      <c r="B1286" s="5">
        <f t="shared" si="80"/>
        <v>0</v>
      </c>
      <c r="C1286" s="5">
        <f t="shared" si="81"/>
        <v>0</v>
      </c>
      <c r="D1286" s="5">
        <f>IF(ExtraPayment=0, 0, IF(AND($B1286&lt;&gt;0,ExtraPayment&lt;=$B1286),-ExtraPayment,-($F1286)-$B1286))</f>
        <v>0</v>
      </c>
      <c r="E1286" s="5">
        <f>IF($B1286 &lt;= 0, 0, -ROUND($B1286 * (InterestRate / PaymentsPerYear), 2))</f>
        <v>0</v>
      </c>
      <c r="F1286" s="5">
        <f>ROUND(IFERROR(IF(OR($B1286 &lt;=0, $B1286 = ExtraPayment),0,
MAX(-$B1286, -(-PMT(InterestRate/PaymentsPerYear,LoanTerm*PaymentsPerYear,LoanAmount) + $E1286))), 0), 2)</f>
        <v>0</v>
      </c>
      <c r="G1286" s="5">
        <f t="shared" si="82"/>
        <v>0</v>
      </c>
      <c r="H1286" s="5">
        <f t="shared" si="83"/>
        <v>0</v>
      </c>
    </row>
    <row r="1287" spans="1:8" x14ac:dyDescent="0.2">
      <c r="A1287" s="2">
        <v>1286</v>
      </c>
      <c r="B1287" s="5">
        <f t="shared" si="80"/>
        <v>0</v>
      </c>
      <c r="C1287" s="5">
        <f t="shared" si="81"/>
        <v>0</v>
      </c>
      <c r="D1287" s="5">
        <f>IF(ExtraPayment=0, 0, IF(AND($B1287&lt;&gt;0,ExtraPayment&lt;=$B1287),-ExtraPayment,-($F1287)-$B1287))</f>
        <v>0</v>
      </c>
      <c r="E1287" s="5">
        <f>IF($B1287 &lt;= 0, 0, -ROUND($B1287 * (InterestRate / PaymentsPerYear), 2))</f>
        <v>0</v>
      </c>
      <c r="F1287" s="5">
        <f>ROUND(IFERROR(IF(OR($B1287 &lt;=0, $B1287 = ExtraPayment),0,
MAX(-$B1287, -(-PMT(InterestRate/PaymentsPerYear,LoanTerm*PaymentsPerYear,LoanAmount) + $E1287))), 0), 2)</f>
        <v>0</v>
      </c>
      <c r="G1287" s="5">
        <f t="shared" si="82"/>
        <v>0</v>
      </c>
      <c r="H1287" s="5">
        <f t="shared" si="83"/>
        <v>0</v>
      </c>
    </row>
    <row r="1288" spans="1:8" x14ac:dyDescent="0.2">
      <c r="A1288" s="2">
        <v>1287</v>
      </c>
      <c r="B1288" s="5">
        <f t="shared" si="80"/>
        <v>0</v>
      </c>
      <c r="C1288" s="5">
        <f t="shared" si="81"/>
        <v>0</v>
      </c>
      <c r="D1288" s="5">
        <f>IF(ExtraPayment=0, 0, IF(AND($B1288&lt;&gt;0,ExtraPayment&lt;=$B1288),-ExtraPayment,-($F1288)-$B1288))</f>
        <v>0</v>
      </c>
      <c r="E1288" s="5">
        <f>IF($B1288 &lt;= 0, 0, -ROUND($B1288 * (InterestRate / PaymentsPerYear), 2))</f>
        <v>0</v>
      </c>
      <c r="F1288" s="5">
        <f>ROUND(IFERROR(IF(OR($B1288 &lt;=0, $B1288 = ExtraPayment),0,
MAX(-$B1288, -(-PMT(InterestRate/PaymentsPerYear,LoanTerm*PaymentsPerYear,LoanAmount) + $E1288))), 0), 2)</f>
        <v>0</v>
      </c>
      <c r="G1288" s="5">
        <f t="shared" si="82"/>
        <v>0</v>
      </c>
      <c r="H1288" s="5">
        <f t="shared" si="83"/>
        <v>0</v>
      </c>
    </row>
    <row r="1289" spans="1:8" x14ac:dyDescent="0.2">
      <c r="A1289" s="2">
        <v>1288</v>
      </c>
      <c r="B1289" s="5">
        <f t="shared" si="80"/>
        <v>0</v>
      </c>
      <c r="C1289" s="5">
        <f t="shared" si="81"/>
        <v>0</v>
      </c>
      <c r="D1289" s="5">
        <f>IF(ExtraPayment=0, 0, IF(AND($B1289&lt;&gt;0,ExtraPayment&lt;=$B1289),-ExtraPayment,-($F1289)-$B1289))</f>
        <v>0</v>
      </c>
      <c r="E1289" s="5">
        <f>IF($B1289 &lt;= 0, 0, -ROUND($B1289 * (InterestRate / PaymentsPerYear), 2))</f>
        <v>0</v>
      </c>
      <c r="F1289" s="5">
        <f>ROUND(IFERROR(IF(OR($B1289 &lt;=0, $B1289 = ExtraPayment),0,
MAX(-$B1289, -(-PMT(InterestRate/PaymentsPerYear,LoanTerm*PaymentsPerYear,LoanAmount) + $E1289))), 0), 2)</f>
        <v>0</v>
      </c>
      <c r="G1289" s="5">
        <f t="shared" si="82"/>
        <v>0</v>
      </c>
      <c r="H1289" s="5">
        <f t="shared" si="83"/>
        <v>0</v>
      </c>
    </row>
    <row r="1290" spans="1:8" x14ac:dyDescent="0.2">
      <c r="A1290" s="2">
        <v>1289</v>
      </c>
      <c r="B1290" s="5">
        <f t="shared" si="80"/>
        <v>0</v>
      </c>
      <c r="C1290" s="5">
        <f t="shared" si="81"/>
        <v>0</v>
      </c>
      <c r="D1290" s="5">
        <f>IF(ExtraPayment=0, 0, IF(AND($B1290&lt;&gt;0,ExtraPayment&lt;=$B1290),-ExtraPayment,-($F1290)-$B1290))</f>
        <v>0</v>
      </c>
      <c r="E1290" s="5">
        <f>IF($B1290 &lt;= 0, 0, -ROUND($B1290 * (InterestRate / PaymentsPerYear), 2))</f>
        <v>0</v>
      </c>
      <c r="F1290" s="5">
        <f>ROUND(IFERROR(IF(OR($B1290 &lt;=0, $B1290 = ExtraPayment),0,
MAX(-$B1290, -(-PMT(InterestRate/PaymentsPerYear,LoanTerm*PaymentsPerYear,LoanAmount) + $E1290))), 0), 2)</f>
        <v>0</v>
      </c>
      <c r="G1290" s="5">
        <f t="shared" si="82"/>
        <v>0</v>
      </c>
      <c r="H1290" s="5">
        <f t="shared" si="83"/>
        <v>0</v>
      </c>
    </row>
    <row r="1291" spans="1:8" x14ac:dyDescent="0.2">
      <c r="A1291" s="2">
        <v>1290</v>
      </c>
      <c r="B1291" s="5">
        <f t="shared" si="80"/>
        <v>0</v>
      </c>
      <c r="C1291" s="5">
        <f t="shared" si="81"/>
        <v>0</v>
      </c>
      <c r="D1291" s="5">
        <f>IF(ExtraPayment=0, 0, IF(AND($B1291&lt;&gt;0,ExtraPayment&lt;=$B1291),-ExtraPayment,-($F1291)-$B1291))</f>
        <v>0</v>
      </c>
      <c r="E1291" s="5">
        <f>IF($B1291 &lt;= 0, 0, -ROUND($B1291 * (InterestRate / PaymentsPerYear), 2))</f>
        <v>0</v>
      </c>
      <c r="F1291" s="5">
        <f>ROUND(IFERROR(IF(OR($B1291 &lt;=0, $B1291 = ExtraPayment),0,
MAX(-$B1291, -(-PMT(InterestRate/PaymentsPerYear,LoanTerm*PaymentsPerYear,LoanAmount) + $E1291))), 0), 2)</f>
        <v>0</v>
      </c>
      <c r="G1291" s="5">
        <f t="shared" si="82"/>
        <v>0</v>
      </c>
      <c r="H1291" s="5">
        <f t="shared" si="83"/>
        <v>0</v>
      </c>
    </row>
    <row r="1292" spans="1:8" x14ac:dyDescent="0.2">
      <c r="A1292" s="2">
        <v>1291</v>
      </c>
      <c r="B1292" s="5">
        <f t="shared" si="80"/>
        <v>0</v>
      </c>
      <c r="C1292" s="5">
        <f t="shared" si="81"/>
        <v>0</v>
      </c>
      <c r="D1292" s="5">
        <f>IF(ExtraPayment=0, 0, IF(AND($B1292&lt;&gt;0,ExtraPayment&lt;=$B1292),-ExtraPayment,-($F1292)-$B1292))</f>
        <v>0</v>
      </c>
      <c r="E1292" s="5">
        <f>IF($B1292 &lt;= 0, 0, -ROUND($B1292 * (InterestRate / PaymentsPerYear), 2))</f>
        <v>0</v>
      </c>
      <c r="F1292" s="5">
        <f>ROUND(IFERROR(IF(OR($B1292 &lt;=0, $B1292 = ExtraPayment),0,
MAX(-$B1292, -(-PMT(InterestRate/PaymentsPerYear,LoanTerm*PaymentsPerYear,LoanAmount) + $E1292))), 0), 2)</f>
        <v>0</v>
      </c>
      <c r="G1292" s="5">
        <f t="shared" si="82"/>
        <v>0</v>
      </c>
      <c r="H1292" s="5">
        <f t="shared" si="83"/>
        <v>0</v>
      </c>
    </row>
    <row r="1293" spans="1:8" x14ac:dyDescent="0.2">
      <c r="A1293" s="2">
        <v>1292</v>
      </c>
      <c r="B1293" s="5">
        <f t="shared" si="80"/>
        <v>0</v>
      </c>
      <c r="C1293" s="5">
        <f t="shared" si="81"/>
        <v>0</v>
      </c>
      <c r="D1293" s="5">
        <f>IF(ExtraPayment=0, 0, IF(AND($B1293&lt;&gt;0,ExtraPayment&lt;=$B1293),-ExtraPayment,-($F1293)-$B1293))</f>
        <v>0</v>
      </c>
      <c r="E1293" s="5">
        <f>IF($B1293 &lt;= 0, 0, -ROUND($B1293 * (InterestRate / PaymentsPerYear), 2))</f>
        <v>0</v>
      </c>
      <c r="F1293" s="5">
        <f>ROUND(IFERROR(IF(OR($B1293 &lt;=0, $B1293 = ExtraPayment),0,
MAX(-$B1293, -(-PMT(InterestRate/PaymentsPerYear,LoanTerm*PaymentsPerYear,LoanAmount) + $E1293))), 0), 2)</f>
        <v>0</v>
      </c>
      <c r="G1293" s="5">
        <f t="shared" si="82"/>
        <v>0</v>
      </c>
      <c r="H1293" s="5">
        <f t="shared" si="83"/>
        <v>0</v>
      </c>
    </row>
    <row r="1294" spans="1:8" x14ac:dyDescent="0.2">
      <c r="A1294" s="2">
        <v>1293</v>
      </c>
      <c r="B1294" s="5">
        <f t="shared" si="80"/>
        <v>0</v>
      </c>
      <c r="C1294" s="5">
        <f t="shared" si="81"/>
        <v>0</v>
      </c>
      <c r="D1294" s="5">
        <f>IF(ExtraPayment=0, 0, IF(AND($B1294&lt;&gt;0,ExtraPayment&lt;=$B1294),-ExtraPayment,-($F1294)-$B1294))</f>
        <v>0</v>
      </c>
      <c r="E1294" s="5">
        <f>IF($B1294 &lt;= 0, 0, -ROUND($B1294 * (InterestRate / PaymentsPerYear), 2))</f>
        <v>0</v>
      </c>
      <c r="F1294" s="5">
        <f>ROUND(IFERROR(IF(OR($B1294 &lt;=0, $B1294 = ExtraPayment),0,
MAX(-$B1294, -(-PMT(InterestRate/PaymentsPerYear,LoanTerm*PaymentsPerYear,LoanAmount) + $E1294))), 0), 2)</f>
        <v>0</v>
      </c>
      <c r="G1294" s="5">
        <f t="shared" si="82"/>
        <v>0</v>
      </c>
      <c r="H1294" s="5">
        <f t="shared" si="83"/>
        <v>0</v>
      </c>
    </row>
    <row r="1295" spans="1:8" x14ac:dyDescent="0.2">
      <c r="A1295" s="2">
        <v>1294</v>
      </c>
      <c r="B1295" s="5">
        <f t="shared" si="80"/>
        <v>0</v>
      </c>
      <c r="C1295" s="5">
        <f t="shared" si="81"/>
        <v>0</v>
      </c>
      <c r="D1295" s="5">
        <f>IF(ExtraPayment=0, 0, IF(AND($B1295&lt;&gt;0,ExtraPayment&lt;=$B1295),-ExtraPayment,-($F1295)-$B1295))</f>
        <v>0</v>
      </c>
      <c r="E1295" s="5">
        <f>IF($B1295 &lt;= 0, 0, -ROUND($B1295 * (InterestRate / PaymentsPerYear), 2))</f>
        <v>0</v>
      </c>
      <c r="F1295" s="5">
        <f>ROUND(IFERROR(IF(OR($B1295 &lt;=0, $B1295 = ExtraPayment),0,
MAX(-$B1295, -(-PMT(InterestRate/PaymentsPerYear,LoanTerm*PaymentsPerYear,LoanAmount) + $E1295))), 0), 2)</f>
        <v>0</v>
      </c>
      <c r="G1295" s="5">
        <f t="shared" si="82"/>
        <v>0</v>
      </c>
      <c r="H1295" s="5">
        <f t="shared" si="83"/>
        <v>0</v>
      </c>
    </row>
    <row r="1296" spans="1:8" x14ac:dyDescent="0.2">
      <c r="A1296" s="2">
        <v>1295</v>
      </c>
      <c r="B1296" s="5">
        <f t="shared" si="80"/>
        <v>0</v>
      </c>
      <c r="C1296" s="5">
        <f t="shared" si="81"/>
        <v>0</v>
      </c>
      <c r="D1296" s="5">
        <f>IF(ExtraPayment=0, 0, IF(AND($B1296&lt;&gt;0,ExtraPayment&lt;=$B1296),-ExtraPayment,-($F1296)-$B1296))</f>
        <v>0</v>
      </c>
      <c r="E1296" s="5">
        <f>IF($B1296 &lt;= 0, 0, -ROUND($B1296 * (InterestRate / PaymentsPerYear), 2))</f>
        <v>0</v>
      </c>
      <c r="F1296" s="5">
        <f>ROUND(IFERROR(IF(OR($B1296 &lt;=0, $B1296 = ExtraPayment),0,
MAX(-$B1296, -(-PMT(InterestRate/PaymentsPerYear,LoanTerm*PaymentsPerYear,LoanAmount) + $E1296))), 0), 2)</f>
        <v>0</v>
      </c>
      <c r="G1296" s="5">
        <f t="shared" si="82"/>
        <v>0</v>
      </c>
      <c r="H1296" s="5">
        <f t="shared" si="83"/>
        <v>0</v>
      </c>
    </row>
    <row r="1297" spans="1:8" x14ac:dyDescent="0.2">
      <c r="A1297" s="2">
        <v>1296</v>
      </c>
      <c r="B1297" s="5">
        <f t="shared" si="80"/>
        <v>0</v>
      </c>
      <c r="C1297" s="5">
        <f t="shared" si="81"/>
        <v>0</v>
      </c>
      <c r="D1297" s="5">
        <f>IF(ExtraPayment=0, 0, IF(AND($B1297&lt;&gt;0,ExtraPayment&lt;=$B1297),-ExtraPayment,-($F1297)-$B1297))</f>
        <v>0</v>
      </c>
      <c r="E1297" s="5">
        <f>IF($B1297 &lt;= 0, 0, -ROUND($B1297 * (InterestRate / PaymentsPerYear), 2))</f>
        <v>0</v>
      </c>
      <c r="F1297" s="5">
        <f>ROUND(IFERROR(IF(OR($B1297 &lt;=0, $B1297 = ExtraPayment),0,
MAX(-$B1297, -(-PMT(InterestRate/PaymentsPerYear,LoanTerm*PaymentsPerYear,LoanAmount) + $E1297))), 0), 2)</f>
        <v>0</v>
      </c>
      <c r="G1297" s="5">
        <f t="shared" si="82"/>
        <v>0</v>
      </c>
      <c r="H1297" s="5">
        <f t="shared" si="83"/>
        <v>0</v>
      </c>
    </row>
    <row r="1298" spans="1:8" x14ac:dyDescent="0.2">
      <c r="A1298" s="2">
        <v>1297</v>
      </c>
      <c r="B1298" s="5">
        <f t="shared" si="80"/>
        <v>0</v>
      </c>
      <c r="C1298" s="5">
        <f t="shared" si="81"/>
        <v>0</v>
      </c>
      <c r="D1298" s="5">
        <f>IF(ExtraPayment=0, 0, IF(AND($B1298&lt;&gt;0,ExtraPayment&lt;=$B1298),-ExtraPayment,-($F1298)-$B1298))</f>
        <v>0</v>
      </c>
      <c r="E1298" s="5">
        <f>IF($B1298 &lt;= 0, 0, -ROUND($B1298 * (InterestRate / PaymentsPerYear), 2))</f>
        <v>0</v>
      </c>
      <c r="F1298" s="5">
        <f>ROUND(IFERROR(IF(OR($B1298 &lt;=0, $B1298 = ExtraPayment),0,
MAX(-$B1298, -(-PMT(InterestRate/PaymentsPerYear,LoanTerm*PaymentsPerYear,LoanAmount) + $E1298))), 0), 2)</f>
        <v>0</v>
      </c>
      <c r="G1298" s="5">
        <f t="shared" si="82"/>
        <v>0</v>
      </c>
      <c r="H1298" s="5">
        <f t="shared" si="83"/>
        <v>0</v>
      </c>
    </row>
    <row r="1299" spans="1:8" x14ac:dyDescent="0.2">
      <c r="A1299" s="2">
        <v>1298</v>
      </c>
      <c r="B1299" s="5">
        <f t="shared" si="80"/>
        <v>0</v>
      </c>
      <c r="C1299" s="5">
        <f t="shared" si="81"/>
        <v>0</v>
      </c>
      <c r="D1299" s="5">
        <f>IF(ExtraPayment=0, 0, IF(AND($B1299&lt;&gt;0,ExtraPayment&lt;=$B1299),-ExtraPayment,-($F1299)-$B1299))</f>
        <v>0</v>
      </c>
      <c r="E1299" s="5">
        <f>IF($B1299 &lt;= 0, 0, -ROUND($B1299 * (InterestRate / PaymentsPerYear), 2))</f>
        <v>0</v>
      </c>
      <c r="F1299" s="5">
        <f>ROUND(IFERROR(IF(OR($B1299 &lt;=0, $B1299 = ExtraPayment),0,
MAX(-$B1299, -(-PMT(InterestRate/PaymentsPerYear,LoanTerm*PaymentsPerYear,LoanAmount) + $E1299))), 0), 2)</f>
        <v>0</v>
      </c>
      <c r="G1299" s="5">
        <f t="shared" si="82"/>
        <v>0</v>
      </c>
      <c r="H1299" s="5">
        <f t="shared" si="83"/>
        <v>0</v>
      </c>
    </row>
    <row r="1300" spans="1:8" x14ac:dyDescent="0.2">
      <c r="A1300" s="2">
        <v>1299</v>
      </c>
      <c r="B1300" s="5">
        <f t="shared" si="80"/>
        <v>0</v>
      </c>
      <c r="C1300" s="5">
        <f t="shared" si="81"/>
        <v>0</v>
      </c>
      <c r="D1300" s="5">
        <f>IF(ExtraPayment=0, 0, IF(AND($B1300&lt;&gt;0,ExtraPayment&lt;=$B1300),-ExtraPayment,-($F1300)-$B1300))</f>
        <v>0</v>
      </c>
      <c r="E1300" s="5">
        <f>IF($B1300 &lt;= 0, 0, -ROUND($B1300 * (InterestRate / PaymentsPerYear), 2))</f>
        <v>0</v>
      </c>
      <c r="F1300" s="5">
        <f>ROUND(IFERROR(IF(OR($B1300 &lt;=0, $B1300 = ExtraPayment),0,
MAX(-$B1300, -(-PMT(InterestRate/PaymentsPerYear,LoanTerm*PaymentsPerYear,LoanAmount) + $E1300))), 0), 2)</f>
        <v>0</v>
      </c>
      <c r="G1300" s="5">
        <f t="shared" si="82"/>
        <v>0</v>
      </c>
      <c r="H1300" s="5">
        <f t="shared" si="83"/>
        <v>0</v>
      </c>
    </row>
    <row r="1301" spans="1:8" x14ac:dyDescent="0.2">
      <c r="A1301" s="2">
        <v>1300</v>
      </c>
      <c r="B1301" s="5">
        <f t="shared" si="80"/>
        <v>0</v>
      </c>
      <c r="C1301" s="5">
        <f t="shared" si="81"/>
        <v>0</v>
      </c>
      <c r="D1301" s="5">
        <f>IF(ExtraPayment=0, 0, IF(AND($B1301&lt;&gt;0,ExtraPayment&lt;=$B1301),-ExtraPayment,-($F1301)-$B1301))</f>
        <v>0</v>
      </c>
      <c r="E1301" s="5">
        <f>IF($B1301 &lt;= 0, 0, -ROUND($B1301 * (InterestRate / PaymentsPerYear), 2))</f>
        <v>0</v>
      </c>
      <c r="F1301" s="5">
        <f>ROUND(IFERROR(IF(OR($B1301 &lt;=0, $B1301 = ExtraPayment),0,
MAX(-$B1301, -(-PMT(InterestRate/PaymentsPerYear,LoanTerm*PaymentsPerYear,LoanAmount) + $E1301))), 0), 2)</f>
        <v>0</v>
      </c>
      <c r="G1301" s="5">
        <f t="shared" si="82"/>
        <v>0</v>
      </c>
      <c r="H1301" s="5">
        <f t="shared" si="83"/>
        <v>0</v>
      </c>
    </row>
    <row r="1302" spans="1:8" x14ac:dyDescent="0.2">
      <c r="A1302" s="2">
        <v>1301</v>
      </c>
      <c r="B1302" s="5">
        <f t="shared" si="80"/>
        <v>0</v>
      </c>
      <c r="C1302" s="5">
        <f t="shared" si="81"/>
        <v>0</v>
      </c>
      <c r="D1302" s="5">
        <f>IF(ExtraPayment=0, 0, IF(AND($B1302&lt;&gt;0,ExtraPayment&lt;=$B1302),-ExtraPayment,-($F1302)-$B1302))</f>
        <v>0</v>
      </c>
      <c r="E1302" s="5">
        <f>IF($B1302 &lt;= 0, 0, -ROUND($B1302 * (InterestRate / PaymentsPerYear), 2))</f>
        <v>0</v>
      </c>
      <c r="F1302" s="5">
        <f>ROUND(IFERROR(IF(OR($B1302 &lt;=0, $B1302 = ExtraPayment),0,
MAX(-$B1302, -(-PMT(InterestRate/PaymentsPerYear,LoanTerm*PaymentsPerYear,LoanAmount) + $E1302))), 0), 2)</f>
        <v>0</v>
      </c>
      <c r="G1302" s="5">
        <f t="shared" si="82"/>
        <v>0</v>
      </c>
      <c r="H1302" s="5">
        <f t="shared" si="83"/>
        <v>0</v>
      </c>
    </row>
    <row r="1303" spans="1:8" x14ac:dyDescent="0.2">
      <c r="A1303" s="2">
        <v>1302</v>
      </c>
      <c r="B1303" s="5">
        <f t="shared" si="80"/>
        <v>0</v>
      </c>
      <c r="C1303" s="5">
        <f t="shared" si="81"/>
        <v>0</v>
      </c>
      <c r="D1303" s="5">
        <f>IF(ExtraPayment=0, 0, IF(AND($B1303&lt;&gt;0,ExtraPayment&lt;=$B1303),-ExtraPayment,-($F1303)-$B1303))</f>
        <v>0</v>
      </c>
      <c r="E1303" s="5">
        <f>IF($B1303 &lt;= 0, 0, -ROUND($B1303 * (InterestRate / PaymentsPerYear), 2))</f>
        <v>0</v>
      </c>
      <c r="F1303" s="5">
        <f>ROUND(IFERROR(IF(OR($B1303 &lt;=0, $B1303 = ExtraPayment),0,
MAX(-$B1303, -(-PMT(InterestRate/PaymentsPerYear,LoanTerm*PaymentsPerYear,LoanAmount) + $E1303))), 0), 2)</f>
        <v>0</v>
      </c>
      <c r="G1303" s="5">
        <f t="shared" si="82"/>
        <v>0</v>
      </c>
      <c r="H1303" s="5">
        <f t="shared" si="83"/>
        <v>0</v>
      </c>
    </row>
    <row r="1304" spans="1:8" x14ac:dyDescent="0.2">
      <c r="A1304" s="2">
        <v>1303</v>
      </c>
      <c r="B1304" s="5">
        <f t="shared" si="80"/>
        <v>0</v>
      </c>
      <c r="C1304" s="5">
        <f t="shared" si="81"/>
        <v>0</v>
      </c>
      <c r="D1304" s="5">
        <f>IF(ExtraPayment=0, 0, IF(AND($B1304&lt;&gt;0,ExtraPayment&lt;=$B1304),-ExtraPayment,-($F1304)-$B1304))</f>
        <v>0</v>
      </c>
      <c r="E1304" s="5">
        <f>IF($B1304 &lt;= 0, 0, -ROUND($B1304 * (InterestRate / PaymentsPerYear), 2))</f>
        <v>0</v>
      </c>
      <c r="F1304" s="5">
        <f>ROUND(IFERROR(IF(OR($B1304 &lt;=0, $B1304 = ExtraPayment),0,
MAX(-$B1304, -(-PMT(InterestRate/PaymentsPerYear,LoanTerm*PaymentsPerYear,LoanAmount) + $E1304))), 0), 2)</f>
        <v>0</v>
      </c>
      <c r="G1304" s="5">
        <f t="shared" si="82"/>
        <v>0</v>
      </c>
      <c r="H1304" s="5">
        <f t="shared" si="83"/>
        <v>0</v>
      </c>
    </row>
    <row r="1305" spans="1:8" x14ac:dyDescent="0.2">
      <c r="A1305" s="2">
        <v>1304</v>
      </c>
      <c r="B1305" s="5">
        <f t="shared" si="80"/>
        <v>0</v>
      </c>
      <c r="C1305" s="5">
        <f t="shared" si="81"/>
        <v>0</v>
      </c>
      <c r="D1305" s="5">
        <f>IF(ExtraPayment=0, 0, IF(AND($B1305&lt;&gt;0,ExtraPayment&lt;=$B1305),-ExtraPayment,-($F1305)-$B1305))</f>
        <v>0</v>
      </c>
      <c r="E1305" s="5">
        <f>IF($B1305 &lt;= 0, 0, -ROUND($B1305 * (InterestRate / PaymentsPerYear), 2))</f>
        <v>0</v>
      </c>
      <c r="F1305" s="5">
        <f>ROUND(IFERROR(IF(OR($B1305 &lt;=0, $B1305 = ExtraPayment),0,
MAX(-$B1305, -(-PMT(InterestRate/PaymentsPerYear,LoanTerm*PaymentsPerYear,LoanAmount) + $E1305))), 0), 2)</f>
        <v>0</v>
      </c>
      <c r="G1305" s="5">
        <f t="shared" si="82"/>
        <v>0</v>
      </c>
      <c r="H1305" s="5">
        <f t="shared" si="83"/>
        <v>0</v>
      </c>
    </row>
    <row r="1306" spans="1:8" x14ac:dyDescent="0.2">
      <c r="A1306" s="2">
        <v>1305</v>
      </c>
      <c r="B1306" s="5">
        <f t="shared" si="80"/>
        <v>0</v>
      </c>
      <c r="C1306" s="5">
        <f t="shared" si="81"/>
        <v>0</v>
      </c>
      <c r="D1306" s="5">
        <f>IF(ExtraPayment=0, 0, IF(AND($B1306&lt;&gt;0,ExtraPayment&lt;=$B1306),-ExtraPayment,-($F1306)-$B1306))</f>
        <v>0</v>
      </c>
      <c r="E1306" s="5">
        <f>IF($B1306 &lt;= 0, 0, -ROUND($B1306 * (InterestRate / PaymentsPerYear), 2))</f>
        <v>0</v>
      </c>
      <c r="F1306" s="5">
        <f>ROUND(IFERROR(IF(OR($B1306 &lt;=0, $B1306 = ExtraPayment),0,
MAX(-$B1306, -(-PMT(InterestRate/PaymentsPerYear,LoanTerm*PaymentsPerYear,LoanAmount) + $E1306))), 0), 2)</f>
        <v>0</v>
      </c>
      <c r="G1306" s="5">
        <f t="shared" si="82"/>
        <v>0</v>
      </c>
      <c r="H1306" s="5">
        <f t="shared" si="83"/>
        <v>0</v>
      </c>
    </row>
    <row r="1307" spans="1:8" x14ac:dyDescent="0.2">
      <c r="A1307" s="2">
        <v>1306</v>
      </c>
      <c r="B1307" s="5">
        <f t="shared" si="80"/>
        <v>0</v>
      </c>
      <c r="C1307" s="5">
        <f t="shared" si="81"/>
        <v>0</v>
      </c>
      <c r="D1307" s="5">
        <f>IF(ExtraPayment=0, 0, IF(AND($B1307&lt;&gt;0,ExtraPayment&lt;=$B1307),-ExtraPayment,-($F1307)-$B1307))</f>
        <v>0</v>
      </c>
      <c r="E1307" s="5">
        <f>IF($B1307 &lt;= 0, 0, -ROUND($B1307 * (InterestRate / PaymentsPerYear), 2))</f>
        <v>0</v>
      </c>
      <c r="F1307" s="5">
        <f>ROUND(IFERROR(IF(OR($B1307 &lt;=0, $B1307 = ExtraPayment),0,
MAX(-$B1307, -(-PMT(InterestRate/PaymentsPerYear,LoanTerm*PaymentsPerYear,LoanAmount) + $E1307))), 0), 2)</f>
        <v>0</v>
      </c>
      <c r="G1307" s="5">
        <f t="shared" si="82"/>
        <v>0</v>
      </c>
      <c r="H1307" s="5">
        <f t="shared" si="83"/>
        <v>0</v>
      </c>
    </row>
    <row r="1308" spans="1:8" x14ac:dyDescent="0.2">
      <c r="A1308" s="2">
        <v>1307</v>
      </c>
      <c r="B1308" s="5">
        <f t="shared" si="80"/>
        <v>0</v>
      </c>
      <c r="C1308" s="5">
        <f t="shared" si="81"/>
        <v>0</v>
      </c>
      <c r="D1308" s="5">
        <f>IF(ExtraPayment=0, 0, IF(AND($B1308&lt;&gt;0,ExtraPayment&lt;=$B1308),-ExtraPayment,-($F1308)-$B1308))</f>
        <v>0</v>
      </c>
      <c r="E1308" s="5">
        <f>IF($B1308 &lt;= 0, 0, -ROUND($B1308 * (InterestRate / PaymentsPerYear), 2))</f>
        <v>0</v>
      </c>
      <c r="F1308" s="5">
        <f>ROUND(IFERROR(IF(OR($B1308 &lt;=0, $B1308 = ExtraPayment),0,
MAX(-$B1308, -(-PMT(InterestRate/PaymentsPerYear,LoanTerm*PaymentsPerYear,LoanAmount) + $E1308))), 0), 2)</f>
        <v>0</v>
      </c>
      <c r="G1308" s="5">
        <f t="shared" si="82"/>
        <v>0</v>
      </c>
      <c r="H1308" s="5">
        <f t="shared" si="83"/>
        <v>0</v>
      </c>
    </row>
    <row r="1309" spans="1:8" x14ac:dyDescent="0.2">
      <c r="A1309" s="2">
        <v>1308</v>
      </c>
      <c r="B1309" s="5">
        <f t="shared" si="80"/>
        <v>0</v>
      </c>
      <c r="C1309" s="5">
        <f t="shared" si="81"/>
        <v>0</v>
      </c>
      <c r="D1309" s="5">
        <f>IF(ExtraPayment=0, 0, IF(AND($B1309&lt;&gt;0,ExtraPayment&lt;=$B1309),-ExtraPayment,-($F1309)-$B1309))</f>
        <v>0</v>
      </c>
      <c r="E1309" s="5">
        <f>IF($B1309 &lt;= 0, 0, -ROUND($B1309 * (InterestRate / PaymentsPerYear), 2))</f>
        <v>0</v>
      </c>
      <c r="F1309" s="5">
        <f>ROUND(IFERROR(IF(OR($B1309 &lt;=0, $B1309 = ExtraPayment),0,
MAX(-$B1309, -(-PMT(InterestRate/PaymentsPerYear,LoanTerm*PaymentsPerYear,LoanAmount) + $E1309))), 0), 2)</f>
        <v>0</v>
      </c>
      <c r="G1309" s="5">
        <f t="shared" si="82"/>
        <v>0</v>
      </c>
      <c r="H1309" s="5">
        <f t="shared" si="83"/>
        <v>0</v>
      </c>
    </row>
    <row r="1310" spans="1:8" x14ac:dyDescent="0.2">
      <c r="A1310" s="2">
        <v>1309</v>
      </c>
      <c r="B1310" s="5">
        <f t="shared" si="80"/>
        <v>0</v>
      </c>
      <c r="C1310" s="5">
        <f t="shared" si="81"/>
        <v>0</v>
      </c>
      <c r="D1310" s="5">
        <f>IF(ExtraPayment=0, 0, IF(AND($B1310&lt;&gt;0,ExtraPayment&lt;=$B1310),-ExtraPayment,-($F1310)-$B1310))</f>
        <v>0</v>
      </c>
      <c r="E1310" s="5">
        <f>IF($B1310 &lt;= 0, 0, -ROUND($B1310 * (InterestRate / PaymentsPerYear), 2))</f>
        <v>0</v>
      </c>
      <c r="F1310" s="5">
        <f>ROUND(IFERROR(IF(OR($B1310 &lt;=0, $B1310 = ExtraPayment),0,
MAX(-$B1310, -(-PMT(InterestRate/PaymentsPerYear,LoanTerm*PaymentsPerYear,LoanAmount) + $E1310))), 0), 2)</f>
        <v>0</v>
      </c>
      <c r="G1310" s="5">
        <f t="shared" si="82"/>
        <v>0</v>
      </c>
      <c r="H1310" s="5">
        <f t="shared" si="83"/>
        <v>0</v>
      </c>
    </row>
    <row r="1311" spans="1:8" x14ac:dyDescent="0.2">
      <c r="A1311" s="2">
        <v>1310</v>
      </c>
      <c r="B1311" s="5">
        <f t="shared" si="80"/>
        <v>0</v>
      </c>
      <c r="C1311" s="5">
        <f t="shared" si="81"/>
        <v>0</v>
      </c>
      <c r="D1311" s="5">
        <f>IF(ExtraPayment=0, 0, IF(AND($B1311&lt;&gt;0,ExtraPayment&lt;=$B1311),-ExtraPayment,-($F1311)-$B1311))</f>
        <v>0</v>
      </c>
      <c r="E1311" s="5">
        <f>IF($B1311 &lt;= 0, 0, -ROUND($B1311 * (InterestRate / PaymentsPerYear), 2))</f>
        <v>0</v>
      </c>
      <c r="F1311" s="5">
        <f>ROUND(IFERROR(IF(OR($B1311 &lt;=0, $B1311 = ExtraPayment),0,
MAX(-$B1311, -(-PMT(InterestRate/PaymentsPerYear,LoanTerm*PaymentsPerYear,LoanAmount) + $E1311))), 0), 2)</f>
        <v>0</v>
      </c>
      <c r="G1311" s="5">
        <f t="shared" si="82"/>
        <v>0</v>
      </c>
      <c r="H1311" s="5">
        <f t="shared" si="83"/>
        <v>0</v>
      </c>
    </row>
    <row r="1312" spans="1:8" x14ac:dyDescent="0.2">
      <c r="A1312" s="2">
        <v>1311</v>
      </c>
      <c r="B1312" s="5">
        <f t="shared" si="80"/>
        <v>0</v>
      </c>
      <c r="C1312" s="5">
        <f t="shared" si="81"/>
        <v>0</v>
      </c>
      <c r="D1312" s="5">
        <f>IF(ExtraPayment=0, 0, IF(AND($B1312&lt;&gt;0,ExtraPayment&lt;=$B1312),-ExtraPayment,-($F1312)-$B1312))</f>
        <v>0</v>
      </c>
      <c r="E1312" s="5">
        <f>IF($B1312 &lt;= 0, 0, -ROUND($B1312 * (InterestRate / PaymentsPerYear), 2))</f>
        <v>0</v>
      </c>
      <c r="F1312" s="5">
        <f>ROUND(IFERROR(IF(OR($B1312 &lt;=0, $B1312 = ExtraPayment),0,
MAX(-$B1312, -(-PMT(InterestRate/PaymentsPerYear,LoanTerm*PaymentsPerYear,LoanAmount) + $E1312))), 0), 2)</f>
        <v>0</v>
      </c>
      <c r="G1312" s="5">
        <f t="shared" si="82"/>
        <v>0</v>
      </c>
      <c r="H1312" s="5">
        <f t="shared" si="83"/>
        <v>0</v>
      </c>
    </row>
    <row r="1313" spans="1:8" x14ac:dyDescent="0.2">
      <c r="A1313" s="2">
        <v>1312</v>
      </c>
      <c r="B1313" s="5">
        <f t="shared" si="80"/>
        <v>0</v>
      </c>
      <c r="C1313" s="5">
        <f t="shared" si="81"/>
        <v>0</v>
      </c>
      <c r="D1313" s="5">
        <f>IF(ExtraPayment=0, 0, IF(AND($B1313&lt;&gt;0,ExtraPayment&lt;=$B1313),-ExtraPayment,-($F1313)-$B1313))</f>
        <v>0</v>
      </c>
      <c r="E1313" s="5">
        <f>IF($B1313 &lt;= 0, 0, -ROUND($B1313 * (InterestRate / PaymentsPerYear), 2))</f>
        <v>0</v>
      </c>
      <c r="F1313" s="5">
        <f>ROUND(IFERROR(IF(OR($B1313 &lt;=0, $B1313 = ExtraPayment),0,
MAX(-$B1313, -(-PMT(InterestRate/PaymentsPerYear,LoanTerm*PaymentsPerYear,LoanAmount) + $E1313))), 0), 2)</f>
        <v>0</v>
      </c>
      <c r="G1313" s="5">
        <f t="shared" si="82"/>
        <v>0</v>
      </c>
      <c r="H1313" s="5">
        <f t="shared" si="83"/>
        <v>0</v>
      </c>
    </row>
    <row r="1314" spans="1:8" x14ac:dyDescent="0.2">
      <c r="A1314" s="2">
        <v>1313</v>
      </c>
      <c r="B1314" s="5">
        <f t="shared" si="80"/>
        <v>0</v>
      </c>
      <c r="C1314" s="5">
        <f t="shared" si="81"/>
        <v>0</v>
      </c>
      <c r="D1314" s="5">
        <f>IF(ExtraPayment=0, 0, IF(AND($B1314&lt;&gt;0,ExtraPayment&lt;=$B1314),-ExtraPayment,-($F1314)-$B1314))</f>
        <v>0</v>
      </c>
      <c r="E1314" s="5">
        <f>IF($B1314 &lt;= 0, 0, -ROUND($B1314 * (InterestRate / PaymentsPerYear), 2))</f>
        <v>0</v>
      </c>
      <c r="F1314" s="5">
        <f>ROUND(IFERROR(IF(OR($B1314 &lt;=0, $B1314 = ExtraPayment),0,
MAX(-$B1314, -(-PMT(InterestRate/PaymentsPerYear,LoanTerm*PaymentsPerYear,LoanAmount) + $E1314))), 0), 2)</f>
        <v>0</v>
      </c>
      <c r="G1314" s="5">
        <f t="shared" si="82"/>
        <v>0</v>
      </c>
      <c r="H1314" s="5">
        <f t="shared" si="83"/>
        <v>0</v>
      </c>
    </row>
    <row r="1315" spans="1:8" x14ac:dyDescent="0.2">
      <c r="A1315" s="2">
        <v>1314</v>
      </c>
      <c r="B1315" s="5">
        <f t="shared" si="80"/>
        <v>0</v>
      </c>
      <c r="C1315" s="5">
        <f t="shared" si="81"/>
        <v>0</v>
      </c>
      <c r="D1315" s="5">
        <f>IF(ExtraPayment=0, 0, IF(AND($B1315&lt;&gt;0,ExtraPayment&lt;=$B1315),-ExtraPayment,-($F1315)-$B1315))</f>
        <v>0</v>
      </c>
      <c r="E1315" s="5">
        <f>IF($B1315 &lt;= 0, 0, -ROUND($B1315 * (InterestRate / PaymentsPerYear), 2))</f>
        <v>0</v>
      </c>
      <c r="F1315" s="5">
        <f>ROUND(IFERROR(IF(OR($B1315 &lt;=0, $B1315 = ExtraPayment),0,
MAX(-$B1315, -(-PMT(InterestRate/PaymentsPerYear,LoanTerm*PaymentsPerYear,LoanAmount) + $E1315))), 0), 2)</f>
        <v>0</v>
      </c>
      <c r="G1315" s="5">
        <f t="shared" si="82"/>
        <v>0</v>
      </c>
      <c r="H1315" s="5">
        <f t="shared" si="83"/>
        <v>0</v>
      </c>
    </row>
    <row r="1316" spans="1:8" x14ac:dyDescent="0.2">
      <c r="A1316" s="2">
        <v>1315</v>
      </c>
      <c r="B1316" s="5">
        <f t="shared" si="80"/>
        <v>0</v>
      </c>
      <c r="C1316" s="5">
        <f t="shared" si="81"/>
        <v>0</v>
      </c>
      <c r="D1316" s="5">
        <f>IF(ExtraPayment=0, 0, IF(AND($B1316&lt;&gt;0,ExtraPayment&lt;=$B1316),-ExtraPayment,-($F1316)-$B1316))</f>
        <v>0</v>
      </c>
      <c r="E1316" s="5">
        <f>IF($B1316 &lt;= 0, 0, -ROUND($B1316 * (InterestRate / PaymentsPerYear), 2))</f>
        <v>0</v>
      </c>
      <c r="F1316" s="5">
        <f>ROUND(IFERROR(IF(OR($B1316 &lt;=0, $B1316 = ExtraPayment),0,
MAX(-$B1316, -(-PMT(InterestRate/PaymentsPerYear,LoanTerm*PaymentsPerYear,LoanAmount) + $E1316))), 0), 2)</f>
        <v>0</v>
      </c>
      <c r="G1316" s="5">
        <f t="shared" si="82"/>
        <v>0</v>
      </c>
      <c r="H1316" s="5">
        <f t="shared" si="83"/>
        <v>0</v>
      </c>
    </row>
    <row r="1317" spans="1:8" x14ac:dyDescent="0.2">
      <c r="A1317" s="2">
        <v>1316</v>
      </c>
      <c r="B1317" s="5">
        <f t="shared" si="80"/>
        <v>0</v>
      </c>
      <c r="C1317" s="5">
        <f t="shared" si="81"/>
        <v>0</v>
      </c>
      <c r="D1317" s="5">
        <f>IF(ExtraPayment=0, 0, IF(AND($B1317&lt;&gt;0,ExtraPayment&lt;=$B1317),-ExtraPayment,-($F1317)-$B1317))</f>
        <v>0</v>
      </c>
      <c r="E1317" s="5">
        <f>IF($B1317 &lt;= 0, 0, -ROUND($B1317 * (InterestRate / PaymentsPerYear), 2))</f>
        <v>0</v>
      </c>
      <c r="F1317" s="5">
        <f>ROUND(IFERROR(IF(OR($B1317 &lt;=0, $B1317 = ExtraPayment),0,
MAX(-$B1317, -(-PMT(InterestRate/PaymentsPerYear,LoanTerm*PaymentsPerYear,LoanAmount) + $E1317))), 0), 2)</f>
        <v>0</v>
      </c>
      <c r="G1317" s="5">
        <f t="shared" si="82"/>
        <v>0</v>
      </c>
      <c r="H1317" s="5">
        <f t="shared" si="83"/>
        <v>0</v>
      </c>
    </row>
    <row r="1318" spans="1:8" x14ac:dyDescent="0.2">
      <c r="A1318" s="2">
        <v>1317</v>
      </c>
      <c r="B1318" s="5">
        <f t="shared" si="80"/>
        <v>0</v>
      </c>
      <c r="C1318" s="5">
        <f t="shared" si="81"/>
        <v>0</v>
      </c>
      <c r="D1318" s="5">
        <f>IF(ExtraPayment=0, 0, IF(AND($B1318&lt;&gt;0,ExtraPayment&lt;=$B1318),-ExtraPayment,-($F1318)-$B1318))</f>
        <v>0</v>
      </c>
      <c r="E1318" s="5">
        <f>IF($B1318 &lt;= 0, 0, -ROUND($B1318 * (InterestRate / PaymentsPerYear), 2))</f>
        <v>0</v>
      </c>
      <c r="F1318" s="5">
        <f>ROUND(IFERROR(IF(OR($B1318 &lt;=0, $B1318 = ExtraPayment),0,
MAX(-$B1318, -(-PMT(InterestRate/PaymentsPerYear,LoanTerm*PaymentsPerYear,LoanAmount) + $E1318))), 0), 2)</f>
        <v>0</v>
      </c>
      <c r="G1318" s="5">
        <f t="shared" si="82"/>
        <v>0</v>
      </c>
      <c r="H1318" s="5">
        <f t="shared" si="83"/>
        <v>0</v>
      </c>
    </row>
    <row r="1319" spans="1:8" x14ac:dyDescent="0.2">
      <c r="A1319" s="2">
        <v>1318</v>
      </c>
      <c r="B1319" s="5">
        <f t="shared" si="80"/>
        <v>0</v>
      </c>
      <c r="C1319" s="5">
        <f t="shared" si="81"/>
        <v>0</v>
      </c>
      <c r="D1319" s="5">
        <f>IF(ExtraPayment=0, 0, IF(AND($B1319&lt;&gt;0,ExtraPayment&lt;=$B1319),-ExtraPayment,-($F1319)-$B1319))</f>
        <v>0</v>
      </c>
      <c r="E1319" s="5">
        <f>IF($B1319 &lt;= 0, 0, -ROUND($B1319 * (InterestRate / PaymentsPerYear), 2))</f>
        <v>0</v>
      </c>
      <c r="F1319" s="5">
        <f>ROUND(IFERROR(IF(OR($B1319 &lt;=0, $B1319 = ExtraPayment),0,
MAX(-$B1319, -(-PMT(InterestRate/PaymentsPerYear,LoanTerm*PaymentsPerYear,LoanAmount) + $E1319))), 0), 2)</f>
        <v>0</v>
      </c>
      <c r="G1319" s="5">
        <f t="shared" si="82"/>
        <v>0</v>
      </c>
      <c r="H1319" s="5">
        <f t="shared" si="83"/>
        <v>0</v>
      </c>
    </row>
    <row r="1320" spans="1:8" x14ac:dyDescent="0.2">
      <c r="A1320" s="2">
        <v>1319</v>
      </c>
      <c r="B1320" s="5">
        <f t="shared" si="80"/>
        <v>0</v>
      </c>
      <c r="C1320" s="5">
        <f t="shared" si="81"/>
        <v>0</v>
      </c>
      <c r="D1320" s="5">
        <f>IF(ExtraPayment=0, 0, IF(AND($B1320&lt;&gt;0,ExtraPayment&lt;=$B1320),-ExtraPayment,-($F1320)-$B1320))</f>
        <v>0</v>
      </c>
      <c r="E1320" s="5">
        <f>IF($B1320 &lt;= 0, 0, -ROUND($B1320 * (InterestRate / PaymentsPerYear), 2))</f>
        <v>0</v>
      </c>
      <c r="F1320" s="5">
        <f>ROUND(IFERROR(IF(OR($B1320 &lt;=0, $B1320 = ExtraPayment),0,
MAX(-$B1320, -(-PMT(InterestRate/PaymentsPerYear,LoanTerm*PaymentsPerYear,LoanAmount) + $E1320))), 0), 2)</f>
        <v>0</v>
      </c>
      <c r="G1320" s="5">
        <f t="shared" si="82"/>
        <v>0</v>
      </c>
      <c r="H1320" s="5">
        <f t="shared" si="83"/>
        <v>0</v>
      </c>
    </row>
    <row r="1321" spans="1:8" x14ac:dyDescent="0.2">
      <c r="A1321" s="2">
        <v>1320</v>
      </c>
      <c r="B1321" s="5">
        <f t="shared" si="80"/>
        <v>0</v>
      </c>
      <c r="C1321" s="5">
        <f t="shared" si="81"/>
        <v>0</v>
      </c>
      <c r="D1321" s="5">
        <f>IF(ExtraPayment=0, 0, IF(AND($B1321&lt;&gt;0,ExtraPayment&lt;=$B1321),-ExtraPayment,-($F1321)-$B1321))</f>
        <v>0</v>
      </c>
      <c r="E1321" s="5">
        <f>IF($B1321 &lt;= 0, 0, -ROUND($B1321 * (InterestRate / PaymentsPerYear), 2))</f>
        <v>0</v>
      </c>
      <c r="F1321" s="5">
        <f>ROUND(IFERROR(IF(OR($B1321 &lt;=0, $B1321 = ExtraPayment),0,
MAX(-$B1321, -(-PMT(InterestRate/PaymentsPerYear,LoanTerm*PaymentsPerYear,LoanAmount) + $E1321))), 0), 2)</f>
        <v>0</v>
      </c>
      <c r="G1321" s="5">
        <f t="shared" si="82"/>
        <v>0</v>
      </c>
      <c r="H1321" s="5">
        <f t="shared" si="83"/>
        <v>0</v>
      </c>
    </row>
    <row r="1322" spans="1:8" x14ac:dyDescent="0.2">
      <c r="A1322" s="2">
        <v>1321</v>
      </c>
      <c r="B1322" s="5">
        <f t="shared" si="80"/>
        <v>0</v>
      </c>
      <c r="C1322" s="5">
        <f t="shared" si="81"/>
        <v>0</v>
      </c>
      <c r="D1322" s="5">
        <f>IF(ExtraPayment=0, 0, IF(AND($B1322&lt;&gt;0,ExtraPayment&lt;=$B1322),-ExtraPayment,-($F1322)-$B1322))</f>
        <v>0</v>
      </c>
      <c r="E1322" s="5">
        <f>IF($B1322 &lt;= 0, 0, -ROUND($B1322 * (InterestRate / PaymentsPerYear), 2))</f>
        <v>0</v>
      </c>
      <c r="F1322" s="5">
        <f>ROUND(IFERROR(IF(OR($B1322 &lt;=0, $B1322 = ExtraPayment),0,
MAX(-$B1322, -(-PMT(InterestRate/PaymentsPerYear,LoanTerm*PaymentsPerYear,LoanAmount) + $E1322))), 0), 2)</f>
        <v>0</v>
      </c>
      <c r="G1322" s="5">
        <f t="shared" si="82"/>
        <v>0</v>
      </c>
      <c r="H1322" s="5">
        <f t="shared" si="83"/>
        <v>0</v>
      </c>
    </row>
    <row r="1323" spans="1:8" x14ac:dyDescent="0.2">
      <c r="A1323" s="2">
        <v>1322</v>
      </c>
      <c r="B1323" s="5">
        <f t="shared" si="80"/>
        <v>0</v>
      </c>
      <c r="C1323" s="5">
        <f t="shared" si="81"/>
        <v>0</v>
      </c>
      <c r="D1323" s="5">
        <f>IF(ExtraPayment=0, 0, IF(AND($B1323&lt;&gt;0,ExtraPayment&lt;=$B1323),-ExtraPayment,-($F1323)-$B1323))</f>
        <v>0</v>
      </c>
      <c r="E1323" s="5">
        <f>IF($B1323 &lt;= 0, 0, -ROUND($B1323 * (InterestRate / PaymentsPerYear), 2))</f>
        <v>0</v>
      </c>
      <c r="F1323" s="5">
        <f>ROUND(IFERROR(IF(OR($B1323 &lt;=0, $B1323 = ExtraPayment),0,
MAX(-$B1323, -(-PMT(InterestRate/PaymentsPerYear,LoanTerm*PaymentsPerYear,LoanAmount) + $E1323))), 0), 2)</f>
        <v>0</v>
      </c>
      <c r="G1323" s="5">
        <f t="shared" si="82"/>
        <v>0</v>
      </c>
      <c r="H1323" s="5">
        <f t="shared" si="83"/>
        <v>0</v>
      </c>
    </row>
    <row r="1324" spans="1:8" x14ac:dyDescent="0.2">
      <c r="A1324" s="2">
        <v>1323</v>
      </c>
      <c r="B1324" s="5">
        <f t="shared" si="80"/>
        <v>0</v>
      </c>
      <c r="C1324" s="5">
        <f t="shared" si="81"/>
        <v>0</v>
      </c>
      <c r="D1324" s="5">
        <f>IF(ExtraPayment=0, 0, IF(AND($B1324&lt;&gt;0,ExtraPayment&lt;=$B1324),-ExtraPayment,-($F1324)-$B1324))</f>
        <v>0</v>
      </c>
      <c r="E1324" s="5">
        <f>IF($B1324 &lt;= 0, 0, -ROUND($B1324 * (InterestRate / PaymentsPerYear), 2))</f>
        <v>0</v>
      </c>
      <c r="F1324" s="5">
        <f>ROUND(IFERROR(IF(OR($B1324 &lt;=0, $B1324 = ExtraPayment),0,
MAX(-$B1324, -(-PMT(InterestRate/PaymentsPerYear,LoanTerm*PaymentsPerYear,LoanAmount) + $E1324))), 0), 2)</f>
        <v>0</v>
      </c>
      <c r="G1324" s="5">
        <f t="shared" si="82"/>
        <v>0</v>
      </c>
      <c r="H1324" s="5">
        <f t="shared" si="83"/>
        <v>0</v>
      </c>
    </row>
    <row r="1325" spans="1:8" x14ac:dyDescent="0.2">
      <c r="A1325" s="2">
        <v>1324</v>
      </c>
      <c r="B1325" s="5">
        <f t="shared" si="80"/>
        <v>0</v>
      </c>
      <c r="C1325" s="5">
        <f t="shared" si="81"/>
        <v>0</v>
      </c>
      <c r="D1325" s="5">
        <f>IF(ExtraPayment=0, 0, IF(AND($B1325&lt;&gt;0,ExtraPayment&lt;=$B1325),-ExtraPayment,-($F1325)-$B1325))</f>
        <v>0</v>
      </c>
      <c r="E1325" s="5">
        <f>IF($B1325 &lt;= 0, 0, -ROUND($B1325 * (InterestRate / PaymentsPerYear), 2))</f>
        <v>0</v>
      </c>
      <c r="F1325" s="5">
        <f>ROUND(IFERROR(IF(OR($B1325 &lt;=0, $B1325 = ExtraPayment),0,
MAX(-$B1325, -(-PMT(InterestRate/PaymentsPerYear,LoanTerm*PaymentsPerYear,LoanAmount) + $E1325))), 0), 2)</f>
        <v>0</v>
      </c>
      <c r="G1325" s="5">
        <f t="shared" si="82"/>
        <v>0</v>
      </c>
      <c r="H1325" s="5">
        <f t="shared" si="83"/>
        <v>0</v>
      </c>
    </row>
    <row r="1326" spans="1:8" x14ac:dyDescent="0.2">
      <c r="A1326" s="2">
        <v>1325</v>
      </c>
      <c r="B1326" s="5">
        <f t="shared" si="80"/>
        <v>0</v>
      </c>
      <c r="C1326" s="5">
        <f t="shared" si="81"/>
        <v>0</v>
      </c>
      <c r="D1326" s="5">
        <f>IF(ExtraPayment=0, 0, IF(AND($B1326&lt;&gt;0,ExtraPayment&lt;=$B1326),-ExtraPayment,-($F1326)-$B1326))</f>
        <v>0</v>
      </c>
      <c r="E1326" s="5">
        <f>IF($B1326 &lt;= 0, 0, -ROUND($B1326 * (InterestRate / PaymentsPerYear), 2))</f>
        <v>0</v>
      </c>
      <c r="F1326" s="5">
        <f>ROUND(IFERROR(IF(OR($B1326 &lt;=0, $B1326 = ExtraPayment),0,
MAX(-$B1326, -(-PMT(InterestRate/PaymentsPerYear,LoanTerm*PaymentsPerYear,LoanAmount) + $E1326))), 0), 2)</f>
        <v>0</v>
      </c>
      <c r="G1326" s="5">
        <f t="shared" si="82"/>
        <v>0</v>
      </c>
      <c r="H1326" s="5">
        <f t="shared" si="83"/>
        <v>0</v>
      </c>
    </row>
    <row r="1327" spans="1:8" x14ac:dyDescent="0.2">
      <c r="A1327" s="2">
        <v>1326</v>
      </c>
      <c r="B1327" s="5">
        <f t="shared" si="80"/>
        <v>0</v>
      </c>
      <c r="C1327" s="5">
        <f t="shared" si="81"/>
        <v>0</v>
      </c>
      <c r="D1327" s="5">
        <f>IF(ExtraPayment=0, 0, IF(AND($B1327&lt;&gt;0,ExtraPayment&lt;=$B1327),-ExtraPayment,-($F1327)-$B1327))</f>
        <v>0</v>
      </c>
      <c r="E1327" s="5">
        <f>IF($B1327 &lt;= 0, 0, -ROUND($B1327 * (InterestRate / PaymentsPerYear), 2))</f>
        <v>0</v>
      </c>
      <c r="F1327" s="5">
        <f>ROUND(IFERROR(IF(OR($B1327 &lt;=0, $B1327 = ExtraPayment),0,
MAX(-$B1327, -(-PMT(InterestRate/PaymentsPerYear,LoanTerm*PaymentsPerYear,LoanAmount) + $E1327))), 0), 2)</f>
        <v>0</v>
      </c>
      <c r="G1327" s="5">
        <f t="shared" si="82"/>
        <v>0</v>
      </c>
      <c r="H1327" s="5">
        <f t="shared" si="83"/>
        <v>0</v>
      </c>
    </row>
    <row r="1328" spans="1:8" x14ac:dyDescent="0.2">
      <c r="A1328" s="2">
        <v>1327</v>
      </c>
      <c r="B1328" s="5">
        <f t="shared" si="80"/>
        <v>0</v>
      </c>
      <c r="C1328" s="5">
        <f t="shared" si="81"/>
        <v>0</v>
      </c>
      <c r="D1328" s="5">
        <f>IF(ExtraPayment=0, 0, IF(AND($B1328&lt;&gt;0,ExtraPayment&lt;=$B1328),-ExtraPayment,-($F1328)-$B1328))</f>
        <v>0</v>
      </c>
      <c r="E1328" s="5">
        <f>IF($B1328 &lt;= 0, 0, -ROUND($B1328 * (InterestRate / PaymentsPerYear), 2))</f>
        <v>0</v>
      </c>
      <c r="F1328" s="5">
        <f>ROUND(IFERROR(IF(OR($B1328 &lt;=0, $B1328 = ExtraPayment),0,
MAX(-$B1328, -(-PMT(InterestRate/PaymentsPerYear,LoanTerm*PaymentsPerYear,LoanAmount) + $E1328))), 0), 2)</f>
        <v>0</v>
      </c>
      <c r="G1328" s="5">
        <f t="shared" si="82"/>
        <v>0</v>
      </c>
      <c r="H1328" s="5">
        <f t="shared" si="83"/>
        <v>0</v>
      </c>
    </row>
    <row r="1329" spans="1:8" x14ac:dyDescent="0.2">
      <c r="A1329" s="2">
        <v>1328</v>
      </c>
      <c r="B1329" s="5">
        <f t="shared" si="80"/>
        <v>0</v>
      </c>
      <c r="C1329" s="5">
        <f t="shared" si="81"/>
        <v>0</v>
      </c>
      <c r="D1329" s="5">
        <f>IF(ExtraPayment=0, 0, IF(AND($B1329&lt;&gt;0,ExtraPayment&lt;=$B1329),-ExtraPayment,-($F1329)-$B1329))</f>
        <v>0</v>
      </c>
      <c r="E1329" s="5">
        <f>IF($B1329 &lt;= 0, 0, -ROUND($B1329 * (InterestRate / PaymentsPerYear), 2))</f>
        <v>0</v>
      </c>
      <c r="F1329" s="5">
        <f>ROUND(IFERROR(IF(OR($B1329 &lt;=0, $B1329 = ExtraPayment),0,
MAX(-$B1329, -(-PMT(InterestRate/PaymentsPerYear,LoanTerm*PaymentsPerYear,LoanAmount) + $E1329))), 0), 2)</f>
        <v>0</v>
      </c>
      <c r="G1329" s="5">
        <f t="shared" si="82"/>
        <v>0</v>
      </c>
      <c r="H1329" s="5">
        <f t="shared" si="83"/>
        <v>0</v>
      </c>
    </row>
    <row r="1330" spans="1:8" x14ac:dyDescent="0.2">
      <c r="A1330" s="2">
        <v>1329</v>
      </c>
      <c r="B1330" s="5">
        <f t="shared" si="80"/>
        <v>0</v>
      </c>
      <c r="C1330" s="5">
        <f t="shared" si="81"/>
        <v>0</v>
      </c>
      <c r="D1330" s="5">
        <f>IF(ExtraPayment=0, 0, IF(AND($B1330&lt;&gt;0,ExtraPayment&lt;=$B1330),-ExtraPayment,-($F1330)-$B1330))</f>
        <v>0</v>
      </c>
      <c r="E1330" s="5">
        <f>IF($B1330 &lt;= 0, 0, -ROUND($B1330 * (InterestRate / PaymentsPerYear), 2))</f>
        <v>0</v>
      </c>
      <c r="F1330" s="5">
        <f>ROUND(IFERROR(IF(OR($B1330 &lt;=0, $B1330 = ExtraPayment),0,
MAX(-$B1330, -(-PMT(InterestRate/PaymentsPerYear,LoanTerm*PaymentsPerYear,LoanAmount) + $E1330))), 0), 2)</f>
        <v>0</v>
      </c>
      <c r="G1330" s="5">
        <f t="shared" si="82"/>
        <v>0</v>
      </c>
      <c r="H1330" s="5">
        <f t="shared" si="83"/>
        <v>0</v>
      </c>
    </row>
    <row r="1331" spans="1:8" x14ac:dyDescent="0.2">
      <c r="A1331" s="2">
        <v>1330</v>
      </c>
      <c r="B1331" s="5">
        <f t="shared" si="80"/>
        <v>0</v>
      </c>
      <c r="C1331" s="5">
        <f t="shared" si="81"/>
        <v>0</v>
      </c>
      <c r="D1331" s="5">
        <f>IF(ExtraPayment=0, 0, IF(AND($B1331&lt;&gt;0,ExtraPayment&lt;=$B1331),-ExtraPayment,-($F1331)-$B1331))</f>
        <v>0</v>
      </c>
      <c r="E1331" s="5">
        <f>IF($B1331 &lt;= 0, 0, -ROUND($B1331 * (InterestRate / PaymentsPerYear), 2))</f>
        <v>0</v>
      </c>
      <c r="F1331" s="5">
        <f>ROUND(IFERROR(IF(OR($B1331 &lt;=0, $B1331 = ExtraPayment),0,
MAX(-$B1331, -(-PMT(InterestRate/PaymentsPerYear,LoanTerm*PaymentsPerYear,LoanAmount) + $E1331))), 0), 2)</f>
        <v>0</v>
      </c>
      <c r="G1331" s="5">
        <f t="shared" si="82"/>
        <v>0</v>
      </c>
      <c r="H1331" s="5">
        <f t="shared" si="83"/>
        <v>0</v>
      </c>
    </row>
    <row r="1332" spans="1:8" x14ac:dyDescent="0.2">
      <c r="A1332" s="2">
        <v>1331</v>
      </c>
      <c r="B1332" s="5">
        <f t="shared" si="80"/>
        <v>0</v>
      </c>
      <c r="C1332" s="5">
        <f t="shared" si="81"/>
        <v>0</v>
      </c>
      <c r="D1332" s="5">
        <f>IF(ExtraPayment=0, 0, IF(AND($B1332&lt;&gt;0,ExtraPayment&lt;=$B1332),-ExtraPayment,-($F1332)-$B1332))</f>
        <v>0</v>
      </c>
      <c r="E1332" s="5">
        <f>IF($B1332 &lt;= 0, 0, -ROUND($B1332 * (InterestRate / PaymentsPerYear), 2))</f>
        <v>0</v>
      </c>
      <c r="F1332" s="5">
        <f>ROUND(IFERROR(IF(OR($B1332 &lt;=0, $B1332 = ExtraPayment),0,
MAX(-$B1332, -(-PMT(InterestRate/PaymentsPerYear,LoanTerm*PaymentsPerYear,LoanAmount) + $E1332))), 0), 2)</f>
        <v>0</v>
      </c>
      <c r="G1332" s="5">
        <f t="shared" si="82"/>
        <v>0</v>
      </c>
      <c r="H1332" s="5">
        <f t="shared" si="83"/>
        <v>0</v>
      </c>
    </row>
    <row r="1333" spans="1:8" x14ac:dyDescent="0.2">
      <c r="A1333" s="2">
        <v>1332</v>
      </c>
      <c r="B1333" s="5">
        <f t="shared" si="80"/>
        <v>0</v>
      </c>
      <c r="C1333" s="5">
        <f t="shared" si="81"/>
        <v>0</v>
      </c>
      <c r="D1333" s="5">
        <f>IF(ExtraPayment=0, 0, IF(AND($B1333&lt;&gt;0,ExtraPayment&lt;=$B1333),-ExtraPayment,-($F1333)-$B1333))</f>
        <v>0</v>
      </c>
      <c r="E1333" s="5">
        <f>IF($B1333 &lt;= 0, 0, -ROUND($B1333 * (InterestRate / PaymentsPerYear), 2))</f>
        <v>0</v>
      </c>
      <c r="F1333" s="5">
        <f>ROUND(IFERROR(IF(OR($B1333 &lt;=0, $B1333 = ExtraPayment),0,
MAX(-$B1333, -(-PMT(InterestRate/PaymentsPerYear,LoanTerm*PaymentsPerYear,LoanAmount) + $E1333))), 0), 2)</f>
        <v>0</v>
      </c>
      <c r="G1333" s="5">
        <f t="shared" si="82"/>
        <v>0</v>
      </c>
      <c r="H1333" s="5">
        <f t="shared" si="83"/>
        <v>0</v>
      </c>
    </row>
    <row r="1334" spans="1:8" x14ac:dyDescent="0.2">
      <c r="A1334" s="2">
        <v>1333</v>
      </c>
      <c r="B1334" s="5">
        <f t="shared" si="80"/>
        <v>0</v>
      </c>
      <c r="C1334" s="5">
        <f t="shared" si="81"/>
        <v>0</v>
      </c>
      <c r="D1334" s="5">
        <f>IF(ExtraPayment=0, 0, IF(AND($B1334&lt;&gt;0,ExtraPayment&lt;=$B1334),-ExtraPayment,-($F1334)-$B1334))</f>
        <v>0</v>
      </c>
      <c r="E1334" s="5">
        <f>IF($B1334 &lt;= 0, 0, -ROUND($B1334 * (InterestRate / PaymentsPerYear), 2))</f>
        <v>0</v>
      </c>
      <c r="F1334" s="5">
        <f>ROUND(IFERROR(IF(OR($B1334 &lt;=0, $B1334 = ExtraPayment),0,
MAX(-$B1334, -(-PMT(InterestRate/PaymentsPerYear,LoanTerm*PaymentsPerYear,LoanAmount) + $E1334))), 0), 2)</f>
        <v>0</v>
      </c>
      <c r="G1334" s="5">
        <f t="shared" si="82"/>
        <v>0</v>
      </c>
      <c r="H1334" s="5">
        <f t="shared" si="83"/>
        <v>0</v>
      </c>
    </row>
    <row r="1335" spans="1:8" x14ac:dyDescent="0.2">
      <c r="A1335" s="2">
        <v>1334</v>
      </c>
      <c r="B1335" s="5">
        <f t="shared" si="80"/>
        <v>0</v>
      </c>
      <c r="C1335" s="5">
        <f t="shared" si="81"/>
        <v>0</v>
      </c>
      <c r="D1335" s="5">
        <f>IF(ExtraPayment=0, 0, IF(AND($B1335&lt;&gt;0,ExtraPayment&lt;=$B1335),-ExtraPayment,-($F1335)-$B1335))</f>
        <v>0</v>
      </c>
      <c r="E1335" s="5">
        <f>IF($B1335 &lt;= 0, 0, -ROUND($B1335 * (InterestRate / PaymentsPerYear), 2))</f>
        <v>0</v>
      </c>
      <c r="F1335" s="5">
        <f>ROUND(IFERROR(IF(OR($B1335 &lt;=0, $B1335 = ExtraPayment),0,
MAX(-$B1335, -(-PMT(InterestRate/PaymentsPerYear,LoanTerm*PaymentsPerYear,LoanAmount) + $E1335))), 0), 2)</f>
        <v>0</v>
      </c>
      <c r="G1335" s="5">
        <f t="shared" si="82"/>
        <v>0</v>
      </c>
      <c r="H1335" s="5">
        <f t="shared" si="83"/>
        <v>0</v>
      </c>
    </row>
    <row r="1336" spans="1:8" x14ac:dyDescent="0.2">
      <c r="A1336" s="2">
        <v>1335</v>
      </c>
      <c r="B1336" s="5">
        <f t="shared" si="80"/>
        <v>0</v>
      </c>
      <c r="C1336" s="5">
        <f t="shared" si="81"/>
        <v>0</v>
      </c>
      <c r="D1336" s="5">
        <f>IF(ExtraPayment=0, 0, IF(AND($B1336&lt;&gt;0,ExtraPayment&lt;=$B1336),-ExtraPayment,-($F1336)-$B1336))</f>
        <v>0</v>
      </c>
      <c r="E1336" s="5">
        <f>IF($B1336 &lt;= 0, 0, -ROUND($B1336 * (InterestRate / PaymentsPerYear), 2))</f>
        <v>0</v>
      </c>
      <c r="F1336" s="5">
        <f>ROUND(IFERROR(IF(OR($B1336 &lt;=0, $B1336 = ExtraPayment),0,
MAX(-$B1336, -(-PMT(InterestRate/PaymentsPerYear,LoanTerm*PaymentsPerYear,LoanAmount) + $E1336))), 0), 2)</f>
        <v>0</v>
      </c>
      <c r="G1336" s="5">
        <f t="shared" si="82"/>
        <v>0</v>
      </c>
      <c r="H1336" s="5">
        <f t="shared" si="83"/>
        <v>0</v>
      </c>
    </row>
    <row r="1337" spans="1:8" x14ac:dyDescent="0.2">
      <c r="A1337" s="2">
        <v>1336</v>
      </c>
      <c r="B1337" s="5">
        <f t="shared" si="80"/>
        <v>0</v>
      </c>
      <c r="C1337" s="5">
        <f t="shared" si="81"/>
        <v>0</v>
      </c>
      <c r="D1337" s="5">
        <f>IF(ExtraPayment=0, 0, IF(AND($B1337&lt;&gt;0,ExtraPayment&lt;=$B1337),-ExtraPayment,-($F1337)-$B1337))</f>
        <v>0</v>
      </c>
      <c r="E1337" s="5">
        <f>IF($B1337 &lt;= 0, 0, -ROUND($B1337 * (InterestRate / PaymentsPerYear), 2))</f>
        <v>0</v>
      </c>
      <c r="F1337" s="5">
        <f>ROUND(IFERROR(IF(OR($B1337 &lt;=0, $B1337 = ExtraPayment),0,
MAX(-$B1337, -(-PMT(InterestRate/PaymentsPerYear,LoanTerm*PaymentsPerYear,LoanAmount) + $E1337))), 0), 2)</f>
        <v>0</v>
      </c>
      <c r="G1337" s="5">
        <f t="shared" si="82"/>
        <v>0</v>
      </c>
      <c r="H1337" s="5">
        <f t="shared" si="83"/>
        <v>0</v>
      </c>
    </row>
    <row r="1338" spans="1:8" x14ac:dyDescent="0.2">
      <c r="A1338" s="2">
        <v>1337</v>
      </c>
      <c r="B1338" s="5">
        <f t="shared" si="80"/>
        <v>0</v>
      </c>
      <c r="C1338" s="5">
        <f t="shared" si="81"/>
        <v>0</v>
      </c>
      <c r="D1338" s="5">
        <f>IF(ExtraPayment=0, 0, IF(AND($B1338&lt;&gt;0,ExtraPayment&lt;=$B1338),-ExtraPayment,-($F1338)-$B1338))</f>
        <v>0</v>
      </c>
      <c r="E1338" s="5">
        <f>IF($B1338 &lt;= 0, 0, -ROUND($B1338 * (InterestRate / PaymentsPerYear), 2))</f>
        <v>0</v>
      </c>
      <c r="F1338" s="5">
        <f>ROUND(IFERROR(IF(OR($B1338 &lt;=0, $B1338 = ExtraPayment),0,
MAX(-$B1338, -(-PMT(InterestRate/PaymentsPerYear,LoanTerm*PaymentsPerYear,LoanAmount) + $E1338))), 0), 2)</f>
        <v>0</v>
      </c>
      <c r="G1338" s="5">
        <f t="shared" si="82"/>
        <v>0</v>
      </c>
      <c r="H1338" s="5">
        <f t="shared" si="83"/>
        <v>0</v>
      </c>
    </row>
    <row r="1339" spans="1:8" x14ac:dyDescent="0.2">
      <c r="A1339" s="2">
        <v>1338</v>
      </c>
      <c r="B1339" s="5">
        <f t="shared" si="80"/>
        <v>0</v>
      </c>
      <c r="C1339" s="5">
        <f t="shared" si="81"/>
        <v>0</v>
      </c>
      <c r="D1339" s="5">
        <f>IF(ExtraPayment=0, 0, IF(AND($B1339&lt;&gt;0,ExtraPayment&lt;=$B1339),-ExtraPayment,-($F1339)-$B1339))</f>
        <v>0</v>
      </c>
      <c r="E1339" s="5">
        <f>IF($B1339 &lt;= 0, 0, -ROUND($B1339 * (InterestRate / PaymentsPerYear), 2))</f>
        <v>0</v>
      </c>
      <c r="F1339" s="5">
        <f>ROUND(IFERROR(IF(OR($B1339 &lt;=0, $B1339 = ExtraPayment),0,
MAX(-$B1339, -(-PMT(InterestRate/PaymentsPerYear,LoanTerm*PaymentsPerYear,LoanAmount) + $E1339))), 0), 2)</f>
        <v>0</v>
      </c>
      <c r="G1339" s="5">
        <f t="shared" si="82"/>
        <v>0</v>
      </c>
      <c r="H1339" s="5">
        <f t="shared" si="83"/>
        <v>0</v>
      </c>
    </row>
    <row r="1340" spans="1:8" x14ac:dyDescent="0.2">
      <c r="A1340" s="2">
        <v>1339</v>
      </c>
      <c r="B1340" s="5">
        <f t="shared" si="80"/>
        <v>0</v>
      </c>
      <c r="C1340" s="5">
        <f t="shared" si="81"/>
        <v>0</v>
      </c>
      <c r="D1340" s="5">
        <f>IF(ExtraPayment=0, 0, IF(AND($B1340&lt;&gt;0,ExtraPayment&lt;=$B1340),-ExtraPayment,-($F1340)-$B1340))</f>
        <v>0</v>
      </c>
      <c r="E1340" s="5">
        <f>IF($B1340 &lt;= 0, 0, -ROUND($B1340 * (InterestRate / PaymentsPerYear), 2))</f>
        <v>0</v>
      </c>
      <c r="F1340" s="5">
        <f>ROUND(IFERROR(IF(OR($B1340 &lt;=0, $B1340 = ExtraPayment),0,
MAX(-$B1340, -(-PMT(InterestRate/PaymentsPerYear,LoanTerm*PaymentsPerYear,LoanAmount) + $E1340))), 0), 2)</f>
        <v>0</v>
      </c>
      <c r="G1340" s="5">
        <f t="shared" si="82"/>
        <v>0</v>
      </c>
      <c r="H1340" s="5">
        <f t="shared" si="83"/>
        <v>0</v>
      </c>
    </row>
    <row r="1341" spans="1:8" x14ac:dyDescent="0.2">
      <c r="A1341" s="2">
        <v>1340</v>
      </c>
      <c r="B1341" s="5">
        <f t="shared" si="80"/>
        <v>0</v>
      </c>
      <c r="C1341" s="5">
        <f t="shared" si="81"/>
        <v>0</v>
      </c>
      <c r="D1341" s="5">
        <f>IF(ExtraPayment=0, 0, IF(AND($B1341&lt;&gt;0,ExtraPayment&lt;=$B1341),-ExtraPayment,-($F1341)-$B1341))</f>
        <v>0</v>
      </c>
      <c r="E1341" s="5">
        <f>IF($B1341 &lt;= 0, 0, -ROUND($B1341 * (InterestRate / PaymentsPerYear), 2))</f>
        <v>0</v>
      </c>
      <c r="F1341" s="5">
        <f>ROUND(IFERROR(IF(OR($B1341 &lt;=0, $B1341 = ExtraPayment),0,
MAX(-$B1341, -(-PMT(InterestRate/PaymentsPerYear,LoanTerm*PaymentsPerYear,LoanAmount) + $E1341))), 0), 2)</f>
        <v>0</v>
      </c>
      <c r="G1341" s="5">
        <f t="shared" si="82"/>
        <v>0</v>
      </c>
      <c r="H1341" s="5">
        <f t="shared" si="83"/>
        <v>0</v>
      </c>
    </row>
    <row r="1342" spans="1:8" x14ac:dyDescent="0.2">
      <c r="A1342" s="2">
        <v>1341</v>
      </c>
      <c r="B1342" s="5">
        <f t="shared" si="80"/>
        <v>0</v>
      </c>
      <c r="C1342" s="5">
        <f t="shared" si="81"/>
        <v>0</v>
      </c>
      <c r="D1342" s="5">
        <f>IF(ExtraPayment=0, 0, IF(AND($B1342&lt;&gt;0,ExtraPayment&lt;=$B1342),-ExtraPayment,-($F1342)-$B1342))</f>
        <v>0</v>
      </c>
      <c r="E1342" s="5">
        <f>IF($B1342 &lt;= 0, 0, -ROUND($B1342 * (InterestRate / PaymentsPerYear), 2))</f>
        <v>0</v>
      </c>
      <c r="F1342" s="5">
        <f>ROUND(IFERROR(IF(OR($B1342 &lt;=0, $B1342 = ExtraPayment),0,
MAX(-$B1342, -(-PMT(InterestRate/PaymentsPerYear,LoanTerm*PaymentsPerYear,LoanAmount) + $E1342))), 0), 2)</f>
        <v>0</v>
      </c>
      <c r="G1342" s="5">
        <f t="shared" si="82"/>
        <v>0</v>
      </c>
      <c r="H1342" s="5">
        <f t="shared" si="83"/>
        <v>0</v>
      </c>
    </row>
    <row r="1343" spans="1:8" x14ac:dyDescent="0.2">
      <c r="A1343" s="2">
        <v>1342</v>
      </c>
      <c r="B1343" s="5">
        <f t="shared" si="80"/>
        <v>0</v>
      </c>
      <c r="C1343" s="5">
        <f t="shared" si="81"/>
        <v>0</v>
      </c>
      <c r="D1343" s="5">
        <f>IF(ExtraPayment=0, 0, IF(AND($B1343&lt;&gt;0,ExtraPayment&lt;=$B1343),-ExtraPayment,-($F1343)-$B1343))</f>
        <v>0</v>
      </c>
      <c r="E1343" s="5">
        <f>IF($B1343 &lt;= 0, 0, -ROUND($B1343 * (InterestRate / PaymentsPerYear), 2))</f>
        <v>0</v>
      </c>
      <c r="F1343" s="5">
        <f>ROUND(IFERROR(IF(OR($B1343 &lt;=0, $B1343 = ExtraPayment),0,
MAX(-$B1343, -(-PMT(InterestRate/PaymentsPerYear,LoanTerm*PaymentsPerYear,LoanAmount) + $E1343))), 0), 2)</f>
        <v>0</v>
      </c>
      <c r="G1343" s="5">
        <f t="shared" si="82"/>
        <v>0</v>
      </c>
      <c r="H1343" s="5">
        <f t="shared" si="83"/>
        <v>0</v>
      </c>
    </row>
    <row r="1344" spans="1:8" x14ac:dyDescent="0.2">
      <c r="A1344" s="2">
        <v>1343</v>
      </c>
      <c r="B1344" s="5">
        <f t="shared" si="80"/>
        <v>0</v>
      </c>
      <c r="C1344" s="5">
        <f t="shared" si="81"/>
        <v>0</v>
      </c>
      <c r="D1344" s="5">
        <f>IF(ExtraPayment=0, 0, IF(AND($B1344&lt;&gt;0,ExtraPayment&lt;=$B1344),-ExtraPayment,-($F1344)-$B1344))</f>
        <v>0</v>
      </c>
      <c r="E1344" s="5">
        <f>IF($B1344 &lt;= 0, 0, -ROUND($B1344 * (InterestRate / PaymentsPerYear), 2))</f>
        <v>0</v>
      </c>
      <c r="F1344" s="5">
        <f>ROUND(IFERROR(IF(OR($B1344 &lt;=0, $B1344 = ExtraPayment),0,
MAX(-$B1344, -(-PMT(InterestRate/PaymentsPerYear,LoanTerm*PaymentsPerYear,LoanAmount) + $E1344))), 0), 2)</f>
        <v>0</v>
      </c>
      <c r="G1344" s="5">
        <f t="shared" si="82"/>
        <v>0</v>
      </c>
      <c r="H1344" s="5">
        <f t="shared" si="83"/>
        <v>0</v>
      </c>
    </row>
    <row r="1345" spans="1:8" x14ac:dyDescent="0.2">
      <c r="A1345" s="2">
        <v>1344</v>
      </c>
      <c r="B1345" s="5">
        <f t="shared" si="80"/>
        <v>0</v>
      </c>
      <c r="C1345" s="5">
        <f t="shared" si="81"/>
        <v>0</v>
      </c>
      <c r="D1345" s="5">
        <f>IF(ExtraPayment=0, 0, IF(AND($B1345&lt;&gt;0,ExtraPayment&lt;=$B1345),-ExtraPayment,-($F1345)-$B1345))</f>
        <v>0</v>
      </c>
      <c r="E1345" s="5">
        <f>IF($B1345 &lt;= 0, 0, -ROUND($B1345 * (InterestRate / PaymentsPerYear), 2))</f>
        <v>0</v>
      </c>
      <c r="F1345" s="5">
        <f>ROUND(IFERROR(IF(OR($B1345 &lt;=0, $B1345 = ExtraPayment),0,
MAX(-$B1345, -(-PMT(InterestRate/PaymentsPerYear,LoanTerm*PaymentsPerYear,LoanAmount) + $E1345))), 0), 2)</f>
        <v>0</v>
      </c>
      <c r="G1345" s="5">
        <f t="shared" si="82"/>
        <v>0</v>
      </c>
      <c r="H1345" s="5">
        <f t="shared" si="83"/>
        <v>0</v>
      </c>
    </row>
    <row r="1346" spans="1:8" x14ac:dyDescent="0.2">
      <c r="A1346" s="2">
        <v>1345</v>
      </c>
      <c r="B1346" s="5">
        <f t="shared" si="80"/>
        <v>0</v>
      </c>
      <c r="C1346" s="5">
        <f t="shared" si="81"/>
        <v>0</v>
      </c>
      <c r="D1346" s="5">
        <f>IF(ExtraPayment=0, 0, IF(AND($B1346&lt;&gt;0,ExtraPayment&lt;=$B1346),-ExtraPayment,-($F1346)-$B1346))</f>
        <v>0</v>
      </c>
      <c r="E1346" s="5">
        <f>IF($B1346 &lt;= 0, 0, -ROUND($B1346 * (InterestRate / PaymentsPerYear), 2))</f>
        <v>0</v>
      </c>
      <c r="F1346" s="5">
        <f>ROUND(IFERROR(IF(OR($B1346 &lt;=0, $B1346 = ExtraPayment),0,
MAX(-$B1346, -(-PMT(InterestRate/PaymentsPerYear,LoanTerm*PaymentsPerYear,LoanAmount) + $E1346))), 0), 2)</f>
        <v>0</v>
      </c>
      <c r="G1346" s="5">
        <f t="shared" si="82"/>
        <v>0</v>
      </c>
      <c r="H1346" s="5">
        <f t="shared" si="83"/>
        <v>0</v>
      </c>
    </row>
    <row r="1347" spans="1:8" x14ac:dyDescent="0.2">
      <c r="A1347" s="2">
        <v>1346</v>
      </c>
      <c r="B1347" s="5">
        <f t="shared" si="80"/>
        <v>0</v>
      </c>
      <c r="C1347" s="5">
        <f t="shared" si="81"/>
        <v>0</v>
      </c>
      <c r="D1347" s="5">
        <f>IF(ExtraPayment=0, 0, IF(AND($B1347&lt;&gt;0,ExtraPayment&lt;=$B1347),-ExtraPayment,-($F1347)-$B1347))</f>
        <v>0</v>
      </c>
      <c r="E1347" s="5">
        <f>IF($B1347 &lt;= 0, 0, -ROUND($B1347 * (InterestRate / PaymentsPerYear), 2))</f>
        <v>0</v>
      </c>
      <c r="F1347" s="5">
        <f>ROUND(IFERROR(IF(OR($B1347 &lt;=0, $B1347 = ExtraPayment),0,
MAX(-$B1347, -(-PMT(InterestRate/PaymentsPerYear,LoanTerm*PaymentsPerYear,LoanAmount) + $E1347))), 0), 2)</f>
        <v>0</v>
      </c>
      <c r="G1347" s="5">
        <f t="shared" si="82"/>
        <v>0</v>
      </c>
      <c r="H1347" s="5">
        <f t="shared" si="83"/>
        <v>0</v>
      </c>
    </row>
    <row r="1348" spans="1:8" x14ac:dyDescent="0.2">
      <c r="A1348" s="2">
        <v>1347</v>
      </c>
      <c r="B1348" s="5">
        <f t="shared" ref="B1348:B1411" si="84">ROUND(IF($H1347 &gt;= 0, MAX($H1347, $F1347), 0), 2)</f>
        <v>0</v>
      </c>
      <c r="C1348" s="5">
        <f t="shared" ref="C1348:C1411" si="85">IF($B1348 &lt;= 0, 0, $D1348+$E1348+$F1348)</f>
        <v>0</v>
      </c>
      <c r="D1348" s="5">
        <f>IF(ExtraPayment=0, 0, IF(AND($B1348&lt;&gt;0,ExtraPayment&lt;=$B1348),-ExtraPayment,-($F1348)-$B1348))</f>
        <v>0</v>
      </c>
      <c r="E1348" s="5">
        <f>IF($B1348 &lt;= 0, 0, -ROUND($B1348 * (InterestRate / PaymentsPerYear), 2))</f>
        <v>0</v>
      </c>
      <c r="F1348" s="5">
        <f>ROUND(IFERROR(IF(OR($B1348 &lt;=0, $B1348 = ExtraPayment),0,
MAX(-$B1348, -(-PMT(InterestRate/PaymentsPerYear,LoanTerm*PaymentsPerYear,LoanAmount) + $E1348))), 0), 2)</f>
        <v>0</v>
      </c>
      <c r="G1348" s="5">
        <f t="shared" ref="G1348:G1411" si="86">$D1348+$F1348</f>
        <v>0</v>
      </c>
      <c r="H1348" s="5">
        <f t="shared" ref="H1348:H1411" si="87">ROUND(IF($B1348 &lt;= 0, 0,MAX(0, $B1348 + $G1348)), 2)</f>
        <v>0</v>
      </c>
    </row>
    <row r="1349" spans="1:8" x14ac:dyDescent="0.2">
      <c r="A1349" s="2">
        <v>1348</v>
      </c>
      <c r="B1349" s="5">
        <f t="shared" si="84"/>
        <v>0</v>
      </c>
      <c r="C1349" s="5">
        <f t="shared" si="85"/>
        <v>0</v>
      </c>
      <c r="D1349" s="5">
        <f>IF(ExtraPayment=0, 0, IF(AND($B1349&lt;&gt;0,ExtraPayment&lt;=$B1349),-ExtraPayment,-($F1349)-$B1349))</f>
        <v>0</v>
      </c>
      <c r="E1349" s="5">
        <f>IF($B1349 &lt;= 0, 0, -ROUND($B1349 * (InterestRate / PaymentsPerYear), 2))</f>
        <v>0</v>
      </c>
      <c r="F1349" s="5">
        <f>ROUND(IFERROR(IF(OR($B1349 &lt;=0, $B1349 = ExtraPayment),0,
MAX(-$B1349, -(-PMT(InterestRate/PaymentsPerYear,LoanTerm*PaymentsPerYear,LoanAmount) + $E1349))), 0), 2)</f>
        <v>0</v>
      </c>
      <c r="G1349" s="5">
        <f t="shared" si="86"/>
        <v>0</v>
      </c>
      <c r="H1349" s="5">
        <f t="shared" si="87"/>
        <v>0</v>
      </c>
    </row>
    <row r="1350" spans="1:8" x14ac:dyDescent="0.2">
      <c r="A1350" s="2">
        <v>1349</v>
      </c>
      <c r="B1350" s="5">
        <f t="shared" si="84"/>
        <v>0</v>
      </c>
      <c r="C1350" s="5">
        <f t="shared" si="85"/>
        <v>0</v>
      </c>
      <c r="D1350" s="5">
        <f>IF(ExtraPayment=0, 0, IF(AND($B1350&lt;&gt;0,ExtraPayment&lt;=$B1350),-ExtraPayment,-($F1350)-$B1350))</f>
        <v>0</v>
      </c>
      <c r="E1350" s="5">
        <f>IF($B1350 &lt;= 0, 0, -ROUND($B1350 * (InterestRate / PaymentsPerYear), 2))</f>
        <v>0</v>
      </c>
      <c r="F1350" s="5">
        <f>ROUND(IFERROR(IF(OR($B1350 &lt;=0, $B1350 = ExtraPayment),0,
MAX(-$B1350, -(-PMT(InterestRate/PaymentsPerYear,LoanTerm*PaymentsPerYear,LoanAmount) + $E1350))), 0), 2)</f>
        <v>0</v>
      </c>
      <c r="G1350" s="5">
        <f t="shared" si="86"/>
        <v>0</v>
      </c>
      <c r="H1350" s="5">
        <f t="shared" si="87"/>
        <v>0</v>
      </c>
    </row>
    <row r="1351" spans="1:8" x14ac:dyDescent="0.2">
      <c r="A1351" s="2">
        <v>1350</v>
      </c>
      <c r="B1351" s="5">
        <f t="shared" si="84"/>
        <v>0</v>
      </c>
      <c r="C1351" s="5">
        <f t="shared" si="85"/>
        <v>0</v>
      </c>
      <c r="D1351" s="5">
        <f>IF(ExtraPayment=0, 0, IF(AND($B1351&lt;&gt;0,ExtraPayment&lt;=$B1351),-ExtraPayment,-($F1351)-$B1351))</f>
        <v>0</v>
      </c>
      <c r="E1351" s="5">
        <f>IF($B1351 &lt;= 0, 0, -ROUND($B1351 * (InterestRate / PaymentsPerYear), 2))</f>
        <v>0</v>
      </c>
      <c r="F1351" s="5">
        <f>ROUND(IFERROR(IF(OR($B1351 &lt;=0, $B1351 = ExtraPayment),0,
MAX(-$B1351, -(-PMT(InterestRate/PaymentsPerYear,LoanTerm*PaymentsPerYear,LoanAmount) + $E1351))), 0), 2)</f>
        <v>0</v>
      </c>
      <c r="G1351" s="5">
        <f t="shared" si="86"/>
        <v>0</v>
      </c>
      <c r="H1351" s="5">
        <f t="shared" si="87"/>
        <v>0</v>
      </c>
    </row>
    <row r="1352" spans="1:8" x14ac:dyDescent="0.2">
      <c r="A1352" s="2">
        <v>1351</v>
      </c>
      <c r="B1352" s="5">
        <f t="shared" si="84"/>
        <v>0</v>
      </c>
      <c r="C1352" s="5">
        <f t="shared" si="85"/>
        <v>0</v>
      </c>
      <c r="D1352" s="5">
        <f>IF(ExtraPayment=0, 0, IF(AND($B1352&lt;&gt;0,ExtraPayment&lt;=$B1352),-ExtraPayment,-($F1352)-$B1352))</f>
        <v>0</v>
      </c>
      <c r="E1352" s="5">
        <f>IF($B1352 &lt;= 0, 0, -ROUND($B1352 * (InterestRate / PaymentsPerYear), 2))</f>
        <v>0</v>
      </c>
      <c r="F1352" s="5">
        <f>ROUND(IFERROR(IF(OR($B1352 &lt;=0, $B1352 = ExtraPayment),0,
MAX(-$B1352, -(-PMT(InterestRate/PaymentsPerYear,LoanTerm*PaymentsPerYear,LoanAmount) + $E1352))), 0), 2)</f>
        <v>0</v>
      </c>
      <c r="G1352" s="5">
        <f t="shared" si="86"/>
        <v>0</v>
      </c>
      <c r="H1352" s="5">
        <f t="shared" si="87"/>
        <v>0</v>
      </c>
    </row>
    <row r="1353" spans="1:8" x14ac:dyDescent="0.2">
      <c r="A1353" s="2">
        <v>1352</v>
      </c>
      <c r="B1353" s="5">
        <f t="shared" si="84"/>
        <v>0</v>
      </c>
      <c r="C1353" s="5">
        <f t="shared" si="85"/>
        <v>0</v>
      </c>
      <c r="D1353" s="5">
        <f>IF(ExtraPayment=0, 0, IF(AND($B1353&lt;&gt;0,ExtraPayment&lt;=$B1353),-ExtraPayment,-($F1353)-$B1353))</f>
        <v>0</v>
      </c>
      <c r="E1353" s="5">
        <f>IF($B1353 &lt;= 0, 0, -ROUND($B1353 * (InterestRate / PaymentsPerYear), 2))</f>
        <v>0</v>
      </c>
      <c r="F1353" s="5">
        <f>ROUND(IFERROR(IF(OR($B1353 &lt;=0, $B1353 = ExtraPayment),0,
MAX(-$B1353, -(-PMT(InterestRate/PaymentsPerYear,LoanTerm*PaymentsPerYear,LoanAmount) + $E1353))), 0), 2)</f>
        <v>0</v>
      </c>
      <c r="G1353" s="5">
        <f t="shared" si="86"/>
        <v>0</v>
      </c>
      <c r="H1353" s="5">
        <f t="shared" si="87"/>
        <v>0</v>
      </c>
    </row>
    <row r="1354" spans="1:8" x14ac:dyDescent="0.2">
      <c r="A1354" s="2">
        <v>1353</v>
      </c>
      <c r="B1354" s="5">
        <f t="shared" si="84"/>
        <v>0</v>
      </c>
      <c r="C1354" s="5">
        <f t="shared" si="85"/>
        <v>0</v>
      </c>
      <c r="D1354" s="5">
        <f>IF(ExtraPayment=0, 0, IF(AND($B1354&lt;&gt;0,ExtraPayment&lt;=$B1354),-ExtraPayment,-($F1354)-$B1354))</f>
        <v>0</v>
      </c>
      <c r="E1354" s="5">
        <f>IF($B1354 &lt;= 0, 0, -ROUND($B1354 * (InterestRate / PaymentsPerYear), 2))</f>
        <v>0</v>
      </c>
      <c r="F1354" s="5">
        <f>ROUND(IFERROR(IF(OR($B1354 &lt;=0, $B1354 = ExtraPayment),0,
MAX(-$B1354, -(-PMT(InterestRate/PaymentsPerYear,LoanTerm*PaymentsPerYear,LoanAmount) + $E1354))), 0), 2)</f>
        <v>0</v>
      </c>
      <c r="G1354" s="5">
        <f t="shared" si="86"/>
        <v>0</v>
      </c>
      <c r="H1354" s="5">
        <f t="shared" si="87"/>
        <v>0</v>
      </c>
    </row>
    <row r="1355" spans="1:8" x14ac:dyDescent="0.2">
      <c r="A1355" s="2">
        <v>1354</v>
      </c>
      <c r="B1355" s="5">
        <f t="shared" si="84"/>
        <v>0</v>
      </c>
      <c r="C1355" s="5">
        <f t="shared" si="85"/>
        <v>0</v>
      </c>
      <c r="D1355" s="5">
        <f>IF(ExtraPayment=0, 0, IF(AND($B1355&lt;&gt;0,ExtraPayment&lt;=$B1355),-ExtraPayment,-($F1355)-$B1355))</f>
        <v>0</v>
      </c>
      <c r="E1355" s="5">
        <f>IF($B1355 &lt;= 0, 0, -ROUND($B1355 * (InterestRate / PaymentsPerYear), 2))</f>
        <v>0</v>
      </c>
      <c r="F1355" s="5">
        <f>ROUND(IFERROR(IF(OR($B1355 &lt;=0, $B1355 = ExtraPayment),0,
MAX(-$B1355, -(-PMT(InterestRate/PaymentsPerYear,LoanTerm*PaymentsPerYear,LoanAmount) + $E1355))), 0), 2)</f>
        <v>0</v>
      </c>
      <c r="G1355" s="5">
        <f t="shared" si="86"/>
        <v>0</v>
      </c>
      <c r="H1355" s="5">
        <f t="shared" si="87"/>
        <v>0</v>
      </c>
    </row>
    <row r="1356" spans="1:8" x14ac:dyDescent="0.2">
      <c r="A1356" s="2">
        <v>1355</v>
      </c>
      <c r="B1356" s="5">
        <f t="shared" si="84"/>
        <v>0</v>
      </c>
      <c r="C1356" s="5">
        <f t="shared" si="85"/>
        <v>0</v>
      </c>
      <c r="D1356" s="5">
        <f>IF(ExtraPayment=0, 0, IF(AND($B1356&lt;&gt;0,ExtraPayment&lt;=$B1356),-ExtraPayment,-($F1356)-$B1356))</f>
        <v>0</v>
      </c>
      <c r="E1356" s="5">
        <f>IF($B1356 &lt;= 0, 0, -ROUND($B1356 * (InterestRate / PaymentsPerYear), 2))</f>
        <v>0</v>
      </c>
      <c r="F1356" s="5">
        <f>ROUND(IFERROR(IF(OR($B1356 &lt;=0, $B1356 = ExtraPayment),0,
MAX(-$B1356, -(-PMT(InterestRate/PaymentsPerYear,LoanTerm*PaymentsPerYear,LoanAmount) + $E1356))), 0), 2)</f>
        <v>0</v>
      </c>
      <c r="G1356" s="5">
        <f t="shared" si="86"/>
        <v>0</v>
      </c>
      <c r="H1356" s="5">
        <f t="shared" si="87"/>
        <v>0</v>
      </c>
    </row>
    <row r="1357" spans="1:8" x14ac:dyDescent="0.2">
      <c r="A1357" s="2">
        <v>1356</v>
      </c>
      <c r="B1357" s="5">
        <f t="shared" si="84"/>
        <v>0</v>
      </c>
      <c r="C1357" s="5">
        <f t="shared" si="85"/>
        <v>0</v>
      </c>
      <c r="D1357" s="5">
        <f>IF(ExtraPayment=0, 0, IF(AND($B1357&lt;&gt;0,ExtraPayment&lt;=$B1357),-ExtraPayment,-($F1357)-$B1357))</f>
        <v>0</v>
      </c>
      <c r="E1357" s="5">
        <f>IF($B1357 &lt;= 0, 0, -ROUND($B1357 * (InterestRate / PaymentsPerYear), 2))</f>
        <v>0</v>
      </c>
      <c r="F1357" s="5">
        <f>ROUND(IFERROR(IF(OR($B1357 &lt;=0, $B1357 = ExtraPayment),0,
MAX(-$B1357, -(-PMT(InterestRate/PaymentsPerYear,LoanTerm*PaymentsPerYear,LoanAmount) + $E1357))), 0), 2)</f>
        <v>0</v>
      </c>
      <c r="G1357" s="5">
        <f t="shared" si="86"/>
        <v>0</v>
      </c>
      <c r="H1357" s="5">
        <f t="shared" si="87"/>
        <v>0</v>
      </c>
    </row>
    <row r="1358" spans="1:8" x14ac:dyDescent="0.2">
      <c r="A1358" s="2">
        <v>1357</v>
      </c>
      <c r="B1358" s="5">
        <f t="shared" si="84"/>
        <v>0</v>
      </c>
      <c r="C1358" s="5">
        <f t="shared" si="85"/>
        <v>0</v>
      </c>
      <c r="D1358" s="5">
        <f>IF(ExtraPayment=0, 0, IF(AND($B1358&lt;&gt;0,ExtraPayment&lt;=$B1358),-ExtraPayment,-($F1358)-$B1358))</f>
        <v>0</v>
      </c>
      <c r="E1358" s="5">
        <f>IF($B1358 &lt;= 0, 0, -ROUND($B1358 * (InterestRate / PaymentsPerYear), 2))</f>
        <v>0</v>
      </c>
      <c r="F1358" s="5">
        <f>ROUND(IFERROR(IF(OR($B1358 &lt;=0, $B1358 = ExtraPayment),0,
MAX(-$B1358, -(-PMT(InterestRate/PaymentsPerYear,LoanTerm*PaymentsPerYear,LoanAmount) + $E1358))), 0), 2)</f>
        <v>0</v>
      </c>
      <c r="G1358" s="5">
        <f t="shared" si="86"/>
        <v>0</v>
      </c>
      <c r="H1358" s="5">
        <f t="shared" si="87"/>
        <v>0</v>
      </c>
    </row>
    <row r="1359" spans="1:8" x14ac:dyDescent="0.2">
      <c r="A1359" s="2">
        <v>1358</v>
      </c>
      <c r="B1359" s="5">
        <f t="shared" si="84"/>
        <v>0</v>
      </c>
      <c r="C1359" s="5">
        <f t="shared" si="85"/>
        <v>0</v>
      </c>
      <c r="D1359" s="5">
        <f>IF(ExtraPayment=0, 0, IF(AND($B1359&lt;&gt;0,ExtraPayment&lt;=$B1359),-ExtraPayment,-($F1359)-$B1359))</f>
        <v>0</v>
      </c>
      <c r="E1359" s="5">
        <f>IF($B1359 &lt;= 0, 0, -ROUND($B1359 * (InterestRate / PaymentsPerYear), 2))</f>
        <v>0</v>
      </c>
      <c r="F1359" s="5">
        <f>ROUND(IFERROR(IF(OR($B1359 &lt;=0, $B1359 = ExtraPayment),0,
MAX(-$B1359, -(-PMT(InterestRate/PaymentsPerYear,LoanTerm*PaymentsPerYear,LoanAmount) + $E1359))), 0), 2)</f>
        <v>0</v>
      </c>
      <c r="G1359" s="5">
        <f t="shared" si="86"/>
        <v>0</v>
      </c>
      <c r="H1359" s="5">
        <f t="shared" si="87"/>
        <v>0</v>
      </c>
    </row>
    <row r="1360" spans="1:8" x14ac:dyDescent="0.2">
      <c r="A1360" s="2">
        <v>1359</v>
      </c>
      <c r="B1360" s="5">
        <f t="shared" si="84"/>
        <v>0</v>
      </c>
      <c r="C1360" s="5">
        <f t="shared" si="85"/>
        <v>0</v>
      </c>
      <c r="D1360" s="5">
        <f>IF(ExtraPayment=0, 0, IF(AND($B1360&lt;&gt;0,ExtraPayment&lt;=$B1360),-ExtraPayment,-($F1360)-$B1360))</f>
        <v>0</v>
      </c>
      <c r="E1360" s="5">
        <f>IF($B1360 &lt;= 0, 0, -ROUND($B1360 * (InterestRate / PaymentsPerYear), 2))</f>
        <v>0</v>
      </c>
      <c r="F1360" s="5">
        <f>ROUND(IFERROR(IF(OR($B1360 &lt;=0, $B1360 = ExtraPayment),0,
MAX(-$B1360, -(-PMT(InterestRate/PaymentsPerYear,LoanTerm*PaymentsPerYear,LoanAmount) + $E1360))), 0), 2)</f>
        <v>0</v>
      </c>
      <c r="G1360" s="5">
        <f t="shared" si="86"/>
        <v>0</v>
      </c>
      <c r="H1360" s="5">
        <f t="shared" si="87"/>
        <v>0</v>
      </c>
    </row>
    <row r="1361" spans="1:8" x14ac:dyDescent="0.2">
      <c r="A1361" s="2">
        <v>1360</v>
      </c>
      <c r="B1361" s="5">
        <f t="shared" si="84"/>
        <v>0</v>
      </c>
      <c r="C1361" s="5">
        <f t="shared" si="85"/>
        <v>0</v>
      </c>
      <c r="D1361" s="5">
        <f>IF(ExtraPayment=0, 0, IF(AND($B1361&lt;&gt;0,ExtraPayment&lt;=$B1361),-ExtraPayment,-($F1361)-$B1361))</f>
        <v>0</v>
      </c>
      <c r="E1361" s="5">
        <f>IF($B1361 &lt;= 0, 0, -ROUND($B1361 * (InterestRate / PaymentsPerYear), 2))</f>
        <v>0</v>
      </c>
      <c r="F1361" s="5">
        <f>ROUND(IFERROR(IF(OR($B1361 &lt;=0, $B1361 = ExtraPayment),0,
MAX(-$B1361, -(-PMT(InterestRate/PaymentsPerYear,LoanTerm*PaymentsPerYear,LoanAmount) + $E1361))), 0), 2)</f>
        <v>0</v>
      </c>
      <c r="G1361" s="5">
        <f t="shared" si="86"/>
        <v>0</v>
      </c>
      <c r="H1361" s="5">
        <f t="shared" si="87"/>
        <v>0</v>
      </c>
    </row>
    <row r="1362" spans="1:8" x14ac:dyDescent="0.2">
      <c r="A1362" s="2">
        <v>1361</v>
      </c>
      <c r="B1362" s="5">
        <f t="shared" si="84"/>
        <v>0</v>
      </c>
      <c r="C1362" s="5">
        <f t="shared" si="85"/>
        <v>0</v>
      </c>
      <c r="D1362" s="5">
        <f>IF(ExtraPayment=0, 0, IF(AND($B1362&lt;&gt;0,ExtraPayment&lt;=$B1362),-ExtraPayment,-($F1362)-$B1362))</f>
        <v>0</v>
      </c>
      <c r="E1362" s="5">
        <f>IF($B1362 &lt;= 0, 0, -ROUND($B1362 * (InterestRate / PaymentsPerYear), 2))</f>
        <v>0</v>
      </c>
      <c r="F1362" s="5">
        <f>ROUND(IFERROR(IF(OR($B1362 &lt;=0, $B1362 = ExtraPayment),0,
MAX(-$B1362, -(-PMT(InterestRate/PaymentsPerYear,LoanTerm*PaymentsPerYear,LoanAmount) + $E1362))), 0), 2)</f>
        <v>0</v>
      </c>
      <c r="G1362" s="5">
        <f t="shared" si="86"/>
        <v>0</v>
      </c>
      <c r="H1362" s="5">
        <f t="shared" si="87"/>
        <v>0</v>
      </c>
    </row>
    <row r="1363" spans="1:8" x14ac:dyDescent="0.2">
      <c r="A1363" s="2">
        <v>1362</v>
      </c>
      <c r="B1363" s="5">
        <f t="shared" si="84"/>
        <v>0</v>
      </c>
      <c r="C1363" s="5">
        <f t="shared" si="85"/>
        <v>0</v>
      </c>
      <c r="D1363" s="5">
        <f>IF(ExtraPayment=0, 0, IF(AND($B1363&lt;&gt;0,ExtraPayment&lt;=$B1363),-ExtraPayment,-($F1363)-$B1363))</f>
        <v>0</v>
      </c>
      <c r="E1363" s="5">
        <f>IF($B1363 &lt;= 0, 0, -ROUND($B1363 * (InterestRate / PaymentsPerYear), 2))</f>
        <v>0</v>
      </c>
      <c r="F1363" s="5">
        <f>ROUND(IFERROR(IF(OR($B1363 &lt;=0, $B1363 = ExtraPayment),0,
MAX(-$B1363, -(-PMT(InterestRate/PaymentsPerYear,LoanTerm*PaymentsPerYear,LoanAmount) + $E1363))), 0), 2)</f>
        <v>0</v>
      </c>
      <c r="G1363" s="5">
        <f t="shared" si="86"/>
        <v>0</v>
      </c>
      <c r="H1363" s="5">
        <f t="shared" si="87"/>
        <v>0</v>
      </c>
    </row>
    <row r="1364" spans="1:8" x14ac:dyDescent="0.2">
      <c r="A1364" s="2">
        <v>1363</v>
      </c>
      <c r="B1364" s="5">
        <f t="shared" si="84"/>
        <v>0</v>
      </c>
      <c r="C1364" s="5">
        <f t="shared" si="85"/>
        <v>0</v>
      </c>
      <c r="D1364" s="5">
        <f>IF(ExtraPayment=0, 0, IF(AND($B1364&lt;&gt;0,ExtraPayment&lt;=$B1364),-ExtraPayment,-($F1364)-$B1364))</f>
        <v>0</v>
      </c>
      <c r="E1364" s="5">
        <f>IF($B1364 &lt;= 0, 0, -ROUND($B1364 * (InterestRate / PaymentsPerYear), 2))</f>
        <v>0</v>
      </c>
      <c r="F1364" s="5">
        <f>ROUND(IFERROR(IF(OR($B1364 &lt;=0, $B1364 = ExtraPayment),0,
MAX(-$B1364, -(-PMT(InterestRate/PaymentsPerYear,LoanTerm*PaymentsPerYear,LoanAmount) + $E1364))), 0), 2)</f>
        <v>0</v>
      </c>
      <c r="G1364" s="5">
        <f t="shared" si="86"/>
        <v>0</v>
      </c>
      <c r="H1364" s="5">
        <f t="shared" si="87"/>
        <v>0</v>
      </c>
    </row>
    <row r="1365" spans="1:8" x14ac:dyDescent="0.2">
      <c r="A1365" s="2">
        <v>1364</v>
      </c>
      <c r="B1365" s="5">
        <f t="shared" si="84"/>
        <v>0</v>
      </c>
      <c r="C1365" s="5">
        <f t="shared" si="85"/>
        <v>0</v>
      </c>
      <c r="D1365" s="5">
        <f>IF(ExtraPayment=0, 0, IF(AND($B1365&lt;&gt;0,ExtraPayment&lt;=$B1365),-ExtraPayment,-($F1365)-$B1365))</f>
        <v>0</v>
      </c>
      <c r="E1365" s="5">
        <f>IF($B1365 &lt;= 0, 0, -ROUND($B1365 * (InterestRate / PaymentsPerYear), 2))</f>
        <v>0</v>
      </c>
      <c r="F1365" s="5">
        <f>ROUND(IFERROR(IF(OR($B1365 &lt;=0, $B1365 = ExtraPayment),0,
MAX(-$B1365, -(-PMT(InterestRate/PaymentsPerYear,LoanTerm*PaymentsPerYear,LoanAmount) + $E1365))), 0), 2)</f>
        <v>0</v>
      </c>
      <c r="G1365" s="5">
        <f t="shared" si="86"/>
        <v>0</v>
      </c>
      <c r="H1365" s="5">
        <f t="shared" si="87"/>
        <v>0</v>
      </c>
    </row>
    <row r="1366" spans="1:8" x14ac:dyDescent="0.2">
      <c r="A1366" s="2">
        <v>1365</v>
      </c>
      <c r="B1366" s="5">
        <f t="shared" si="84"/>
        <v>0</v>
      </c>
      <c r="C1366" s="5">
        <f t="shared" si="85"/>
        <v>0</v>
      </c>
      <c r="D1366" s="5">
        <f>IF(ExtraPayment=0, 0, IF(AND($B1366&lt;&gt;0,ExtraPayment&lt;=$B1366),-ExtraPayment,-($F1366)-$B1366))</f>
        <v>0</v>
      </c>
      <c r="E1366" s="5">
        <f>IF($B1366 &lt;= 0, 0, -ROUND($B1366 * (InterestRate / PaymentsPerYear), 2))</f>
        <v>0</v>
      </c>
      <c r="F1366" s="5">
        <f>ROUND(IFERROR(IF(OR($B1366 &lt;=0, $B1366 = ExtraPayment),0,
MAX(-$B1366, -(-PMT(InterestRate/PaymentsPerYear,LoanTerm*PaymentsPerYear,LoanAmount) + $E1366))), 0), 2)</f>
        <v>0</v>
      </c>
      <c r="G1366" s="5">
        <f t="shared" si="86"/>
        <v>0</v>
      </c>
      <c r="H1366" s="5">
        <f t="shared" si="87"/>
        <v>0</v>
      </c>
    </row>
    <row r="1367" spans="1:8" x14ac:dyDescent="0.2">
      <c r="A1367" s="2">
        <v>1366</v>
      </c>
      <c r="B1367" s="5">
        <f t="shared" si="84"/>
        <v>0</v>
      </c>
      <c r="C1367" s="5">
        <f t="shared" si="85"/>
        <v>0</v>
      </c>
      <c r="D1367" s="5">
        <f>IF(ExtraPayment=0, 0, IF(AND($B1367&lt;&gt;0,ExtraPayment&lt;=$B1367),-ExtraPayment,-($F1367)-$B1367))</f>
        <v>0</v>
      </c>
      <c r="E1367" s="5">
        <f>IF($B1367 &lt;= 0, 0, -ROUND($B1367 * (InterestRate / PaymentsPerYear), 2))</f>
        <v>0</v>
      </c>
      <c r="F1367" s="5">
        <f>ROUND(IFERROR(IF(OR($B1367 &lt;=0, $B1367 = ExtraPayment),0,
MAX(-$B1367, -(-PMT(InterestRate/PaymentsPerYear,LoanTerm*PaymentsPerYear,LoanAmount) + $E1367))), 0), 2)</f>
        <v>0</v>
      </c>
      <c r="G1367" s="5">
        <f t="shared" si="86"/>
        <v>0</v>
      </c>
      <c r="H1367" s="5">
        <f t="shared" si="87"/>
        <v>0</v>
      </c>
    </row>
    <row r="1368" spans="1:8" x14ac:dyDescent="0.2">
      <c r="A1368" s="2">
        <v>1367</v>
      </c>
      <c r="B1368" s="5">
        <f t="shared" si="84"/>
        <v>0</v>
      </c>
      <c r="C1368" s="5">
        <f t="shared" si="85"/>
        <v>0</v>
      </c>
      <c r="D1368" s="5">
        <f>IF(ExtraPayment=0, 0, IF(AND($B1368&lt;&gt;0,ExtraPayment&lt;=$B1368),-ExtraPayment,-($F1368)-$B1368))</f>
        <v>0</v>
      </c>
      <c r="E1368" s="5">
        <f>IF($B1368 &lt;= 0, 0, -ROUND($B1368 * (InterestRate / PaymentsPerYear), 2))</f>
        <v>0</v>
      </c>
      <c r="F1368" s="5">
        <f>ROUND(IFERROR(IF(OR($B1368 &lt;=0, $B1368 = ExtraPayment),0,
MAX(-$B1368, -(-PMT(InterestRate/PaymentsPerYear,LoanTerm*PaymentsPerYear,LoanAmount) + $E1368))), 0), 2)</f>
        <v>0</v>
      </c>
      <c r="G1368" s="5">
        <f t="shared" si="86"/>
        <v>0</v>
      </c>
      <c r="H1368" s="5">
        <f t="shared" si="87"/>
        <v>0</v>
      </c>
    </row>
    <row r="1369" spans="1:8" x14ac:dyDescent="0.2">
      <c r="A1369" s="2">
        <v>1368</v>
      </c>
      <c r="B1369" s="5">
        <f t="shared" si="84"/>
        <v>0</v>
      </c>
      <c r="C1369" s="5">
        <f t="shared" si="85"/>
        <v>0</v>
      </c>
      <c r="D1369" s="5">
        <f>IF(ExtraPayment=0, 0, IF(AND($B1369&lt;&gt;0,ExtraPayment&lt;=$B1369),-ExtraPayment,-($F1369)-$B1369))</f>
        <v>0</v>
      </c>
      <c r="E1369" s="5">
        <f>IF($B1369 &lt;= 0, 0, -ROUND($B1369 * (InterestRate / PaymentsPerYear), 2))</f>
        <v>0</v>
      </c>
      <c r="F1369" s="5">
        <f>ROUND(IFERROR(IF(OR($B1369 &lt;=0, $B1369 = ExtraPayment),0,
MAX(-$B1369, -(-PMT(InterestRate/PaymentsPerYear,LoanTerm*PaymentsPerYear,LoanAmount) + $E1369))), 0), 2)</f>
        <v>0</v>
      </c>
      <c r="G1369" s="5">
        <f t="shared" si="86"/>
        <v>0</v>
      </c>
      <c r="H1369" s="5">
        <f t="shared" si="87"/>
        <v>0</v>
      </c>
    </row>
    <row r="1370" spans="1:8" x14ac:dyDescent="0.2">
      <c r="A1370" s="2">
        <v>1369</v>
      </c>
      <c r="B1370" s="5">
        <f t="shared" si="84"/>
        <v>0</v>
      </c>
      <c r="C1370" s="5">
        <f t="shared" si="85"/>
        <v>0</v>
      </c>
      <c r="D1370" s="5">
        <f>IF(ExtraPayment=0, 0, IF(AND($B1370&lt;&gt;0,ExtraPayment&lt;=$B1370),-ExtraPayment,-($F1370)-$B1370))</f>
        <v>0</v>
      </c>
      <c r="E1370" s="5">
        <f>IF($B1370 &lt;= 0, 0, -ROUND($B1370 * (InterestRate / PaymentsPerYear), 2))</f>
        <v>0</v>
      </c>
      <c r="F1370" s="5">
        <f>ROUND(IFERROR(IF(OR($B1370 &lt;=0, $B1370 = ExtraPayment),0,
MAX(-$B1370, -(-PMT(InterestRate/PaymentsPerYear,LoanTerm*PaymentsPerYear,LoanAmount) + $E1370))), 0), 2)</f>
        <v>0</v>
      </c>
      <c r="G1370" s="5">
        <f t="shared" si="86"/>
        <v>0</v>
      </c>
      <c r="H1370" s="5">
        <f t="shared" si="87"/>
        <v>0</v>
      </c>
    </row>
    <row r="1371" spans="1:8" x14ac:dyDescent="0.2">
      <c r="A1371" s="2">
        <v>1370</v>
      </c>
      <c r="B1371" s="5">
        <f t="shared" si="84"/>
        <v>0</v>
      </c>
      <c r="C1371" s="5">
        <f t="shared" si="85"/>
        <v>0</v>
      </c>
      <c r="D1371" s="5">
        <f>IF(ExtraPayment=0, 0, IF(AND($B1371&lt;&gt;0,ExtraPayment&lt;=$B1371),-ExtraPayment,-($F1371)-$B1371))</f>
        <v>0</v>
      </c>
      <c r="E1371" s="5">
        <f>IF($B1371 &lt;= 0, 0, -ROUND($B1371 * (InterestRate / PaymentsPerYear), 2))</f>
        <v>0</v>
      </c>
      <c r="F1371" s="5">
        <f>ROUND(IFERROR(IF(OR($B1371 &lt;=0, $B1371 = ExtraPayment),0,
MAX(-$B1371, -(-PMT(InterestRate/PaymentsPerYear,LoanTerm*PaymentsPerYear,LoanAmount) + $E1371))), 0), 2)</f>
        <v>0</v>
      </c>
      <c r="G1371" s="5">
        <f t="shared" si="86"/>
        <v>0</v>
      </c>
      <c r="H1371" s="5">
        <f t="shared" si="87"/>
        <v>0</v>
      </c>
    </row>
    <row r="1372" spans="1:8" x14ac:dyDescent="0.2">
      <c r="A1372" s="2">
        <v>1371</v>
      </c>
      <c r="B1372" s="5">
        <f t="shared" si="84"/>
        <v>0</v>
      </c>
      <c r="C1372" s="5">
        <f t="shared" si="85"/>
        <v>0</v>
      </c>
      <c r="D1372" s="5">
        <f>IF(ExtraPayment=0, 0, IF(AND($B1372&lt;&gt;0,ExtraPayment&lt;=$B1372),-ExtraPayment,-($F1372)-$B1372))</f>
        <v>0</v>
      </c>
      <c r="E1372" s="5">
        <f>IF($B1372 &lt;= 0, 0, -ROUND($B1372 * (InterestRate / PaymentsPerYear), 2))</f>
        <v>0</v>
      </c>
      <c r="F1372" s="5">
        <f>ROUND(IFERROR(IF(OR($B1372 &lt;=0, $B1372 = ExtraPayment),0,
MAX(-$B1372, -(-PMT(InterestRate/PaymentsPerYear,LoanTerm*PaymentsPerYear,LoanAmount) + $E1372))), 0), 2)</f>
        <v>0</v>
      </c>
      <c r="G1372" s="5">
        <f t="shared" si="86"/>
        <v>0</v>
      </c>
      <c r="H1372" s="5">
        <f t="shared" si="87"/>
        <v>0</v>
      </c>
    </row>
    <row r="1373" spans="1:8" x14ac:dyDescent="0.2">
      <c r="A1373" s="2">
        <v>1372</v>
      </c>
      <c r="B1373" s="5">
        <f t="shared" si="84"/>
        <v>0</v>
      </c>
      <c r="C1373" s="5">
        <f t="shared" si="85"/>
        <v>0</v>
      </c>
      <c r="D1373" s="5">
        <f>IF(ExtraPayment=0, 0, IF(AND($B1373&lt;&gt;0,ExtraPayment&lt;=$B1373),-ExtraPayment,-($F1373)-$B1373))</f>
        <v>0</v>
      </c>
      <c r="E1373" s="5">
        <f>IF($B1373 &lt;= 0, 0, -ROUND($B1373 * (InterestRate / PaymentsPerYear), 2))</f>
        <v>0</v>
      </c>
      <c r="F1373" s="5">
        <f>ROUND(IFERROR(IF(OR($B1373 &lt;=0, $B1373 = ExtraPayment),0,
MAX(-$B1373, -(-PMT(InterestRate/PaymentsPerYear,LoanTerm*PaymentsPerYear,LoanAmount) + $E1373))), 0), 2)</f>
        <v>0</v>
      </c>
      <c r="G1373" s="5">
        <f t="shared" si="86"/>
        <v>0</v>
      </c>
      <c r="H1373" s="5">
        <f t="shared" si="87"/>
        <v>0</v>
      </c>
    </row>
    <row r="1374" spans="1:8" x14ac:dyDescent="0.2">
      <c r="A1374" s="2">
        <v>1373</v>
      </c>
      <c r="B1374" s="5">
        <f t="shared" si="84"/>
        <v>0</v>
      </c>
      <c r="C1374" s="5">
        <f t="shared" si="85"/>
        <v>0</v>
      </c>
      <c r="D1374" s="5">
        <f>IF(ExtraPayment=0, 0, IF(AND($B1374&lt;&gt;0,ExtraPayment&lt;=$B1374),-ExtraPayment,-($F1374)-$B1374))</f>
        <v>0</v>
      </c>
      <c r="E1374" s="5">
        <f>IF($B1374 &lt;= 0, 0, -ROUND($B1374 * (InterestRate / PaymentsPerYear), 2))</f>
        <v>0</v>
      </c>
      <c r="F1374" s="5">
        <f>ROUND(IFERROR(IF(OR($B1374 &lt;=0, $B1374 = ExtraPayment),0,
MAX(-$B1374, -(-PMT(InterestRate/PaymentsPerYear,LoanTerm*PaymentsPerYear,LoanAmount) + $E1374))), 0), 2)</f>
        <v>0</v>
      </c>
      <c r="G1374" s="5">
        <f t="shared" si="86"/>
        <v>0</v>
      </c>
      <c r="H1374" s="5">
        <f t="shared" si="87"/>
        <v>0</v>
      </c>
    </row>
    <row r="1375" spans="1:8" x14ac:dyDescent="0.2">
      <c r="A1375" s="2">
        <v>1374</v>
      </c>
      <c r="B1375" s="5">
        <f t="shared" si="84"/>
        <v>0</v>
      </c>
      <c r="C1375" s="5">
        <f t="shared" si="85"/>
        <v>0</v>
      </c>
      <c r="D1375" s="5">
        <f>IF(ExtraPayment=0, 0, IF(AND($B1375&lt;&gt;0,ExtraPayment&lt;=$B1375),-ExtraPayment,-($F1375)-$B1375))</f>
        <v>0</v>
      </c>
      <c r="E1375" s="5">
        <f>IF($B1375 &lt;= 0, 0, -ROUND($B1375 * (InterestRate / PaymentsPerYear), 2))</f>
        <v>0</v>
      </c>
      <c r="F1375" s="5">
        <f>ROUND(IFERROR(IF(OR($B1375 &lt;=0, $B1375 = ExtraPayment),0,
MAX(-$B1375, -(-PMT(InterestRate/PaymentsPerYear,LoanTerm*PaymentsPerYear,LoanAmount) + $E1375))), 0), 2)</f>
        <v>0</v>
      </c>
      <c r="G1375" s="5">
        <f t="shared" si="86"/>
        <v>0</v>
      </c>
      <c r="H1375" s="5">
        <f t="shared" si="87"/>
        <v>0</v>
      </c>
    </row>
    <row r="1376" spans="1:8" x14ac:dyDescent="0.2">
      <c r="A1376" s="2">
        <v>1375</v>
      </c>
      <c r="B1376" s="5">
        <f t="shared" si="84"/>
        <v>0</v>
      </c>
      <c r="C1376" s="5">
        <f t="shared" si="85"/>
        <v>0</v>
      </c>
      <c r="D1376" s="5">
        <f>IF(ExtraPayment=0, 0, IF(AND($B1376&lt;&gt;0,ExtraPayment&lt;=$B1376),-ExtraPayment,-($F1376)-$B1376))</f>
        <v>0</v>
      </c>
      <c r="E1376" s="5">
        <f>IF($B1376 &lt;= 0, 0, -ROUND($B1376 * (InterestRate / PaymentsPerYear), 2))</f>
        <v>0</v>
      </c>
      <c r="F1376" s="5">
        <f>ROUND(IFERROR(IF(OR($B1376 &lt;=0, $B1376 = ExtraPayment),0,
MAX(-$B1376, -(-PMT(InterestRate/PaymentsPerYear,LoanTerm*PaymentsPerYear,LoanAmount) + $E1376))), 0), 2)</f>
        <v>0</v>
      </c>
      <c r="G1376" s="5">
        <f t="shared" si="86"/>
        <v>0</v>
      </c>
      <c r="H1376" s="5">
        <f t="shared" si="87"/>
        <v>0</v>
      </c>
    </row>
    <row r="1377" spans="1:8" x14ac:dyDescent="0.2">
      <c r="A1377" s="2">
        <v>1376</v>
      </c>
      <c r="B1377" s="5">
        <f t="shared" si="84"/>
        <v>0</v>
      </c>
      <c r="C1377" s="5">
        <f t="shared" si="85"/>
        <v>0</v>
      </c>
      <c r="D1377" s="5">
        <f>IF(ExtraPayment=0, 0, IF(AND($B1377&lt;&gt;0,ExtraPayment&lt;=$B1377),-ExtraPayment,-($F1377)-$B1377))</f>
        <v>0</v>
      </c>
      <c r="E1377" s="5">
        <f>IF($B1377 &lt;= 0, 0, -ROUND($B1377 * (InterestRate / PaymentsPerYear), 2))</f>
        <v>0</v>
      </c>
      <c r="F1377" s="5">
        <f>ROUND(IFERROR(IF(OR($B1377 &lt;=0, $B1377 = ExtraPayment),0,
MAX(-$B1377, -(-PMT(InterestRate/PaymentsPerYear,LoanTerm*PaymentsPerYear,LoanAmount) + $E1377))), 0), 2)</f>
        <v>0</v>
      </c>
      <c r="G1377" s="5">
        <f t="shared" si="86"/>
        <v>0</v>
      </c>
      <c r="H1377" s="5">
        <f t="shared" si="87"/>
        <v>0</v>
      </c>
    </row>
    <row r="1378" spans="1:8" x14ac:dyDescent="0.2">
      <c r="A1378" s="2">
        <v>1377</v>
      </c>
      <c r="B1378" s="5">
        <f t="shared" si="84"/>
        <v>0</v>
      </c>
      <c r="C1378" s="5">
        <f t="shared" si="85"/>
        <v>0</v>
      </c>
      <c r="D1378" s="5">
        <f>IF(ExtraPayment=0, 0, IF(AND($B1378&lt;&gt;0,ExtraPayment&lt;=$B1378),-ExtraPayment,-($F1378)-$B1378))</f>
        <v>0</v>
      </c>
      <c r="E1378" s="5">
        <f>IF($B1378 &lt;= 0, 0, -ROUND($B1378 * (InterestRate / PaymentsPerYear), 2))</f>
        <v>0</v>
      </c>
      <c r="F1378" s="5">
        <f>ROUND(IFERROR(IF(OR($B1378 &lt;=0, $B1378 = ExtraPayment),0,
MAX(-$B1378, -(-PMT(InterestRate/PaymentsPerYear,LoanTerm*PaymentsPerYear,LoanAmount) + $E1378))), 0), 2)</f>
        <v>0</v>
      </c>
      <c r="G1378" s="5">
        <f t="shared" si="86"/>
        <v>0</v>
      </c>
      <c r="H1378" s="5">
        <f t="shared" si="87"/>
        <v>0</v>
      </c>
    </row>
    <row r="1379" spans="1:8" x14ac:dyDescent="0.2">
      <c r="A1379" s="2">
        <v>1378</v>
      </c>
      <c r="B1379" s="5">
        <f t="shared" si="84"/>
        <v>0</v>
      </c>
      <c r="C1379" s="5">
        <f t="shared" si="85"/>
        <v>0</v>
      </c>
      <c r="D1379" s="5">
        <f>IF(ExtraPayment=0, 0, IF(AND($B1379&lt;&gt;0,ExtraPayment&lt;=$B1379),-ExtraPayment,-($F1379)-$B1379))</f>
        <v>0</v>
      </c>
      <c r="E1379" s="5">
        <f>IF($B1379 &lt;= 0, 0, -ROUND($B1379 * (InterestRate / PaymentsPerYear), 2))</f>
        <v>0</v>
      </c>
      <c r="F1379" s="5">
        <f>ROUND(IFERROR(IF(OR($B1379 &lt;=0, $B1379 = ExtraPayment),0,
MAX(-$B1379, -(-PMT(InterestRate/PaymentsPerYear,LoanTerm*PaymentsPerYear,LoanAmount) + $E1379))), 0), 2)</f>
        <v>0</v>
      </c>
      <c r="G1379" s="5">
        <f t="shared" si="86"/>
        <v>0</v>
      </c>
      <c r="H1379" s="5">
        <f t="shared" si="87"/>
        <v>0</v>
      </c>
    </row>
    <row r="1380" spans="1:8" x14ac:dyDescent="0.2">
      <c r="A1380" s="2">
        <v>1379</v>
      </c>
      <c r="B1380" s="5">
        <f t="shared" si="84"/>
        <v>0</v>
      </c>
      <c r="C1380" s="5">
        <f t="shared" si="85"/>
        <v>0</v>
      </c>
      <c r="D1380" s="5">
        <f>IF(ExtraPayment=0, 0, IF(AND($B1380&lt;&gt;0,ExtraPayment&lt;=$B1380),-ExtraPayment,-($F1380)-$B1380))</f>
        <v>0</v>
      </c>
      <c r="E1380" s="5">
        <f>IF($B1380 &lt;= 0, 0, -ROUND($B1380 * (InterestRate / PaymentsPerYear), 2))</f>
        <v>0</v>
      </c>
      <c r="F1380" s="5">
        <f>ROUND(IFERROR(IF(OR($B1380 &lt;=0, $B1380 = ExtraPayment),0,
MAX(-$B1380, -(-PMT(InterestRate/PaymentsPerYear,LoanTerm*PaymentsPerYear,LoanAmount) + $E1380))), 0), 2)</f>
        <v>0</v>
      </c>
      <c r="G1380" s="5">
        <f t="shared" si="86"/>
        <v>0</v>
      </c>
      <c r="H1380" s="5">
        <f t="shared" si="87"/>
        <v>0</v>
      </c>
    </row>
    <row r="1381" spans="1:8" x14ac:dyDescent="0.2">
      <c r="A1381" s="2">
        <v>1380</v>
      </c>
      <c r="B1381" s="5">
        <f t="shared" si="84"/>
        <v>0</v>
      </c>
      <c r="C1381" s="5">
        <f t="shared" si="85"/>
        <v>0</v>
      </c>
      <c r="D1381" s="5">
        <f>IF(ExtraPayment=0, 0, IF(AND($B1381&lt;&gt;0,ExtraPayment&lt;=$B1381),-ExtraPayment,-($F1381)-$B1381))</f>
        <v>0</v>
      </c>
      <c r="E1381" s="5">
        <f>IF($B1381 &lt;= 0, 0, -ROUND($B1381 * (InterestRate / PaymentsPerYear), 2))</f>
        <v>0</v>
      </c>
      <c r="F1381" s="5">
        <f>ROUND(IFERROR(IF(OR($B1381 &lt;=0, $B1381 = ExtraPayment),0,
MAX(-$B1381, -(-PMT(InterestRate/PaymentsPerYear,LoanTerm*PaymentsPerYear,LoanAmount) + $E1381))), 0), 2)</f>
        <v>0</v>
      </c>
      <c r="G1381" s="5">
        <f t="shared" si="86"/>
        <v>0</v>
      </c>
      <c r="H1381" s="5">
        <f t="shared" si="87"/>
        <v>0</v>
      </c>
    </row>
    <row r="1382" spans="1:8" x14ac:dyDescent="0.2">
      <c r="A1382" s="2">
        <v>1381</v>
      </c>
      <c r="B1382" s="5">
        <f t="shared" si="84"/>
        <v>0</v>
      </c>
      <c r="C1382" s="5">
        <f t="shared" si="85"/>
        <v>0</v>
      </c>
      <c r="D1382" s="5">
        <f>IF(ExtraPayment=0, 0, IF(AND($B1382&lt;&gt;0,ExtraPayment&lt;=$B1382),-ExtraPayment,-($F1382)-$B1382))</f>
        <v>0</v>
      </c>
      <c r="E1382" s="5">
        <f>IF($B1382 &lt;= 0, 0, -ROUND($B1382 * (InterestRate / PaymentsPerYear), 2))</f>
        <v>0</v>
      </c>
      <c r="F1382" s="5">
        <f>ROUND(IFERROR(IF(OR($B1382 &lt;=0, $B1382 = ExtraPayment),0,
MAX(-$B1382, -(-PMT(InterestRate/PaymentsPerYear,LoanTerm*PaymentsPerYear,LoanAmount) + $E1382))), 0), 2)</f>
        <v>0</v>
      </c>
      <c r="G1382" s="5">
        <f t="shared" si="86"/>
        <v>0</v>
      </c>
      <c r="H1382" s="5">
        <f t="shared" si="87"/>
        <v>0</v>
      </c>
    </row>
    <row r="1383" spans="1:8" x14ac:dyDescent="0.2">
      <c r="A1383" s="2">
        <v>1382</v>
      </c>
      <c r="B1383" s="5">
        <f t="shared" si="84"/>
        <v>0</v>
      </c>
      <c r="C1383" s="5">
        <f t="shared" si="85"/>
        <v>0</v>
      </c>
      <c r="D1383" s="5">
        <f>IF(ExtraPayment=0, 0, IF(AND($B1383&lt;&gt;0,ExtraPayment&lt;=$B1383),-ExtraPayment,-($F1383)-$B1383))</f>
        <v>0</v>
      </c>
      <c r="E1383" s="5">
        <f>IF($B1383 &lt;= 0, 0, -ROUND($B1383 * (InterestRate / PaymentsPerYear), 2))</f>
        <v>0</v>
      </c>
      <c r="F1383" s="5">
        <f>ROUND(IFERROR(IF(OR($B1383 &lt;=0, $B1383 = ExtraPayment),0,
MAX(-$B1383, -(-PMT(InterestRate/PaymentsPerYear,LoanTerm*PaymentsPerYear,LoanAmount) + $E1383))), 0), 2)</f>
        <v>0</v>
      </c>
      <c r="G1383" s="5">
        <f t="shared" si="86"/>
        <v>0</v>
      </c>
      <c r="H1383" s="5">
        <f t="shared" si="87"/>
        <v>0</v>
      </c>
    </row>
    <row r="1384" spans="1:8" x14ac:dyDescent="0.2">
      <c r="A1384" s="2">
        <v>1383</v>
      </c>
      <c r="B1384" s="5">
        <f t="shared" si="84"/>
        <v>0</v>
      </c>
      <c r="C1384" s="5">
        <f t="shared" si="85"/>
        <v>0</v>
      </c>
      <c r="D1384" s="5">
        <f>IF(ExtraPayment=0, 0, IF(AND($B1384&lt;&gt;0,ExtraPayment&lt;=$B1384),-ExtraPayment,-($F1384)-$B1384))</f>
        <v>0</v>
      </c>
      <c r="E1384" s="5">
        <f>IF($B1384 &lt;= 0, 0, -ROUND($B1384 * (InterestRate / PaymentsPerYear), 2))</f>
        <v>0</v>
      </c>
      <c r="F1384" s="5">
        <f>ROUND(IFERROR(IF(OR($B1384 &lt;=0, $B1384 = ExtraPayment),0,
MAX(-$B1384, -(-PMT(InterestRate/PaymentsPerYear,LoanTerm*PaymentsPerYear,LoanAmount) + $E1384))), 0), 2)</f>
        <v>0</v>
      </c>
      <c r="G1384" s="5">
        <f t="shared" si="86"/>
        <v>0</v>
      </c>
      <c r="H1384" s="5">
        <f t="shared" si="87"/>
        <v>0</v>
      </c>
    </row>
    <row r="1385" spans="1:8" x14ac:dyDescent="0.2">
      <c r="A1385" s="2">
        <v>1384</v>
      </c>
      <c r="B1385" s="5">
        <f t="shared" si="84"/>
        <v>0</v>
      </c>
      <c r="C1385" s="5">
        <f t="shared" si="85"/>
        <v>0</v>
      </c>
      <c r="D1385" s="5">
        <f>IF(ExtraPayment=0, 0, IF(AND($B1385&lt;&gt;0,ExtraPayment&lt;=$B1385),-ExtraPayment,-($F1385)-$B1385))</f>
        <v>0</v>
      </c>
      <c r="E1385" s="5">
        <f>IF($B1385 &lt;= 0, 0, -ROUND($B1385 * (InterestRate / PaymentsPerYear), 2))</f>
        <v>0</v>
      </c>
      <c r="F1385" s="5">
        <f>ROUND(IFERROR(IF(OR($B1385 &lt;=0, $B1385 = ExtraPayment),0,
MAX(-$B1385, -(-PMT(InterestRate/PaymentsPerYear,LoanTerm*PaymentsPerYear,LoanAmount) + $E1385))), 0), 2)</f>
        <v>0</v>
      </c>
      <c r="G1385" s="5">
        <f t="shared" si="86"/>
        <v>0</v>
      </c>
      <c r="H1385" s="5">
        <f t="shared" si="87"/>
        <v>0</v>
      </c>
    </row>
    <row r="1386" spans="1:8" x14ac:dyDescent="0.2">
      <c r="A1386" s="2">
        <v>1385</v>
      </c>
      <c r="B1386" s="5">
        <f t="shared" si="84"/>
        <v>0</v>
      </c>
      <c r="C1386" s="5">
        <f t="shared" si="85"/>
        <v>0</v>
      </c>
      <c r="D1386" s="5">
        <f>IF(ExtraPayment=0, 0, IF(AND($B1386&lt;&gt;0,ExtraPayment&lt;=$B1386),-ExtraPayment,-($F1386)-$B1386))</f>
        <v>0</v>
      </c>
      <c r="E1386" s="5">
        <f>IF($B1386 &lt;= 0, 0, -ROUND($B1386 * (InterestRate / PaymentsPerYear), 2))</f>
        <v>0</v>
      </c>
      <c r="F1386" s="5">
        <f>ROUND(IFERROR(IF(OR($B1386 &lt;=0, $B1386 = ExtraPayment),0,
MAX(-$B1386, -(-PMT(InterestRate/PaymentsPerYear,LoanTerm*PaymentsPerYear,LoanAmount) + $E1386))), 0), 2)</f>
        <v>0</v>
      </c>
      <c r="G1386" s="5">
        <f t="shared" si="86"/>
        <v>0</v>
      </c>
      <c r="H1386" s="5">
        <f t="shared" si="87"/>
        <v>0</v>
      </c>
    </row>
    <row r="1387" spans="1:8" x14ac:dyDescent="0.2">
      <c r="A1387" s="2">
        <v>1386</v>
      </c>
      <c r="B1387" s="5">
        <f t="shared" si="84"/>
        <v>0</v>
      </c>
      <c r="C1387" s="5">
        <f t="shared" si="85"/>
        <v>0</v>
      </c>
      <c r="D1387" s="5">
        <f>IF(ExtraPayment=0, 0, IF(AND($B1387&lt;&gt;0,ExtraPayment&lt;=$B1387),-ExtraPayment,-($F1387)-$B1387))</f>
        <v>0</v>
      </c>
      <c r="E1387" s="5">
        <f>IF($B1387 &lt;= 0, 0, -ROUND($B1387 * (InterestRate / PaymentsPerYear), 2))</f>
        <v>0</v>
      </c>
      <c r="F1387" s="5">
        <f>ROUND(IFERROR(IF(OR($B1387 &lt;=0, $B1387 = ExtraPayment),0,
MAX(-$B1387, -(-PMT(InterestRate/PaymentsPerYear,LoanTerm*PaymentsPerYear,LoanAmount) + $E1387))), 0), 2)</f>
        <v>0</v>
      </c>
      <c r="G1387" s="5">
        <f t="shared" si="86"/>
        <v>0</v>
      </c>
      <c r="H1387" s="5">
        <f t="shared" si="87"/>
        <v>0</v>
      </c>
    </row>
    <row r="1388" spans="1:8" x14ac:dyDescent="0.2">
      <c r="A1388" s="2">
        <v>1387</v>
      </c>
      <c r="B1388" s="5">
        <f t="shared" si="84"/>
        <v>0</v>
      </c>
      <c r="C1388" s="5">
        <f t="shared" si="85"/>
        <v>0</v>
      </c>
      <c r="D1388" s="5">
        <f>IF(ExtraPayment=0, 0, IF(AND($B1388&lt;&gt;0,ExtraPayment&lt;=$B1388),-ExtraPayment,-($F1388)-$B1388))</f>
        <v>0</v>
      </c>
      <c r="E1388" s="5">
        <f>IF($B1388 &lt;= 0, 0, -ROUND($B1388 * (InterestRate / PaymentsPerYear), 2))</f>
        <v>0</v>
      </c>
      <c r="F1388" s="5">
        <f>ROUND(IFERROR(IF(OR($B1388 &lt;=0, $B1388 = ExtraPayment),0,
MAX(-$B1388, -(-PMT(InterestRate/PaymentsPerYear,LoanTerm*PaymentsPerYear,LoanAmount) + $E1388))), 0), 2)</f>
        <v>0</v>
      </c>
      <c r="G1388" s="5">
        <f t="shared" si="86"/>
        <v>0</v>
      </c>
      <c r="H1388" s="5">
        <f t="shared" si="87"/>
        <v>0</v>
      </c>
    </row>
    <row r="1389" spans="1:8" x14ac:dyDescent="0.2">
      <c r="A1389" s="2">
        <v>1388</v>
      </c>
      <c r="B1389" s="5">
        <f t="shared" si="84"/>
        <v>0</v>
      </c>
      <c r="C1389" s="5">
        <f t="shared" si="85"/>
        <v>0</v>
      </c>
      <c r="D1389" s="5">
        <f>IF(ExtraPayment=0, 0, IF(AND($B1389&lt;&gt;0,ExtraPayment&lt;=$B1389),-ExtraPayment,-($F1389)-$B1389))</f>
        <v>0</v>
      </c>
      <c r="E1389" s="5">
        <f>IF($B1389 &lt;= 0, 0, -ROUND($B1389 * (InterestRate / PaymentsPerYear), 2))</f>
        <v>0</v>
      </c>
      <c r="F1389" s="5">
        <f>ROUND(IFERROR(IF(OR($B1389 &lt;=0, $B1389 = ExtraPayment),0,
MAX(-$B1389, -(-PMT(InterestRate/PaymentsPerYear,LoanTerm*PaymentsPerYear,LoanAmount) + $E1389))), 0), 2)</f>
        <v>0</v>
      </c>
      <c r="G1389" s="5">
        <f t="shared" si="86"/>
        <v>0</v>
      </c>
      <c r="H1389" s="5">
        <f t="shared" si="87"/>
        <v>0</v>
      </c>
    </row>
    <row r="1390" spans="1:8" x14ac:dyDescent="0.2">
      <c r="A1390" s="2">
        <v>1389</v>
      </c>
      <c r="B1390" s="5">
        <f t="shared" si="84"/>
        <v>0</v>
      </c>
      <c r="C1390" s="5">
        <f t="shared" si="85"/>
        <v>0</v>
      </c>
      <c r="D1390" s="5">
        <f>IF(ExtraPayment=0, 0, IF(AND($B1390&lt;&gt;0,ExtraPayment&lt;=$B1390),-ExtraPayment,-($F1390)-$B1390))</f>
        <v>0</v>
      </c>
      <c r="E1390" s="5">
        <f>IF($B1390 &lt;= 0, 0, -ROUND($B1390 * (InterestRate / PaymentsPerYear), 2))</f>
        <v>0</v>
      </c>
      <c r="F1390" s="5">
        <f>ROUND(IFERROR(IF(OR($B1390 &lt;=0, $B1390 = ExtraPayment),0,
MAX(-$B1390, -(-PMT(InterestRate/PaymentsPerYear,LoanTerm*PaymentsPerYear,LoanAmount) + $E1390))), 0), 2)</f>
        <v>0</v>
      </c>
      <c r="G1390" s="5">
        <f t="shared" si="86"/>
        <v>0</v>
      </c>
      <c r="H1390" s="5">
        <f t="shared" si="87"/>
        <v>0</v>
      </c>
    </row>
    <row r="1391" spans="1:8" x14ac:dyDescent="0.2">
      <c r="A1391" s="2">
        <v>1390</v>
      </c>
      <c r="B1391" s="5">
        <f t="shared" si="84"/>
        <v>0</v>
      </c>
      <c r="C1391" s="5">
        <f t="shared" si="85"/>
        <v>0</v>
      </c>
      <c r="D1391" s="5">
        <f>IF(ExtraPayment=0, 0, IF(AND($B1391&lt;&gt;0,ExtraPayment&lt;=$B1391),-ExtraPayment,-($F1391)-$B1391))</f>
        <v>0</v>
      </c>
      <c r="E1391" s="5">
        <f>IF($B1391 &lt;= 0, 0, -ROUND($B1391 * (InterestRate / PaymentsPerYear), 2))</f>
        <v>0</v>
      </c>
      <c r="F1391" s="5">
        <f>ROUND(IFERROR(IF(OR($B1391 &lt;=0, $B1391 = ExtraPayment),0,
MAX(-$B1391, -(-PMT(InterestRate/PaymentsPerYear,LoanTerm*PaymentsPerYear,LoanAmount) + $E1391))), 0), 2)</f>
        <v>0</v>
      </c>
      <c r="G1391" s="5">
        <f t="shared" si="86"/>
        <v>0</v>
      </c>
      <c r="H1391" s="5">
        <f t="shared" si="87"/>
        <v>0</v>
      </c>
    </row>
    <row r="1392" spans="1:8" x14ac:dyDescent="0.2">
      <c r="A1392" s="2">
        <v>1391</v>
      </c>
      <c r="B1392" s="5">
        <f t="shared" si="84"/>
        <v>0</v>
      </c>
      <c r="C1392" s="5">
        <f t="shared" si="85"/>
        <v>0</v>
      </c>
      <c r="D1392" s="5">
        <f>IF(ExtraPayment=0, 0, IF(AND($B1392&lt;&gt;0,ExtraPayment&lt;=$B1392),-ExtraPayment,-($F1392)-$B1392))</f>
        <v>0</v>
      </c>
      <c r="E1392" s="5">
        <f>IF($B1392 &lt;= 0, 0, -ROUND($B1392 * (InterestRate / PaymentsPerYear), 2))</f>
        <v>0</v>
      </c>
      <c r="F1392" s="5">
        <f>ROUND(IFERROR(IF(OR($B1392 &lt;=0, $B1392 = ExtraPayment),0,
MAX(-$B1392, -(-PMT(InterestRate/PaymentsPerYear,LoanTerm*PaymentsPerYear,LoanAmount) + $E1392))), 0), 2)</f>
        <v>0</v>
      </c>
      <c r="G1392" s="5">
        <f t="shared" si="86"/>
        <v>0</v>
      </c>
      <c r="H1392" s="5">
        <f t="shared" si="87"/>
        <v>0</v>
      </c>
    </row>
    <row r="1393" spans="1:8" x14ac:dyDescent="0.2">
      <c r="A1393" s="2">
        <v>1392</v>
      </c>
      <c r="B1393" s="5">
        <f t="shared" si="84"/>
        <v>0</v>
      </c>
      <c r="C1393" s="5">
        <f t="shared" si="85"/>
        <v>0</v>
      </c>
      <c r="D1393" s="5">
        <f>IF(ExtraPayment=0, 0, IF(AND($B1393&lt;&gt;0,ExtraPayment&lt;=$B1393),-ExtraPayment,-($F1393)-$B1393))</f>
        <v>0</v>
      </c>
      <c r="E1393" s="5">
        <f>IF($B1393 &lt;= 0, 0, -ROUND($B1393 * (InterestRate / PaymentsPerYear), 2))</f>
        <v>0</v>
      </c>
      <c r="F1393" s="5">
        <f>ROUND(IFERROR(IF(OR($B1393 &lt;=0, $B1393 = ExtraPayment),0,
MAX(-$B1393, -(-PMT(InterestRate/PaymentsPerYear,LoanTerm*PaymentsPerYear,LoanAmount) + $E1393))), 0), 2)</f>
        <v>0</v>
      </c>
      <c r="G1393" s="5">
        <f t="shared" si="86"/>
        <v>0</v>
      </c>
      <c r="H1393" s="5">
        <f t="shared" si="87"/>
        <v>0</v>
      </c>
    </row>
    <row r="1394" spans="1:8" x14ac:dyDescent="0.2">
      <c r="A1394" s="2">
        <v>1393</v>
      </c>
      <c r="B1394" s="5">
        <f t="shared" si="84"/>
        <v>0</v>
      </c>
      <c r="C1394" s="5">
        <f t="shared" si="85"/>
        <v>0</v>
      </c>
      <c r="D1394" s="5">
        <f>IF(ExtraPayment=0, 0, IF(AND($B1394&lt;&gt;0,ExtraPayment&lt;=$B1394),-ExtraPayment,-($F1394)-$B1394))</f>
        <v>0</v>
      </c>
      <c r="E1394" s="5">
        <f>IF($B1394 &lt;= 0, 0, -ROUND($B1394 * (InterestRate / PaymentsPerYear), 2))</f>
        <v>0</v>
      </c>
      <c r="F1394" s="5">
        <f>ROUND(IFERROR(IF(OR($B1394 &lt;=0, $B1394 = ExtraPayment),0,
MAX(-$B1394, -(-PMT(InterestRate/PaymentsPerYear,LoanTerm*PaymentsPerYear,LoanAmount) + $E1394))), 0), 2)</f>
        <v>0</v>
      </c>
      <c r="G1394" s="5">
        <f t="shared" si="86"/>
        <v>0</v>
      </c>
      <c r="H1394" s="5">
        <f t="shared" si="87"/>
        <v>0</v>
      </c>
    </row>
    <row r="1395" spans="1:8" x14ac:dyDescent="0.2">
      <c r="A1395" s="2">
        <v>1394</v>
      </c>
      <c r="B1395" s="5">
        <f t="shared" si="84"/>
        <v>0</v>
      </c>
      <c r="C1395" s="5">
        <f t="shared" si="85"/>
        <v>0</v>
      </c>
      <c r="D1395" s="5">
        <f>IF(ExtraPayment=0, 0, IF(AND($B1395&lt;&gt;0,ExtraPayment&lt;=$B1395),-ExtraPayment,-($F1395)-$B1395))</f>
        <v>0</v>
      </c>
      <c r="E1395" s="5">
        <f>IF($B1395 &lt;= 0, 0, -ROUND($B1395 * (InterestRate / PaymentsPerYear), 2))</f>
        <v>0</v>
      </c>
      <c r="F1395" s="5">
        <f>ROUND(IFERROR(IF(OR($B1395 &lt;=0, $B1395 = ExtraPayment),0,
MAX(-$B1395, -(-PMT(InterestRate/PaymentsPerYear,LoanTerm*PaymentsPerYear,LoanAmount) + $E1395))), 0), 2)</f>
        <v>0</v>
      </c>
      <c r="G1395" s="5">
        <f t="shared" si="86"/>
        <v>0</v>
      </c>
      <c r="H1395" s="5">
        <f t="shared" si="87"/>
        <v>0</v>
      </c>
    </row>
    <row r="1396" spans="1:8" x14ac:dyDescent="0.2">
      <c r="A1396" s="2">
        <v>1395</v>
      </c>
      <c r="B1396" s="5">
        <f t="shared" si="84"/>
        <v>0</v>
      </c>
      <c r="C1396" s="5">
        <f t="shared" si="85"/>
        <v>0</v>
      </c>
      <c r="D1396" s="5">
        <f>IF(ExtraPayment=0, 0, IF(AND($B1396&lt;&gt;0,ExtraPayment&lt;=$B1396),-ExtraPayment,-($F1396)-$B1396))</f>
        <v>0</v>
      </c>
      <c r="E1396" s="5">
        <f>IF($B1396 &lt;= 0, 0, -ROUND($B1396 * (InterestRate / PaymentsPerYear), 2))</f>
        <v>0</v>
      </c>
      <c r="F1396" s="5">
        <f>ROUND(IFERROR(IF(OR($B1396 &lt;=0, $B1396 = ExtraPayment),0,
MAX(-$B1396, -(-PMT(InterestRate/PaymentsPerYear,LoanTerm*PaymentsPerYear,LoanAmount) + $E1396))), 0), 2)</f>
        <v>0</v>
      </c>
      <c r="G1396" s="5">
        <f t="shared" si="86"/>
        <v>0</v>
      </c>
      <c r="H1396" s="5">
        <f t="shared" si="87"/>
        <v>0</v>
      </c>
    </row>
    <row r="1397" spans="1:8" x14ac:dyDescent="0.2">
      <c r="A1397" s="2">
        <v>1396</v>
      </c>
      <c r="B1397" s="5">
        <f t="shared" si="84"/>
        <v>0</v>
      </c>
      <c r="C1397" s="5">
        <f t="shared" si="85"/>
        <v>0</v>
      </c>
      <c r="D1397" s="5">
        <f>IF(ExtraPayment=0, 0, IF(AND($B1397&lt;&gt;0,ExtraPayment&lt;=$B1397),-ExtraPayment,-($F1397)-$B1397))</f>
        <v>0</v>
      </c>
      <c r="E1397" s="5">
        <f>IF($B1397 &lt;= 0, 0, -ROUND($B1397 * (InterestRate / PaymentsPerYear), 2))</f>
        <v>0</v>
      </c>
      <c r="F1397" s="5">
        <f>ROUND(IFERROR(IF(OR($B1397 &lt;=0, $B1397 = ExtraPayment),0,
MAX(-$B1397, -(-PMT(InterestRate/PaymentsPerYear,LoanTerm*PaymentsPerYear,LoanAmount) + $E1397))), 0), 2)</f>
        <v>0</v>
      </c>
      <c r="G1397" s="5">
        <f t="shared" si="86"/>
        <v>0</v>
      </c>
      <c r="H1397" s="5">
        <f t="shared" si="87"/>
        <v>0</v>
      </c>
    </row>
    <row r="1398" spans="1:8" x14ac:dyDescent="0.2">
      <c r="A1398" s="2">
        <v>1397</v>
      </c>
      <c r="B1398" s="5">
        <f t="shared" si="84"/>
        <v>0</v>
      </c>
      <c r="C1398" s="5">
        <f t="shared" si="85"/>
        <v>0</v>
      </c>
      <c r="D1398" s="5">
        <f>IF(ExtraPayment=0, 0, IF(AND($B1398&lt;&gt;0,ExtraPayment&lt;=$B1398),-ExtraPayment,-($F1398)-$B1398))</f>
        <v>0</v>
      </c>
      <c r="E1398" s="5">
        <f>IF($B1398 &lt;= 0, 0, -ROUND($B1398 * (InterestRate / PaymentsPerYear), 2))</f>
        <v>0</v>
      </c>
      <c r="F1398" s="5">
        <f>ROUND(IFERROR(IF(OR($B1398 &lt;=0, $B1398 = ExtraPayment),0,
MAX(-$B1398, -(-PMT(InterestRate/PaymentsPerYear,LoanTerm*PaymentsPerYear,LoanAmount) + $E1398))), 0), 2)</f>
        <v>0</v>
      </c>
      <c r="G1398" s="5">
        <f t="shared" si="86"/>
        <v>0</v>
      </c>
      <c r="H1398" s="5">
        <f t="shared" si="87"/>
        <v>0</v>
      </c>
    </row>
    <row r="1399" spans="1:8" x14ac:dyDescent="0.2">
      <c r="A1399" s="2">
        <v>1398</v>
      </c>
      <c r="B1399" s="5">
        <f t="shared" si="84"/>
        <v>0</v>
      </c>
      <c r="C1399" s="5">
        <f t="shared" si="85"/>
        <v>0</v>
      </c>
      <c r="D1399" s="5">
        <f>IF(ExtraPayment=0, 0, IF(AND($B1399&lt;&gt;0,ExtraPayment&lt;=$B1399),-ExtraPayment,-($F1399)-$B1399))</f>
        <v>0</v>
      </c>
      <c r="E1399" s="5">
        <f>IF($B1399 &lt;= 0, 0, -ROUND($B1399 * (InterestRate / PaymentsPerYear), 2))</f>
        <v>0</v>
      </c>
      <c r="F1399" s="5">
        <f>ROUND(IFERROR(IF(OR($B1399 &lt;=0, $B1399 = ExtraPayment),0,
MAX(-$B1399, -(-PMT(InterestRate/PaymentsPerYear,LoanTerm*PaymentsPerYear,LoanAmount) + $E1399))), 0), 2)</f>
        <v>0</v>
      </c>
      <c r="G1399" s="5">
        <f t="shared" si="86"/>
        <v>0</v>
      </c>
      <c r="H1399" s="5">
        <f t="shared" si="87"/>
        <v>0</v>
      </c>
    </row>
    <row r="1400" spans="1:8" x14ac:dyDescent="0.2">
      <c r="A1400" s="2">
        <v>1399</v>
      </c>
      <c r="B1400" s="5">
        <f t="shared" si="84"/>
        <v>0</v>
      </c>
      <c r="C1400" s="5">
        <f t="shared" si="85"/>
        <v>0</v>
      </c>
      <c r="D1400" s="5">
        <f>IF(ExtraPayment=0, 0, IF(AND($B1400&lt;&gt;0,ExtraPayment&lt;=$B1400),-ExtraPayment,-($F1400)-$B1400))</f>
        <v>0</v>
      </c>
      <c r="E1400" s="5">
        <f>IF($B1400 &lt;= 0, 0, -ROUND($B1400 * (InterestRate / PaymentsPerYear), 2))</f>
        <v>0</v>
      </c>
      <c r="F1400" s="5">
        <f>ROUND(IFERROR(IF(OR($B1400 &lt;=0, $B1400 = ExtraPayment),0,
MAX(-$B1400, -(-PMT(InterestRate/PaymentsPerYear,LoanTerm*PaymentsPerYear,LoanAmount) + $E1400))), 0), 2)</f>
        <v>0</v>
      </c>
      <c r="G1400" s="5">
        <f t="shared" si="86"/>
        <v>0</v>
      </c>
      <c r="H1400" s="5">
        <f t="shared" si="87"/>
        <v>0</v>
      </c>
    </row>
    <row r="1401" spans="1:8" x14ac:dyDescent="0.2">
      <c r="A1401" s="2">
        <v>1400</v>
      </c>
      <c r="B1401" s="5">
        <f t="shared" si="84"/>
        <v>0</v>
      </c>
      <c r="C1401" s="5">
        <f t="shared" si="85"/>
        <v>0</v>
      </c>
      <c r="D1401" s="5">
        <f>IF(ExtraPayment=0, 0, IF(AND($B1401&lt;&gt;0,ExtraPayment&lt;=$B1401),-ExtraPayment,-($F1401)-$B1401))</f>
        <v>0</v>
      </c>
      <c r="E1401" s="5">
        <f>IF($B1401 &lt;= 0, 0, -ROUND($B1401 * (InterestRate / PaymentsPerYear), 2))</f>
        <v>0</v>
      </c>
      <c r="F1401" s="5">
        <f>ROUND(IFERROR(IF(OR($B1401 &lt;=0, $B1401 = ExtraPayment),0,
MAX(-$B1401, -(-PMT(InterestRate/PaymentsPerYear,LoanTerm*PaymentsPerYear,LoanAmount) + $E1401))), 0), 2)</f>
        <v>0</v>
      </c>
      <c r="G1401" s="5">
        <f t="shared" si="86"/>
        <v>0</v>
      </c>
      <c r="H1401" s="5">
        <f t="shared" si="87"/>
        <v>0</v>
      </c>
    </row>
    <row r="1402" spans="1:8" x14ac:dyDescent="0.2">
      <c r="A1402" s="2">
        <v>1401</v>
      </c>
      <c r="B1402" s="5">
        <f t="shared" si="84"/>
        <v>0</v>
      </c>
      <c r="C1402" s="5">
        <f t="shared" si="85"/>
        <v>0</v>
      </c>
      <c r="D1402" s="5">
        <f>IF(ExtraPayment=0, 0, IF(AND($B1402&lt;&gt;0,ExtraPayment&lt;=$B1402),-ExtraPayment,-($F1402)-$B1402))</f>
        <v>0</v>
      </c>
      <c r="E1402" s="5">
        <f>IF($B1402 &lt;= 0, 0, -ROUND($B1402 * (InterestRate / PaymentsPerYear), 2))</f>
        <v>0</v>
      </c>
      <c r="F1402" s="5">
        <f>ROUND(IFERROR(IF(OR($B1402 &lt;=0, $B1402 = ExtraPayment),0,
MAX(-$B1402, -(-PMT(InterestRate/PaymentsPerYear,LoanTerm*PaymentsPerYear,LoanAmount) + $E1402))), 0), 2)</f>
        <v>0</v>
      </c>
      <c r="G1402" s="5">
        <f t="shared" si="86"/>
        <v>0</v>
      </c>
      <c r="H1402" s="5">
        <f t="shared" si="87"/>
        <v>0</v>
      </c>
    </row>
    <row r="1403" spans="1:8" x14ac:dyDescent="0.2">
      <c r="A1403" s="2">
        <v>1402</v>
      </c>
      <c r="B1403" s="5">
        <f t="shared" si="84"/>
        <v>0</v>
      </c>
      <c r="C1403" s="5">
        <f t="shared" si="85"/>
        <v>0</v>
      </c>
      <c r="D1403" s="5">
        <f>IF(ExtraPayment=0, 0, IF(AND($B1403&lt;&gt;0,ExtraPayment&lt;=$B1403),-ExtraPayment,-($F1403)-$B1403))</f>
        <v>0</v>
      </c>
      <c r="E1403" s="5">
        <f>IF($B1403 &lt;= 0, 0, -ROUND($B1403 * (InterestRate / PaymentsPerYear), 2))</f>
        <v>0</v>
      </c>
      <c r="F1403" s="5">
        <f>ROUND(IFERROR(IF(OR($B1403 &lt;=0, $B1403 = ExtraPayment),0,
MAX(-$B1403, -(-PMT(InterestRate/PaymentsPerYear,LoanTerm*PaymentsPerYear,LoanAmount) + $E1403))), 0), 2)</f>
        <v>0</v>
      </c>
      <c r="G1403" s="5">
        <f t="shared" si="86"/>
        <v>0</v>
      </c>
      <c r="H1403" s="5">
        <f t="shared" si="87"/>
        <v>0</v>
      </c>
    </row>
    <row r="1404" spans="1:8" x14ac:dyDescent="0.2">
      <c r="A1404" s="2">
        <v>1403</v>
      </c>
      <c r="B1404" s="5">
        <f t="shared" si="84"/>
        <v>0</v>
      </c>
      <c r="C1404" s="5">
        <f t="shared" si="85"/>
        <v>0</v>
      </c>
      <c r="D1404" s="5">
        <f>IF(ExtraPayment=0, 0, IF(AND($B1404&lt;&gt;0,ExtraPayment&lt;=$B1404),-ExtraPayment,-($F1404)-$B1404))</f>
        <v>0</v>
      </c>
      <c r="E1404" s="5">
        <f>IF($B1404 &lt;= 0, 0, -ROUND($B1404 * (InterestRate / PaymentsPerYear), 2))</f>
        <v>0</v>
      </c>
      <c r="F1404" s="5">
        <f>ROUND(IFERROR(IF(OR($B1404 &lt;=0, $B1404 = ExtraPayment),0,
MAX(-$B1404, -(-PMT(InterestRate/PaymentsPerYear,LoanTerm*PaymentsPerYear,LoanAmount) + $E1404))), 0), 2)</f>
        <v>0</v>
      </c>
      <c r="G1404" s="5">
        <f t="shared" si="86"/>
        <v>0</v>
      </c>
      <c r="H1404" s="5">
        <f t="shared" si="87"/>
        <v>0</v>
      </c>
    </row>
    <row r="1405" spans="1:8" x14ac:dyDescent="0.2">
      <c r="A1405" s="2">
        <v>1404</v>
      </c>
      <c r="B1405" s="5">
        <f t="shared" si="84"/>
        <v>0</v>
      </c>
      <c r="C1405" s="5">
        <f t="shared" si="85"/>
        <v>0</v>
      </c>
      <c r="D1405" s="5">
        <f>IF(ExtraPayment=0, 0, IF(AND($B1405&lt;&gt;0,ExtraPayment&lt;=$B1405),-ExtraPayment,-($F1405)-$B1405))</f>
        <v>0</v>
      </c>
      <c r="E1405" s="5">
        <f>IF($B1405 &lt;= 0, 0, -ROUND($B1405 * (InterestRate / PaymentsPerYear), 2))</f>
        <v>0</v>
      </c>
      <c r="F1405" s="5">
        <f>ROUND(IFERROR(IF(OR($B1405 &lt;=0, $B1405 = ExtraPayment),0,
MAX(-$B1405, -(-PMT(InterestRate/PaymentsPerYear,LoanTerm*PaymentsPerYear,LoanAmount) + $E1405))), 0), 2)</f>
        <v>0</v>
      </c>
      <c r="G1405" s="5">
        <f t="shared" si="86"/>
        <v>0</v>
      </c>
      <c r="H1405" s="5">
        <f t="shared" si="87"/>
        <v>0</v>
      </c>
    </row>
    <row r="1406" spans="1:8" x14ac:dyDescent="0.2">
      <c r="A1406" s="2">
        <v>1405</v>
      </c>
      <c r="B1406" s="5">
        <f t="shared" si="84"/>
        <v>0</v>
      </c>
      <c r="C1406" s="5">
        <f t="shared" si="85"/>
        <v>0</v>
      </c>
      <c r="D1406" s="5">
        <f>IF(ExtraPayment=0, 0, IF(AND($B1406&lt;&gt;0,ExtraPayment&lt;=$B1406),-ExtraPayment,-($F1406)-$B1406))</f>
        <v>0</v>
      </c>
      <c r="E1406" s="5">
        <f>IF($B1406 &lt;= 0, 0, -ROUND($B1406 * (InterestRate / PaymentsPerYear), 2))</f>
        <v>0</v>
      </c>
      <c r="F1406" s="5">
        <f>ROUND(IFERROR(IF(OR($B1406 &lt;=0, $B1406 = ExtraPayment),0,
MAX(-$B1406, -(-PMT(InterestRate/PaymentsPerYear,LoanTerm*PaymentsPerYear,LoanAmount) + $E1406))), 0), 2)</f>
        <v>0</v>
      </c>
      <c r="G1406" s="5">
        <f t="shared" si="86"/>
        <v>0</v>
      </c>
      <c r="H1406" s="5">
        <f t="shared" si="87"/>
        <v>0</v>
      </c>
    </row>
    <row r="1407" spans="1:8" x14ac:dyDescent="0.2">
      <c r="A1407" s="2">
        <v>1406</v>
      </c>
      <c r="B1407" s="5">
        <f t="shared" si="84"/>
        <v>0</v>
      </c>
      <c r="C1407" s="5">
        <f t="shared" si="85"/>
        <v>0</v>
      </c>
      <c r="D1407" s="5">
        <f>IF(ExtraPayment=0, 0, IF(AND($B1407&lt;&gt;0,ExtraPayment&lt;=$B1407),-ExtraPayment,-($F1407)-$B1407))</f>
        <v>0</v>
      </c>
      <c r="E1407" s="5">
        <f>IF($B1407 &lt;= 0, 0, -ROUND($B1407 * (InterestRate / PaymentsPerYear), 2))</f>
        <v>0</v>
      </c>
      <c r="F1407" s="5">
        <f>ROUND(IFERROR(IF(OR($B1407 &lt;=0, $B1407 = ExtraPayment),0,
MAX(-$B1407, -(-PMT(InterestRate/PaymentsPerYear,LoanTerm*PaymentsPerYear,LoanAmount) + $E1407))), 0), 2)</f>
        <v>0</v>
      </c>
      <c r="G1407" s="5">
        <f t="shared" si="86"/>
        <v>0</v>
      </c>
      <c r="H1407" s="5">
        <f t="shared" si="87"/>
        <v>0</v>
      </c>
    </row>
    <row r="1408" spans="1:8" x14ac:dyDescent="0.2">
      <c r="A1408" s="2">
        <v>1407</v>
      </c>
      <c r="B1408" s="5">
        <f t="shared" si="84"/>
        <v>0</v>
      </c>
      <c r="C1408" s="5">
        <f t="shared" si="85"/>
        <v>0</v>
      </c>
      <c r="D1408" s="5">
        <f>IF(ExtraPayment=0, 0, IF(AND($B1408&lt;&gt;0,ExtraPayment&lt;=$B1408),-ExtraPayment,-($F1408)-$B1408))</f>
        <v>0</v>
      </c>
      <c r="E1408" s="5">
        <f>IF($B1408 &lt;= 0, 0, -ROUND($B1408 * (InterestRate / PaymentsPerYear), 2))</f>
        <v>0</v>
      </c>
      <c r="F1408" s="5">
        <f>ROUND(IFERROR(IF(OR($B1408 &lt;=0, $B1408 = ExtraPayment),0,
MAX(-$B1408, -(-PMT(InterestRate/PaymentsPerYear,LoanTerm*PaymentsPerYear,LoanAmount) + $E1408))), 0), 2)</f>
        <v>0</v>
      </c>
      <c r="G1408" s="5">
        <f t="shared" si="86"/>
        <v>0</v>
      </c>
      <c r="H1408" s="5">
        <f t="shared" si="87"/>
        <v>0</v>
      </c>
    </row>
    <row r="1409" spans="1:8" x14ac:dyDescent="0.2">
      <c r="A1409" s="2">
        <v>1408</v>
      </c>
      <c r="B1409" s="5">
        <f t="shared" si="84"/>
        <v>0</v>
      </c>
      <c r="C1409" s="5">
        <f t="shared" si="85"/>
        <v>0</v>
      </c>
      <c r="D1409" s="5">
        <f>IF(ExtraPayment=0, 0, IF(AND($B1409&lt;&gt;0,ExtraPayment&lt;=$B1409),-ExtraPayment,-($F1409)-$B1409))</f>
        <v>0</v>
      </c>
      <c r="E1409" s="5">
        <f>IF($B1409 &lt;= 0, 0, -ROUND($B1409 * (InterestRate / PaymentsPerYear), 2))</f>
        <v>0</v>
      </c>
      <c r="F1409" s="5">
        <f>ROUND(IFERROR(IF(OR($B1409 &lt;=0, $B1409 = ExtraPayment),0,
MAX(-$B1409, -(-PMT(InterestRate/PaymentsPerYear,LoanTerm*PaymentsPerYear,LoanAmount) + $E1409))), 0), 2)</f>
        <v>0</v>
      </c>
      <c r="G1409" s="5">
        <f t="shared" si="86"/>
        <v>0</v>
      </c>
      <c r="H1409" s="5">
        <f t="shared" si="87"/>
        <v>0</v>
      </c>
    </row>
    <row r="1410" spans="1:8" x14ac:dyDescent="0.2">
      <c r="A1410" s="2">
        <v>1409</v>
      </c>
      <c r="B1410" s="5">
        <f t="shared" si="84"/>
        <v>0</v>
      </c>
      <c r="C1410" s="5">
        <f t="shared" si="85"/>
        <v>0</v>
      </c>
      <c r="D1410" s="5">
        <f>IF(ExtraPayment=0, 0, IF(AND($B1410&lt;&gt;0,ExtraPayment&lt;=$B1410),-ExtraPayment,-($F1410)-$B1410))</f>
        <v>0</v>
      </c>
      <c r="E1410" s="5">
        <f>IF($B1410 &lt;= 0, 0, -ROUND($B1410 * (InterestRate / PaymentsPerYear), 2))</f>
        <v>0</v>
      </c>
      <c r="F1410" s="5">
        <f>ROUND(IFERROR(IF(OR($B1410 &lt;=0, $B1410 = ExtraPayment),0,
MAX(-$B1410, -(-PMT(InterestRate/PaymentsPerYear,LoanTerm*PaymentsPerYear,LoanAmount) + $E1410))), 0), 2)</f>
        <v>0</v>
      </c>
      <c r="G1410" s="5">
        <f t="shared" si="86"/>
        <v>0</v>
      </c>
      <c r="H1410" s="5">
        <f t="shared" si="87"/>
        <v>0</v>
      </c>
    </row>
    <row r="1411" spans="1:8" x14ac:dyDescent="0.2">
      <c r="A1411" s="2">
        <v>1410</v>
      </c>
      <c r="B1411" s="5">
        <f t="shared" si="84"/>
        <v>0</v>
      </c>
      <c r="C1411" s="5">
        <f t="shared" si="85"/>
        <v>0</v>
      </c>
      <c r="D1411" s="5">
        <f>IF(ExtraPayment=0, 0, IF(AND($B1411&lt;&gt;0,ExtraPayment&lt;=$B1411),-ExtraPayment,-($F1411)-$B1411))</f>
        <v>0</v>
      </c>
      <c r="E1411" s="5">
        <f>IF($B1411 &lt;= 0, 0, -ROUND($B1411 * (InterestRate / PaymentsPerYear), 2))</f>
        <v>0</v>
      </c>
      <c r="F1411" s="5">
        <f>ROUND(IFERROR(IF(OR($B1411 &lt;=0, $B1411 = ExtraPayment),0,
MAX(-$B1411, -(-PMT(InterestRate/PaymentsPerYear,LoanTerm*PaymentsPerYear,LoanAmount) + $E1411))), 0), 2)</f>
        <v>0</v>
      </c>
      <c r="G1411" s="5">
        <f t="shared" si="86"/>
        <v>0</v>
      </c>
      <c r="H1411" s="5">
        <f t="shared" si="87"/>
        <v>0</v>
      </c>
    </row>
    <row r="1412" spans="1:8" x14ac:dyDescent="0.2">
      <c r="A1412" s="2">
        <v>1411</v>
      </c>
      <c r="B1412" s="5">
        <f t="shared" ref="B1412:B1475" si="88">ROUND(IF($H1411 &gt;= 0, MAX($H1411, $F1411), 0), 2)</f>
        <v>0</v>
      </c>
      <c r="C1412" s="5">
        <f t="shared" ref="C1412:C1475" si="89">IF($B1412 &lt;= 0, 0, $D1412+$E1412+$F1412)</f>
        <v>0</v>
      </c>
      <c r="D1412" s="5">
        <f>IF(ExtraPayment=0, 0, IF(AND($B1412&lt;&gt;0,ExtraPayment&lt;=$B1412),-ExtraPayment,-($F1412)-$B1412))</f>
        <v>0</v>
      </c>
      <c r="E1412" s="5">
        <f>IF($B1412 &lt;= 0, 0, -ROUND($B1412 * (InterestRate / PaymentsPerYear), 2))</f>
        <v>0</v>
      </c>
      <c r="F1412" s="5">
        <f>ROUND(IFERROR(IF(OR($B1412 &lt;=0, $B1412 = ExtraPayment),0,
MAX(-$B1412, -(-PMT(InterestRate/PaymentsPerYear,LoanTerm*PaymentsPerYear,LoanAmount) + $E1412))), 0), 2)</f>
        <v>0</v>
      </c>
      <c r="G1412" s="5">
        <f t="shared" ref="G1412:G1475" si="90">$D1412+$F1412</f>
        <v>0</v>
      </c>
      <c r="H1412" s="5">
        <f t="shared" ref="H1412:H1475" si="91">ROUND(IF($B1412 &lt;= 0, 0,MAX(0, $B1412 + $G1412)), 2)</f>
        <v>0</v>
      </c>
    </row>
    <row r="1413" spans="1:8" x14ac:dyDescent="0.2">
      <c r="A1413" s="2">
        <v>1412</v>
      </c>
      <c r="B1413" s="5">
        <f t="shared" si="88"/>
        <v>0</v>
      </c>
      <c r="C1413" s="5">
        <f t="shared" si="89"/>
        <v>0</v>
      </c>
      <c r="D1413" s="5">
        <f>IF(ExtraPayment=0, 0, IF(AND($B1413&lt;&gt;0,ExtraPayment&lt;=$B1413),-ExtraPayment,-($F1413)-$B1413))</f>
        <v>0</v>
      </c>
      <c r="E1413" s="5">
        <f>IF($B1413 &lt;= 0, 0, -ROUND($B1413 * (InterestRate / PaymentsPerYear), 2))</f>
        <v>0</v>
      </c>
      <c r="F1413" s="5">
        <f>ROUND(IFERROR(IF(OR($B1413 &lt;=0, $B1413 = ExtraPayment),0,
MAX(-$B1413, -(-PMT(InterestRate/PaymentsPerYear,LoanTerm*PaymentsPerYear,LoanAmount) + $E1413))), 0), 2)</f>
        <v>0</v>
      </c>
      <c r="G1413" s="5">
        <f t="shared" si="90"/>
        <v>0</v>
      </c>
      <c r="H1413" s="5">
        <f t="shared" si="91"/>
        <v>0</v>
      </c>
    </row>
    <row r="1414" spans="1:8" x14ac:dyDescent="0.2">
      <c r="A1414" s="2">
        <v>1413</v>
      </c>
      <c r="B1414" s="5">
        <f t="shared" si="88"/>
        <v>0</v>
      </c>
      <c r="C1414" s="5">
        <f t="shared" si="89"/>
        <v>0</v>
      </c>
      <c r="D1414" s="5">
        <f>IF(ExtraPayment=0, 0, IF(AND($B1414&lt;&gt;0,ExtraPayment&lt;=$B1414),-ExtraPayment,-($F1414)-$B1414))</f>
        <v>0</v>
      </c>
      <c r="E1414" s="5">
        <f>IF($B1414 &lt;= 0, 0, -ROUND($B1414 * (InterestRate / PaymentsPerYear), 2))</f>
        <v>0</v>
      </c>
      <c r="F1414" s="5">
        <f>ROUND(IFERROR(IF(OR($B1414 &lt;=0, $B1414 = ExtraPayment),0,
MAX(-$B1414, -(-PMT(InterestRate/PaymentsPerYear,LoanTerm*PaymentsPerYear,LoanAmount) + $E1414))), 0), 2)</f>
        <v>0</v>
      </c>
      <c r="G1414" s="5">
        <f t="shared" si="90"/>
        <v>0</v>
      </c>
      <c r="H1414" s="5">
        <f t="shared" si="91"/>
        <v>0</v>
      </c>
    </row>
    <row r="1415" spans="1:8" x14ac:dyDescent="0.2">
      <c r="A1415" s="2">
        <v>1414</v>
      </c>
      <c r="B1415" s="5">
        <f t="shared" si="88"/>
        <v>0</v>
      </c>
      <c r="C1415" s="5">
        <f t="shared" si="89"/>
        <v>0</v>
      </c>
      <c r="D1415" s="5">
        <f>IF(ExtraPayment=0, 0, IF(AND($B1415&lt;&gt;0,ExtraPayment&lt;=$B1415),-ExtraPayment,-($F1415)-$B1415))</f>
        <v>0</v>
      </c>
      <c r="E1415" s="5">
        <f>IF($B1415 &lt;= 0, 0, -ROUND($B1415 * (InterestRate / PaymentsPerYear), 2))</f>
        <v>0</v>
      </c>
      <c r="F1415" s="5">
        <f>ROUND(IFERROR(IF(OR($B1415 &lt;=0, $B1415 = ExtraPayment),0,
MAX(-$B1415, -(-PMT(InterestRate/PaymentsPerYear,LoanTerm*PaymentsPerYear,LoanAmount) + $E1415))), 0), 2)</f>
        <v>0</v>
      </c>
      <c r="G1415" s="5">
        <f t="shared" si="90"/>
        <v>0</v>
      </c>
      <c r="H1415" s="5">
        <f t="shared" si="91"/>
        <v>0</v>
      </c>
    </row>
    <row r="1416" spans="1:8" x14ac:dyDescent="0.2">
      <c r="A1416" s="2">
        <v>1415</v>
      </c>
      <c r="B1416" s="5">
        <f t="shared" si="88"/>
        <v>0</v>
      </c>
      <c r="C1416" s="5">
        <f t="shared" si="89"/>
        <v>0</v>
      </c>
      <c r="D1416" s="5">
        <f>IF(ExtraPayment=0, 0, IF(AND($B1416&lt;&gt;0,ExtraPayment&lt;=$B1416),-ExtraPayment,-($F1416)-$B1416))</f>
        <v>0</v>
      </c>
      <c r="E1416" s="5">
        <f>IF($B1416 &lt;= 0, 0, -ROUND($B1416 * (InterestRate / PaymentsPerYear), 2))</f>
        <v>0</v>
      </c>
      <c r="F1416" s="5">
        <f>ROUND(IFERROR(IF(OR($B1416 &lt;=0, $B1416 = ExtraPayment),0,
MAX(-$B1416, -(-PMT(InterestRate/PaymentsPerYear,LoanTerm*PaymentsPerYear,LoanAmount) + $E1416))), 0), 2)</f>
        <v>0</v>
      </c>
      <c r="G1416" s="5">
        <f t="shared" si="90"/>
        <v>0</v>
      </c>
      <c r="H1416" s="5">
        <f t="shared" si="91"/>
        <v>0</v>
      </c>
    </row>
    <row r="1417" spans="1:8" x14ac:dyDescent="0.2">
      <c r="A1417" s="2">
        <v>1416</v>
      </c>
      <c r="B1417" s="5">
        <f t="shared" si="88"/>
        <v>0</v>
      </c>
      <c r="C1417" s="5">
        <f t="shared" si="89"/>
        <v>0</v>
      </c>
      <c r="D1417" s="5">
        <f>IF(ExtraPayment=0, 0, IF(AND($B1417&lt;&gt;0,ExtraPayment&lt;=$B1417),-ExtraPayment,-($F1417)-$B1417))</f>
        <v>0</v>
      </c>
      <c r="E1417" s="5">
        <f>IF($B1417 &lt;= 0, 0, -ROUND($B1417 * (InterestRate / PaymentsPerYear), 2))</f>
        <v>0</v>
      </c>
      <c r="F1417" s="5">
        <f>ROUND(IFERROR(IF(OR($B1417 &lt;=0, $B1417 = ExtraPayment),0,
MAX(-$B1417, -(-PMT(InterestRate/PaymentsPerYear,LoanTerm*PaymentsPerYear,LoanAmount) + $E1417))), 0), 2)</f>
        <v>0</v>
      </c>
      <c r="G1417" s="5">
        <f t="shared" si="90"/>
        <v>0</v>
      </c>
      <c r="H1417" s="5">
        <f t="shared" si="91"/>
        <v>0</v>
      </c>
    </row>
    <row r="1418" spans="1:8" x14ac:dyDescent="0.2">
      <c r="A1418" s="2">
        <v>1417</v>
      </c>
      <c r="B1418" s="5">
        <f t="shared" si="88"/>
        <v>0</v>
      </c>
      <c r="C1418" s="5">
        <f t="shared" si="89"/>
        <v>0</v>
      </c>
      <c r="D1418" s="5">
        <f>IF(ExtraPayment=0, 0, IF(AND($B1418&lt;&gt;0,ExtraPayment&lt;=$B1418),-ExtraPayment,-($F1418)-$B1418))</f>
        <v>0</v>
      </c>
      <c r="E1418" s="5">
        <f>IF($B1418 &lt;= 0, 0, -ROUND($B1418 * (InterestRate / PaymentsPerYear), 2))</f>
        <v>0</v>
      </c>
      <c r="F1418" s="5">
        <f>ROUND(IFERROR(IF(OR($B1418 &lt;=0, $B1418 = ExtraPayment),0,
MAX(-$B1418, -(-PMT(InterestRate/PaymentsPerYear,LoanTerm*PaymentsPerYear,LoanAmount) + $E1418))), 0), 2)</f>
        <v>0</v>
      </c>
      <c r="G1418" s="5">
        <f t="shared" si="90"/>
        <v>0</v>
      </c>
      <c r="H1418" s="5">
        <f t="shared" si="91"/>
        <v>0</v>
      </c>
    </row>
    <row r="1419" spans="1:8" x14ac:dyDescent="0.2">
      <c r="A1419" s="2">
        <v>1418</v>
      </c>
      <c r="B1419" s="5">
        <f t="shared" si="88"/>
        <v>0</v>
      </c>
      <c r="C1419" s="5">
        <f t="shared" si="89"/>
        <v>0</v>
      </c>
      <c r="D1419" s="5">
        <f>IF(ExtraPayment=0, 0, IF(AND($B1419&lt;&gt;0,ExtraPayment&lt;=$B1419),-ExtraPayment,-($F1419)-$B1419))</f>
        <v>0</v>
      </c>
      <c r="E1419" s="5">
        <f>IF($B1419 &lt;= 0, 0, -ROUND($B1419 * (InterestRate / PaymentsPerYear), 2))</f>
        <v>0</v>
      </c>
      <c r="F1419" s="5">
        <f>ROUND(IFERROR(IF(OR($B1419 &lt;=0, $B1419 = ExtraPayment),0,
MAX(-$B1419, -(-PMT(InterestRate/PaymentsPerYear,LoanTerm*PaymentsPerYear,LoanAmount) + $E1419))), 0), 2)</f>
        <v>0</v>
      </c>
      <c r="G1419" s="5">
        <f t="shared" si="90"/>
        <v>0</v>
      </c>
      <c r="H1419" s="5">
        <f t="shared" si="91"/>
        <v>0</v>
      </c>
    </row>
    <row r="1420" spans="1:8" x14ac:dyDescent="0.2">
      <c r="A1420" s="2">
        <v>1419</v>
      </c>
      <c r="B1420" s="5">
        <f t="shared" si="88"/>
        <v>0</v>
      </c>
      <c r="C1420" s="5">
        <f t="shared" si="89"/>
        <v>0</v>
      </c>
      <c r="D1420" s="5">
        <f>IF(ExtraPayment=0, 0, IF(AND($B1420&lt;&gt;0,ExtraPayment&lt;=$B1420),-ExtraPayment,-($F1420)-$B1420))</f>
        <v>0</v>
      </c>
      <c r="E1420" s="5">
        <f>IF($B1420 &lt;= 0, 0, -ROUND($B1420 * (InterestRate / PaymentsPerYear), 2))</f>
        <v>0</v>
      </c>
      <c r="F1420" s="5">
        <f>ROUND(IFERROR(IF(OR($B1420 &lt;=0, $B1420 = ExtraPayment),0,
MAX(-$B1420, -(-PMT(InterestRate/PaymentsPerYear,LoanTerm*PaymentsPerYear,LoanAmount) + $E1420))), 0), 2)</f>
        <v>0</v>
      </c>
      <c r="G1420" s="5">
        <f t="shared" si="90"/>
        <v>0</v>
      </c>
      <c r="H1420" s="5">
        <f t="shared" si="91"/>
        <v>0</v>
      </c>
    </row>
    <row r="1421" spans="1:8" x14ac:dyDescent="0.2">
      <c r="A1421" s="2">
        <v>1420</v>
      </c>
      <c r="B1421" s="5">
        <f t="shared" si="88"/>
        <v>0</v>
      </c>
      <c r="C1421" s="5">
        <f t="shared" si="89"/>
        <v>0</v>
      </c>
      <c r="D1421" s="5">
        <f>IF(ExtraPayment=0, 0, IF(AND($B1421&lt;&gt;0,ExtraPayment&lt;=$B1421),-ExtraPayment,-($F1421)-$B1421))</f>
        <v>0</v>
      </c>
      <c r="E1421" s="5">
        <f>IF($B1421 &lt;= 0, 0, -ROUND($B1421 * (InterestRate / PaymentsPerYear), 2))</f>
        <v>0</v>
      </c>
      <c r="F1421" s="5">
        <f>ROUND(IFERROR(IF(OR($B1421 &lt;=0, $B1421 = ExtraPayment),0,
MAX(-$B1421, -(-PMT(InterestRate/PaymentsPerYear,LoanTerm*PaymentsPerYear,LoanAmount) + $E1421))), 0), 2)</f>
        <v>0</v>
      </c>
      <c r="G1421" s="5">
        <f t="shared" si="90"/>
        <v>0</v>
      </c>
      <c r="H1421" s="5">
        <f t="shared" si="91"/>
        <v>0</v>
      </c>
    </row>
    <row r="1422" spans="1:8" x14ac:dyDescent="0.2">
      <c r="A1422" s="2">
        <v>1421</v>
      </c>
      <c r="B1422" s="5">
        <f t="shared" si="88"/>
        <v>0</v>
      </c>
      <c r="C1422" s="5">
        <f t="shared" si="89"/>
        <v>0</v>
      </c>
      <c r="D1422" s="5">
        <f>IF(ExtraPayment=0, 0, IF(AND($B1422&lt;&gt;0,ExtraPayment&lt;=$B1422),-ExtraPayment,-($F1422)-$B1422))</f>
        <v>0</v>
      </c>
      <c r="E1422" s="5">
        <f>IF($B1422 &lt;= 0, 0, -ROUND($B1422 * (InterestRate / PaymentsPerYear), 2))</f>
        <v>0</v>
      </c>
      <c r="F1422" s="5">
        <f>ROUND(IFERROR(IF(OR($B1422 &lt;=0, $B1422 = ExtraPayment),0,
MAX(-$B1422, -(-PMT(InterestRate/PaymentsPerYear,LoanTerm*PaymentsPerYear,LoanAmount) + $E1422))), 0), 2)</f>
        <v>0</v>
      </c>
      <c r="G1422" s="5">
        <f t="shared" si="90"/>
        <v>0</v>
      </c>
      <c r="H1422" s="5">
        <f t="shared" si="91"/>
        <v>0</v>
      </c>
    </row>
    <row r="1423" spans="1:8" x14ac:dyDescent="0.2">
      <c r="A1423" s="2">
        <v>1422</v>
      </c>
      <c r="B1423" s="5">
        <f t="shared" si="88"/>
        <v>0</v>
      </c>
      <c r="C1423" s="5">
        <f t="shared" si="89"/>
        <v>0</v>
      </c>
      <c r="D1423" s="5">
        <f>IF(ExtraPayment=0, 0, IF(AND($B1423&lt;&gt;0,ExtraPayment&lt;=$B1423),-ExtraPayment,-($F1423)-$B1423))</f>
        <v>0</v>
      </c>
      <c r="E1423" s="5">
        <f>IF($B1423 &lt;= 0, 0, -ROUND($B1423 * (InterestRate / PaymentsPerYear), 2))</f>
        <v>0</v>
      </c>
      <c r="F1423" s="5">
        <f>ROUND(IFERROR(IF(OR($B1423 &lt;=0, $B1423 = ExtraPayment),0,
MAX(-$B1423, -(-PMT(InterestRate/PaymentsPerYear,LoanTerm*PaymentsPerYear,LoanAmount) + $E1423))), 0), 2)</f>
        <v>0</v>
      </c>
      <c r="G1423" s="5">
        <f t="shared" si="90"/>
        <v>0</v>
      </c>
      <c r="H1423" s="5">
        <f t="shared" si="91"/>
        <v>0</v>
      </c>
    </row>
    <row r="1424" spans="1:8" x14ac:dyDescent="0.2">
      <c r="A1424" s="2">
        <v>1423</v>
      </c>
      <c r="B1424" s="5">
        <f t="shared" si="88"/>
        <v>0</v>
      </c>
      <c r="C1424" s="5">
        <f t="shared" si="89"/>
        <v>0</v>
      </c>
      <c r="D1424" s="5">
        <f>IF(ExtraPayment=0, 0, IF(AND($B1424&lt;&gt;0,ExtraPayment&lt;=$B1424),-ExtraPayment,-($F1424)-$B1424))</f>
        <v>0</v>
      </c>
      <c r="E1424" s="5">
        <f>IF($B1424 &lt;= 0, 0, -ROUND($B1424 * (InterestRate / PaymentsPerYear), 2))</f>
        <v>0</v>
      </c>
      <c r="F1424" s="5">
        <f>ROUND(IFERROR(IF(OR($B1424 &lt;=0, $B1424 = ExtraPayment),0,
MAX(-$B1424, -(-PMT(InterestRate/PaymentsPerYear,LoanTerm*PaymentsPerYear,LoanAmount) + $E1424))), 0), 2)</f>
        <v>0</v>
      </c>
      <c r="G1424" s="5">
        <f t="shared" si="90"/>
        <v>0</v>
      </c>
      <c r="H1424" s="5">
        <f t="shared" si="91"/>
        <v>0</v>
      </c>
    </row>
    <row r="1425" spans="1:8" x14ac:dyDescent="0.2">
      <c r="A1425" s="2">
        <v>1424</v>
      </c>
      <c r="B1425" s="5">
        <f t="shared" si="88"/>
        <v>0</v>
      </c>
      <c r="C1425" s="5">
        <f t="shared" si="89"/>
        <v>0</v>
      </c>
      <c r="D1425" s="5">
        <f>IF(ExtraPayment=0, 0, IF(AND($B1425&lt;&gt;0,ExtraPayment&lt;=$B1425),-ExtraPayment,-($F1425)-$B1425))</f>
        <v>0</v>
      </c>
      <c r="E1425" s="5">
        <f>IF($B1425 &lt;= 0, 0, -ROUND($B1425 * (InterestRate / PaymentsPerYear), 2))</f>
        <v>0</v>
      </c>
      <c r="F1425" s="5">
        <f>ROUND(IFERROR(IF(OR($B1425 &lt;=0, $B1425 = ExtraPayment),0,
MAX(-$B1425, -(-PMT(InterestRate/PaymentsPerYear,LoanTerm*PaymentsPerYear,LoanAmount) + $E1425))), 0), 2)</f>
        <v>0</v>
      </c>
      <c r="G1425" s="5">
        <f t="shared" si="90"/>
        <v>0</v>
      </c>
      <c r="H1425" s="5">
        <f t="shared" si="91"/>
        <v>0</v>
      </c>
    </row>
    <row r="1426" spans="1:8" x14ac:dyDescent="0.2">
      <c r="A1426" s="2">
        <v>1425</v>
      </c>
      <c r="B1426" s="5">
        <f t="shared" si="88"/>
        <v>0</v>
      </c>
      <c r="C1426" s="5">
        <f t="shared" si="89"/>
        <v>0</v>
      </c>
      <c r="D1426" s="5">
        <f>IF(ExtraPayment=0, 0, IF(AND($B1426&lt;&gt;0,ExtraPayment&lt;=$B1426),-ExtraPayment,-($F1426)-$B1426))</f>
        <v>0</v>
      </c>
      <c r="E1426" s="5">
        <f>IF($B1426 &lt;= 0, 0, -ROUND($B1426 * (InterestRate / PaymentsPerYear), 2))</f>
        <v>0</v>
      </c>
      <c r="F1426" s="5">
        <f>ROUND(IFERROR(IF(OR($B1426 &lt;=0, $B1426 = ExtraPayment),0,
MAX(-$B1426, -(-PMT(InterestRate/PaymentsPerYear,LoanTerm*PaymentsPerYear,LoanAmount) + $E1426))), 0), 2)</f>
        <v>0</v>
      </c>
      <c r="G1426" s="5">
        <f t="shared" si="90"/>
        <v>0</v>
      </c>
      <c r="H1426" s="5">
        <f t="shared" si="91"/>
        <v>0</v>
      </c>
    </row>
    <row r="1427" spans="1:8" x14ac:dyDescent="0.2">
      <c r="A1427" s="2">
        <v>1426</v>
      </c>
      <c r="B1427" s="5">
        <f t="shared" si="88"/>
        <v>0</v>
      </c>
      <c r="C1427" s="5">
        <f t="shared" si="89"/>
        <v>0</v>
      </c>
      <c r="D1427" s="5">
        <f>IF(ExtraPayment=0, 0, IF(AND($B1427&lt;&gt;0,ExtraPayment&lt;=$B1427),-ExtraPayment,-($F1427)-$B1427))</f>
        <v>0</v>
      </c>
      <c r="E1427" s="5">
        <f>IF($B1427 &lt;= 0, 0, -ROUND($B1427 * (InterestRate / PaymentsPerYear), 2))</f>
        <v>0</v>
      </c>
      <c r="F1427" s="5">
        <f>ROUND(IFERROR(IF(OR($B1427 &lt;=0, $B1427 = ExtraPayment),0,
MAX(-$B1427, -(-PMT(InterestRate/PaymentsPerYear,LoanTerm*PaymentsPerYear,LoanAmount) + $E1427))), 0), 2)</f>
        <v>0</v>
      </c>
      <c r="G1427" s="5">
        <f t="shared" si="90"/>
        <v>0</v>
      </c>
      <c r="H1427" s="5">
        <f t="shared" si="91"/>
        <v>0</v>
      </c>
    </row>
    <row r="1428" spans="1:8" x14ac:dyDescent="0.2">
      <c r="A1428" s="2">
        <v>1427</v>
      </c>
      <c r="B1428" s="5">
        <f t="shared" si="88"/>
        <v>0</v>
      </c>
      <c r="C1428" s="5">
        <f t="shared" si="89"/>
        <v>0</v>
      </c>
      <c r="D1428" s="5">
        <f>IF(ExtraPayment=0, 0, IF(AND($B1428&lt;&gt;0,ExtraPayment&lt;=$B1428),-ExtraPayment,-($F1428)-$B1428))</f>
        <v>0</v>
      </c>
      <c r="E1428" s="5">
        <f>IF($B1428 &lt;= 0, 0, -ROUND($B1428 * (InterestRate / PaymentsPerYear), 2))</f>
        <v>0</v>
      </c>
      <c r="F1428" s="5">
        <f>ROUND(IFERROR(IF(OR($B1428 &lt;=0, $B1428 = ExtraPayment),0,
MAX(-$B1428, -(-PMT(InterestRate/PaymentsPerYear,LoanTerm*PaymentsPerYear,LoanAmount) + $E1428))), 0), 2)</f>
        <v>0</v>
      </c>
      <c r="G1428" s="5">
        <f t="shared" si="90"/>
        <v>0</v>
      </c>
      <c r="H1428" s="5">
        <f t="shared" si="91"/>
        <v>0</v>
      </c>
    </row>
    <row r="1429" spans="1:8" x14ac:dyDescent="0.2">
      <c r="A1429" s="2">
        <v>1428</v>
      </c>
      <c r="B1429" s="5">
        <f t="shared" si="88"/>
        <v>0</v>
      </c>
      <c r="C1429" s="5">
        <f t="shared" si="89"/>
        <v>0</v>
      </c>
      <c r="D1429" s="5">
        <f>IF(ExtraPayment=0, 0, IF(AND($B1429&lt;&gt;0,ExtraPayment&lt;=$B1429),-ExtraPayment,-($F1429)-$B1429))</f>
        <v>0</v>
      </c>
      <c r="E1429" s="5">
        <f>IF($B1429 &lt;= 0, 0, -ROUND($B1429 * (InterestRate / PaymentsPerYear), 2))</f>
        <v>0</v>
      </c>
      <c r="F1429" s="5">
        <f>ROUND(IFERROR(IF(OR($B1429 &lt;=0, $B1429 = ExtraPayment),0,
MAX(-$B1429, -(-PMT(InterestRate/PaymentsPerYear,LoanTerm*PaymentsPerYear,LoanAmount) + $E1429))), 0), 2)</f>
        <v>0</v>
      </c>
      <c r="G1429" s="5">
        <f t="shared" si="90"/>
        <v>0</v>
      </c>
      <c r="H1429" s="5">
        <f t="shared" si="91"/>
        <v>0</v>
      </c>
    </row>
    <row r="1430" spans="1:8" x14ac:dyDescent="0.2">
      <c r="A1430" s="2">
        <v>1429</v>
      </c>
      <c r="B1430" s="5">
        <f t="shared" si="88"/>
        <v>0</v>
      </c>
      <c r="C1430" s="5">
        <f t="shared" si="89"/>
        <v>0</v>
      </c>
      <c r="D1430" s="5">
        <f>IF(ExtraPayment=0, 0, IF(AND($B1430&lt;&gt;0,ExtraPayment&lt;=$B1430),-ExtraPayment,-($F1430)-$B1430))</f>
        <v>0</v>
      </c>
      <c r="E1430" s="5">
        <f>IF($B1430 &lt;= 0, 0, -ROUND($B1430 * (InterestRate / PaymentsPerYear), 2))</f>
        <v>0</v>
      </c>
      <c r="F1430" s="5">
        <f>ROUND(IFERROR(IF(OR($B1430 &lt;=0, $B1430 = ExtraPayment),0,
MAX(-$B1430, -(-PMT(InterestRate/PaymentsPerYear,LoanTerm*PaymentsPerYear,LoanAmount) + $E1430))), 0), 2)</f>
        <v>0</v>
      </c>
      <c r="G1430" s="5">
        <f t="shared" si="90"/>
        <v>0</v>
      </c>
      <c r="H1430" s="5">
        <f t="shared" si="91"/>
        <v>0</v>
      </c>
    </row>
    <row r="1431" spans="1:8" x14ac:dyDescent="0.2">
      <c r="A1431" s="2">
        <v>1430</v>
      </c>
      <c r="B1431" s="5">
        <f t="shared" si="88"/>
        <v>0</v>
      </c>
      <c r="C1431" s="5">
        <f t="shared" si="89"/>
        <v>0</v>
      </c>
      <c r="D1431" s="5">
        <f>IF(ExtraPayment=0, 0, IF(AND($B1431&lt;&gt;0,ExtraPayment&lt;=$B1431),-ExtraPayment,-($F1431)-$B1431))</f>
        <v>0</v>
      </c>
      <c r="E1431" s="5">
        <f>IF($B1431 &lt;= 0, 0, -ROUND($B1431 * (InterestRate / PaymentsPerYear), 2))</f>
        <v>0</v>
      </c>
      <c r="F1431" s="5">
        <f>ROUND(IFERROR(IF(OR($B1431 &lt;=0, $B1431 = ExtraPayment),0,
MAX(-$B1431, -(-PMT(InterestRate/PaymentsPerYear,LoanTerm*PaymentsPerYear,LoanAmount) + $E1431))), 0), 2)</f>
        <v>0</v>
      </c>
      <c r="G1431" s="5">
        <f t="shared" si="90"/>
        <v>0</v>
      </c>
      <c r="H1431" s="5">
        <f t="shared" si="91"/>
        <v>0</v>
      </c>
    </row>
    <row r="1432" spans="1:8" x14ac:dyDescent="0.2">
      <c r="A1432" s="2">
        <v>1431</v>
      </c>
      <c r="B1432" s="5">
        <f t="shared" si="88"/>
        <v>0</v>
      </c>
      <c r="C1432" s="5">
        <f t="shared" si="89"/>
        <v>0</v>
      </c>
      <c r="D1432" s="5">
        <f>IF(ExtraPayment=0, 0, IF(AND($B1432&lt;&gt;0,ExtraPayment&lt;=$B1432),-ExtraPayment,-($F1432)-$B1432))</f>
        <v>0</v>
      </c>
      <c r="E1432" s="5">
        <f>IF($B1432 &lt;= 0, 0, -ROUND($B1432 * (InterestRate / PaymentsPerYear), 2))</f>
        <v>0</v>
      </c>
      <c r="F1432" s="5">
        <f>ROUND(IFERROR(IF(OR($B1432 &lt;=0, $B1432 = ExtraPayment),0,
MAX(-$B1432, -(-PMT(InterestRate/PaymentsPerYear,LoanTerm*PaymentsPerYear,LoanAmount) + $E1432))), 0), 2)</f>
        <v>0</v>
      </c>
      <c r="G1432" s="5">
        <f t="shared" si="90"/>
        <v>0</v>
      </c>
      <c r="H1432" s="5">
        <f t="shared" si="91"/>
        <v>0</v>
      </c>
    </row>
    <row r="1433" spans="1:8" x14ac:dyDescent="0.2">
      <c r="A1433" s="2">
        <v>1432</v>
      </c>
      <c r="B1433" s="5">
        <f t="shared" si="88"/>
        <v>0</v>
      </c>
      <c r="C1433" s="5">
        <f t="shared" si="89"/>
        <v>0</v>
      </c>
      <c r="D1433" s="5">
        <f>IF(ExtraPayment=0, 0, IF(AND($B1433&lt;&gt;0,ExtraPayment&lt;=$B1433),-ExtraPayment,-($F1433)-$B1433))</f>
        <v>0</v>
      </c>
      <c r="E1433" s="5">
        <f>IF($B1433 &lt;= 0, 0, -ROUND($B1433 * (InterestRate / PaymentsPerYear), 2))</f>
        <v>0</v>
      </c>
      <c r="F1433" s="5">
        <f>ROUND(IFERROR(IF(OR($B1433 &lt;=0, $B1433 = ExtraPayment),0,
MAX(-$B1433, -(-PMT(InterestRate/PaymentsPerYear,LoanTerm*PaymentsPerYear,LoanAmount) + $E1433))), 0), 2)</f>
        <v>0</v>
      </c>
      <c r="G1433" s="5">
        <f t="shared" si="90"/>
        <v>0</v>
      </c>
      <c r="H1433" s="5">
        <f t="shared" si="91"/>
        <v>0</v>
      </c>
    </row>
    <row r="1434" spans="1:8" x14ac:dyDescent="0.2">
      <c r="A1434" s="2">
        <v>1433</v>
      </c>
      <c r="B1434" s="5">
        <f t="shared" si="88"/>
        <v>0</v>
      </c>
      <c r="C1434" s="5">
        <f t="shared" si="89"/>
        <v>0</v>
      </c>
      <c r="D1434" s="5">
        <f>IF(ExtraPayment=0, 0, IF(AND($B1434&lt;&gt;0,ExtraPayment&lt;=$B1434),-ExtraPayment,-($F1434)-$B1434))</f>
        <v>0</v>
      </c>
      <c r="E1434" s="5">
        <f>IF($B1434 &lt;= 0, 0, -ROUND($B1434 * (InterestRate / PaymentsPerYear), 2))</f>
        <v>0</v>
      </c>
      <c r="F1434" s="5">
        <f>ROUND(IFERROR(IF(OR($B1434 &lt;=0, $B1434 = ExtraPayment),0,
MAX(-$B1434, -(-PMT(InterestRate/PaymentsPerYear,LoanTerm*PaymentsPerYear,LoanAmount) + $E1434))), 0), 2)</f>
        <v>0</v>
      </c>
      <c r="G1434" s="5">
        <f t="shared" si="90"/>
        <v>0</v>
      </c>
      <c r="H1434" s="5">
        <f t="shared" si="91"/>
        <v>0</v>
      </c>
    </row>
    <row r="1435" spans="1:8" x14ac:dyDescent="0.2">
      <c r="A1435" s="2">
        <v>1434</v>
      </c>
      <c r="B1435" s="5">
        <f t="shared" si="88"/>
        <v>0</v>
      </c>
      <c r="C1435" s="5">
        <f t="shared" si="89"/>
        <v>0</v>
      </c>
      <c r="D1435" s="5">
        <f>IF(ExtraPayment=0, 0, IF(AND($B1435&lt;&gt;0,ExtraPayment&lt;=$B1435),-ExtraPayment,-($F1435)-$B1435))</f>
        <v>0</v>
      </c>
      <c r="E1435" s="5">
        <f>IF($B1435 &lt;= 0, 0, -ROUND($B1435 * (InterestRate / PaymentsPerYear), 2))</f>
        <v>0</v>
      </c>
      <c r="F1435" s="5">
        <f>ROUND(IFERROR(IF(OR($B1435 &lt;=0, $B1435 = ExtraPayment),0,
MAX(-$B1435, -(-PMT(InterestRate/PaymentsPerYear,LoanTerm*PaymentsPerYear,LoanAmount) + $E1435))), 0), 2)</f>
        <v>0</v>
      </c>
      <c r="G1435" s="5">
        <f t="shared" si="90"/>
        <v>0</v>
      </c>
      <c r="H1435" s="5">
        <f t="shared" si="91"/>
        <v>0</v>
      </c>
    </row>
    <row r="1436" spans="1:8" x14ac:dyDescent="0.2">
      <c r="A1436" s="2">
        <v>1435</v>
      </c>
      <c r="B1436" s="5">
        <f t="shared" si="88"/>
        <v>0</v>
      </c>
      <c r="C1436" s="5">
        <f t="shared" si="89"/>
        <v>0</v>
      </c>
      <c r="D1436" s="5">
        <f>IF(ExtraPayment=0, 0, IF(AND($B1436&lt;&gt;0,ExtraPayment&lt;=$B1436),-ExtraPayment,-($F1436)-$B1436))</f>
        <v>0</v>
      </c>
      <c r="E1436" s="5">
        <f>IF($B1436 &lt;= 0, 0, -ROUND($B1436 * (InterestRate / PaymentsPerYear), 2))</f>
        <v>0</v>
      </c>
      <c r="F1436" s="5">
        <f>ROUND(IFERROR(IF(OR($B1436 &lt;=0, $B1436 = ExtraPayment),0,
MAX(-$B1436, -(-PMT(InterestRate/PaymentsPerYear,LoanTerm*PaymentsPerYear,LoanAmount) + $E1436))), 0), 2)</f>
        <v>0</v>
      </c>
      <c r="G1436" s="5">
        <f t="shared" si="90"/>
        <v>0</v>
      </c>
      <c r="H1436" s="5">
        <f t="shared" si="91"/>
        <v>0</v>
      </c>
    </row>
    <row r="1437" spans="1:8" x14ac:dyDescent="0.2">
      <c r="A1437" s="2">
        <v>1436</v>
      </c>
      <c r="B1437" s="5">
        <f t="shared" si="88"/>
        <v>0</v>
      </c>
      <c r="C1437" s="5">
        <f t="shared" si="89"/>
        <v>0</v>
      </c>
      <c r="D1437" s="5">
        <f>IF(ExtraPayment=0, 0, IF(AND($B1437&lt;&gt;0,ExtraPayment&lt;=$B1437),-ExtraPayment,-($F1437)-$B1437))</f>
        <v>0</v>
      </c>
      <c r="E1437" s="5">
        <f>IF($B1437 &lt;= 0, 0, -ROUND($B1437 * (InterestRate / PaymentsPerYear), 2))</f>
        <v>0</v>
      </c>
      <c r="F1437" s="5">
        <f>ROUND(IFERROR(IF(OR($B1437 &lt;=0, $B1437 = ExtraPayment),0,
MAX(-$B1437, -(-PMT(InterestRate/PaymentsPerYear,LoanTerm*PaymentsPerYear,LoanAmount) + $E1437))), 0), 2)</f>
        <v>0</v>
      </c>
      <c r="G1437" s="5">
        <f t="shared" si="90"/>
        <v>0</v>
      </c>
      <c r="H1437" s="5">
        <f t="shared" si="91"/>
        <v>0</v>
      </c>
    </row>
    <row r="1438" spans="1:8" x14ac:dyDescent="0.2">
      <c r="A1438" s="2">
        <v>1437</v>
      </c>
      <c r="B1438" s="5">
        <f t="shared" si="88"/>
        <v>0</v>
      </c>
      <c r="C1438" s="5">
        <f t="shared" si="89"/>
        <v>0</v>
      </c>
      <c r="D1438" s="5">
        <f>IF(ExtraPayment=0, 0, IF(AND($B1438&lt;&gt;0,ExtraPayment&lt;=$B1438),-ExtraPayment,-($F1438)-$B1438))</f>
        <v>0</v>
      </c>
      <c r="E1438" s="5">
        <f>IF($B1438 &lt;= 0, 0, -ROUND($B1438 * (InterestRate / PaymentsPerYear), 2))</f>
        <v>0</v>
      </c>
      <c r="F1438" s="5">
        <f>ROUND(IFERROR(IF(OR($B1438 &lt;=0, $B1438 = ExtraPayment),0,
MAX(-$B1438, -(-PMT(InterestRate/PaymentsPerYear,LoanTerm*PaymentsPerYear,LoanAmount) + $E1438))), 0), 2)</f>
        <v>0</v>
      </c>
      <c r="G1438" s="5">
        <f t="shared" si="90"/>
        <v>0</v>
      </c>
      <c r="H1438" s="5">
        <f t="shared" si="91"/>
        <v>0</v>
      </c>
    </row>
    <row r="1439" spans="1:8" x14ac:dyDescent="0.2">
      <c r="A1439" s="2">
        <v>1438</v>
      </c>
      <c r="B1439" s="5">
        <f t="shared" si="88"/>
        <v>0</v>
      </c>
      <c r="C1439" s="5">
        <f t="shared" si="89"/>
        <v>0</v>
      </c>
      <c r="D1439" s="5">
        <f>IF(ExtraPayment=0, 0, IF(AND($B1439&lt;&gt;0,ExtraPayment&lt;=$B1439),-ExtraPayment,-($F1439)-$B1439))</f>
        <v>0</v>
      </c>
      <c r="E1439" s="5">
        <f>IF($B1439 &lt;= 0, 0, -ROUND($B1439 * (InterestRate / PaymentsPerYear), 2))</f>
        <v>0</v>
      </c>
      <c r="F1439" s="5">
        <f>ROUND(IFERROR(IF(OR($B1439 &lt;=0, $B1439 = ExtraPayment),0,
MAX(-$B1439, -(-PMT(InterestRate/PaymentsPerYear,LoanTerm*PaymentsPerYear,LoanAmount) + $E1439))), 0), 2)</f>
        <v>0</v>
      </c>
      <c r="G1439" s="5">
        <f t="shared" si="90"/>
        <v>0</v>
      </c>
      <c r="H1439" s="5">
        <f t="shared" si="91"/>
        <v>0</v>
      </c>
    </row>
    <row r="1440" spans="1:8" x14ac:dyDescent="0.2">
      <c r="A1440" s="2">
        <v>1439</v>
      </c>
      <c r="B1440" s="5">
        <f t="shared" si="88"/>
        <v>0</v>
      </c>
      <c r="C1440" s="5">
        <f t="shared" si="89"/>
        <v>0</v>
      </c>
      <c r="D1440" s="5">
        <f>IF(ExtraPayment=0, 0, IF(AND($B1440&lt;&gt;0,ExtraPayment&lt;=$B1440),-ExtraPayment,-($F1440)-$B1440))</f>
        <v>0</v>
      </c>
      <c r="E1440" s="5">
        <f>IF($B1440 &lt;= 0, 0, -ROUND($B1440 * (InterestRate / PaymentsPerYear), 2))</f>
        <v>0</v>
      </c>
      <c r="F1440" s="5">
        <f>ROUND(IFERROR(IF(OR($B1440 &lt;=0, $B1440 = ExtraPayment),0,
MAX(-$B1440, -(-PMT(InterestRate/PaymentsPerYear,LoanTerm*PaymentsPerYear,LoanAmount) + $E1440))), 0), 2)</f>
        <v>0</v>
      </c>
      <c r="G1440" s="5">
        <f t="shared" si="90"/>
        <v>0</v>
      </c>
      <c r="H1440" s="5">
        <f t="shared" si="91"/>
        <v>0</v>
      </c>
    </row>
    <row r="1441" spans="1:8" x14ac:dyDescent="0.2">
      <c r="A1441" s="2">
        <v>1440</v>
      </c>
      <c r="B1441" s="5">
        <f t="shared" si="88"/>
        <v>0</v>
      </c>
      <c r="C1441" s="5">
        <f t="shared" si="89"/>
        <v>0</v>
      </c>
      <c r="D1441" s="5">
        <f>IF(ExtraPayment=0, 0, IF(AND($B1441&lt;&gt;0,ExtraPayment&lt;=$B1441),-ExtraPayment,-($F1441)-$B1441))</f>
        <v>0</v>
      </c>
      <c r="E1441" s="5">
        <f>IF($B1441 &lt;= 0, 0, -ROUND($B1441 * (InterestRate / PaymentsPerYear), 2))</f>
        <v>0</v>
      </c>
      <c r="F1441" s="5">
        <f>ROUND(IFERROR(IF(OR($B1441 &lt;=0, $B1441 = ExtraPayment),0,
MAX(-$B1441, -(-PMT(InterestRate/PaymentsPerYear,LoanTerm*PaymentsPerYear,LoanAmount) + $E1441))), 0), 2)</f>
        <v>0</v>
      </c>
      <c r="G1441" s="5">
        <f t="shared" si="90"/>
        <v>0</v>
      </c>
      <c r="H1441" s="5">
        <f t="shared" si="91"/>
        <v>0</v>
      </c>
    </row>
    <row r="1442" spans="1:8" x14ac:dyDescent="0.2">
      <c r="A1442" s="2">
        <v>1441</v>
      </c>
      <c r="B1442" s="5">
        <f t="shared" si="88"/>
        <v>0</v>
      </c>
      <c r="C1442" s="5">
        <f t="shared" si="89"/>
        <v>0</v>
      </c>
      <c r="D1442" s="5">
        <f>IF(ExtraPayment=0, 0, IF(AND($B1442&lt;&gt;0,ExtraPayment&lt;=$B1442),-ExtraPayment,-($F1442)-$B1442))</f>
        <v>0</v>
      </c>
      <c r="E1442" s="5">
        <f>IF($B1442 &lt;= 0, 0, -ROUND($B1442 * (InterestRate / PaymentsPerYear), 2))</f>
        <v>0</v>
      </c>
      <c r="F1442" s="5">
        <f>ROUND(IFERROR(IF(OR($B1442 &lt;=0, $B1442 = ExtraPayment),0,
MAX(-$B1442, -(-PMT(InterestRate/PaymentsPerYear,LoanTerm*PaymentsPerYear,LoanAmount) + $E1442))), 0), 2)</f>
        <v>0</v>
      </c>
      <c r="G1442" s="5">
        <f t="shared" si="90"/>
        <v>0</v>
      </c>
      <c r="H1442" s="5">
        <f t="shared" si="91"/>
        <v>0</v>
      </c>
    </row>
    <row r="1443" spans="1:8" x14ac:dyDescent="0.2">
      <c r="A1443" s="2">
        <v>1442</v>
      </c>
      <c r="B1443" s="5">
        <f t="shared" si="88"/>
        <v>0</v>
      </c>
      <c r="C1443" s="5">
        <f t="shared" si="89"/>
        <v>0</v>
      </c>
      <c r="D1443" s="5">
        <f>IF(ExtraPayment=0, 0, IF(AND($B1443&lt;&gt;0,ExtraPayment&lt;=$B1443),-ExtraPayment,-($F1443)-$B1443))</f>
        <v>0</v>
      </c>
      <c r="E1443" s="5">
        <f>IF($B1443 &lt;= 0, 0, -ROUND($B1443 * (InterestRate / PaymentsPerYear), 2))</f>
        <v>0</v>
      </c>
      <c r="F1443" s="5">
        <f>ROUND(IFERROR(IF(OR($B1443 &lt;=0, $B1443 = ExtraPayment),0,
MAX(-$B1443, -(-PMT(InterestRate/PaymentsPerYear,LoanTerm*PaymentsPerYear,LoanAmount) + $E1443))), 0), 2)</f>
        <v>0</v>
      </c>
      <c r="G1443" s="5">
        <f t="shared" si="90"/>
        <v>0</v>
      </c>
      <c r="H1443" s="5">
        <f t="shared" si="91"/>
        <v>0</v>
      </c>
    </row>
    <row r="1444" spans="1:8" x14ac:dyDescent="0.2">
      <c r="A1444" s="2">
        <v>1443</v>
      </c>
      <c r="B1444" s="5">
        <f t="shared" si="88"/>
        <v>0</v>
      </c>
      <c r="C1444" s="5">
        <f t="shared" si="89"/>
        <v>0</v>
      </c>
      <c r="D1444" s="5">
        <f>IF(ExtraPayment=0, 0, IF(AND($B1444&lt;&gt;0,ExtraPayment&lt;=$B1444),-ExtraPayment,-($F1444)-$B1444))</f>
        <v>0</v>
      </c>
      <c r="E1444" s="5">
        <f>IF($B1444 &lt;= 0, 0, -ROUND($B1444 * (InterestRate / PaymentsPerYear), 2))</f>
        <v>0</v>
      </c>
      <c r="F1444" s="5">
        <f>ROUND(IFERROR(IF(OR($B1444 &lt;=0, $B1444 = ExtraPayment),0,
MAX(-$B1444, -(-PMT(InterestRate/PaymentsPerYear,LoanTerm*PaymentsPerYear,LoanAmount) + $E1444))), 0), 2)</f>
        <v>0</v>
      </c>
      <c r="G1444" s="5">
        <f t="shared" si="90"/>
        <v>0</v>
      </c>
      <c r="H1444" s="5">
        <f t="shared" si="91"/>
        <v>0</v>
      </c>
    </row>
    <row r="1445" spans="1:8" x14ac:dyDescent="0.2">
      <c r="A1445" s="2">
        <v>1444</v>
      </c>
      <c r="B1445" s="5">
        <f t="shared" si="88"/>
        <v>0</v>
      </c>
      <c r="C1445" s="5">
        <f t="shared" si="89"/>
        <v>0</v>
      </c>
      <c r="D1445" s="5">
        <f>IF(ExtraPayment=0, 0, IF(AND($B1445&lt;&gt;0,ExtraPayment&lt;=$B1445),-ExtraPayment,-($F1445)-$B1445))</f>
        <v>0</v>
      </c>
      <c r="E1445" s="5">
        <f>IF($B1445 &lt;= 0, 0, -ROUND($B1445 * (InterestRate / PaymentsPerYear), 2))</f>
        <v>0</v>
      </c>
      <c r="F1445" s="5">
        <f>ROUND(IFERROR(IF(OR($B1445 &lt;=0, $B1445 = ExtraPayment),0,
MAX(-$B1445, -(-PMT(InterestRate/PaymentsPerYear,LoanTerm*PaymentsPerYear,LoanAmount) + $E1445))), 0), 2)</f>
        <v>0</v>
      </c>
      <c r="G1445" s="5">
        <f t="shared" si="90"/>
        <v>0</v>
      </c>
      <c r="H1445" s="5">
        <f t="shared" si="91"/>
        <v>0</v>
      </c>
    </row>
    <row r="1446" spans="1:8" x14ac:dyDescent="0.2">
      <c r="A1446" s="2">
        <v>1445</v>
      </c>
      <c r="B1446" s="5">
        <f t="shared" si="88"/>
        <v>0</v>
      </c>
      <c r="C1446" s="5">
        <f t="shared" si="89"/>
        <v>0</v>
      </c>
      <c r="D1446" s="5">
        <f>IF(ExtraPayment=0, 0, IF(AND($B1446&lt;&gt;0,ExtraPayment&lt;=$B1446),-ExtraPayment,-($F1446)-$B1446))</f>
        <v>0</v>
      </c>
      <c r="E1446" s="5">
        <f>IF($B1446 &lt;= 0, 0, -ROUND($B1446 * (InterestRate / PaymentsPerYear), 2))</f>
        <v>0</v>
      </c>
      <c r="F1446" s="5">
        <f>ROUND(IFERROR(IF(OR($B1446 &lt;=0, $B1446 = ExtraPayment),0,
MAX(-$B1446, -(-PMT(InterestRate/PaymentsPerYear,LoanTerm*PaymentsPerYear,LoanAmount) + $E1446))), 0), 2)</f>
        <v>0</v>
      </c>
      <c r="G1446" s="5">
        <f t="shared" si="90"/>
        <v>0</v>
      </c>
      <c r="H1446" s="5">
        <f t="shared" si="91"/>
        <v>0</v>
      </c>
    </row>
    <row r="1447" spans="1:8" x14ac:dyDescent="0.2">
      <c r="A1447" s="2">
        <v>1446</v>
      </c>
      <c r="B1447" s="5">
        <f t="shared" si="88"/>
        <v>0</v>
      </c>
      <c r="C1447" s="5">
        <f t="shared" si="89"/>
        <v>0</v>
      </c>
      <c r="D1447" s="5">
        <f>IF(ExtraPayment=0, 0, IF(AND($B1447&lt;&gt;0,ExtraPayment&lt;=$B1447),-ExtraPayment,-($F1447)-$B1447))</f>
        <v>0</v>
      </c>
      <c r="E1447" s="5">
        <f>IF($B1447 &lt;= 0, 0, -ROUND($B1447 * (InterestRate / PaymentsPerYear), 2))</f>
        <v>0</v>
      </c>
      <c r="F1447" s="5">
        <f>ROUND(IFERROR(IF(OR($B1447 &lt;=0, $B1447 = ExtraPayment),0,
MAX(-$B1447, -(-PMT(InterestRate/PaymentsPerYear,LoanTerm*PaymentsPerYear,LoanAmount) + $E1447))), 0), 2)</f>
        <v>0</v>
      </c>
      <c r="G1447" s="5">
        <f t="shared" si="90"/>
        <v>0</v>
      </c>
      <c r="H1447" s="5">
        <f t="shared" si="91"/>
        <v>0</v>
      </c>
    </row>
    <row r="1448" spans="1:8" x14ac:dyDescent="0.2">
      <c r="A1448" s="2">
        <v>1447</v>
      </c>
      <c r="B1448" s="5">
        <f t="shared" si="88"/>
        <v>0</v>
      </c>
      <c r="C1448" s="5">
        <f t="shared" si="89"/>
        <v>0</v>
      </c>
      <c r="D1448" s="5">
        <f>IF(ExtraPayment=0, 0, IF(AND($B1448&lt;&gt;0,ExtraPayment&lt;=$B1448),-ExtraPayment,-($F1448)-$B1448))</f>
        <v>0</v>
      </c>
      <c r="E1448" s="5">
        <f>IF($B1448 &lt;= 0, 0, -ROUND($B1448 * (InterestRate / PaymentsPerYear), 2))</f>
        <v>0</v>
      </c>
      <c r="F1448" s="5">
        <f>ROUND(IFERROR(IF(OR($B1448 &lt;=0, $B1448 = ExtraPayment),0,
MAX(-$B1448, -(-PMT(InterestRate/PaymentsPerYear,LoanTerm*PaymentsPerYear,LoanAmount) + $E1448))), 0), 2)</f>
        <v>0</v>
      </c>
      <c r="G1448" s="5">
        <f t="shared" si="90"/>
        <v>0</v>
      </c>
      <c r="H1448" s="5">
        <f t="shared" si="91"/>
        <v>0</v>
      </c>
    </row>
    <row r="1449" spans="1:8" x14ac:dyDescent="0.2">
      <c r="A1449" s="2">
        <v>1448</v>
      </c>
      <c r="B1449" s="5">
        <f t="shared" si="88"/>
        <v>0</v>
      </c>
      <c r="C1449" s="5">
        <f t="shared" si="89"/>
        <v>0</v>
      </c>
      <c r="D1449" s="5">
        <f>IF(ExtraPayment=0, 0, IF(AND($B1449&lt;&gt;0,ExtraPayment&lt;=$B1449),-ExtraPayment,-($F1449)-$B1449))</f>
        <v>0</v>
      </c>
      <c r="E1449" s="5">
        <f>IF($B1449 &lt;= 0, 0, -ROUND($B1449 * (InterestRate / PaymentsPerYear), 2))</f>
        <v>0</v>
      </c>
      <c r="F1449" s="5">
        <f>ROUND(IFERROR(IF(OR($B1449 &lt;=0, $B1449 = ExtraPayment),0,
MAX(-$B1449, -(-PMT(InterestRate/PaymentsPerYear,LoanTerm*PaymentsPerYear,LoanAmount) + $E1449))), 0), 2)</f>
        <v>0</v>
      </c>
      <c r="G1449" s="5">
        <f t="shared" si="90"/>
        <v>0</v>
      </c>
      <c r="H1449" s="5">
        <f t="shared" si="91"/>
        <v>0</v>
      </c>
    </row>
    <row r="1450" spans="1:8" x14ac:dyDescent="0.2">
      <c r="A1450" s="2">
        <v>1449</v>
      </c>
      <c r="B1450" s="5">
        <f t="shared" si="88"/>
        <v>0</v>
      </c>
      <c r="C1450" s="5">
        <f t="shared" si="89"/>
        <v>0</v>
      </c>
      <c r="D1450" s="5">
        <f>IF(ExtraPayment=0, 0, IF(AND($B1450&lt;&gt;0,ExtraPayment&lt;=$B1450),-ExtraPayment,-($F1450)-$B1450))</f>
        <v>0</v>
      </c>
      <c r="E1450" s="5">
        <f>IF($B1450 &lt;= 0, 0, -ROUND($B1450 * (InterestRate / PaymentsPerYear), 2))</f>
        <v>0</v>
      </c>
      <c r="F1450" s="5">
        <f>ROUND(IFERROR(IF(OR($B1450 &lt;=0, $B1450 = ExtraPayment),0,
MAX(-$B1450, -(-PMT(InterestRate/PaymentsPerYear,LoanTerm*PaymentsPerYear,LoanAmount) + $E1450))), 0), 2)</f>
        <v>0</v>
      </c>
      <c r="G1450" s="5">
        <f t="shared" si="90"/>
        <v>0</v>
      </c>
      <c r="H1450" s="5">
        <f t="shared" si="91"/>
        <v>0</v>
      </c>
    </row>
    <row r="1451" spans="1:8" x14ac:dyDescent="0.2">
      <c r="A1451" s="2">
        <v>1450</v>
      </c>
      <c r="B1451" s="5">
        <f t="shared" si="88"/>
        <v>0</v>
      </c>
      <c r="C1451" s="5">
        <f t="shared" si="89"/>
        <v>0</v>
      </c>
      <c r="D1451" s="5">
        <f>IF(ExtraPayment=0, 0, IF(AND($B1451&lt;&gt;0,ExtraPayment&lt;=$B1451),-ExtraPayment,-($F1451)-$B1451))</f>
        <v>0</v>
      </c>
      <c r="E1451" s="5">
        <f>IF($B1451 &lt;= 0, 0, -ROUND($B1451 * (InterestRate / PaymentsPerYear), 2))</f>
        <v>0</v>
      </c>
      <c r="F1451" s="5">
        <f>ROUND(IFERROR(IF(OR($B1451 &lt;=0, $B1451 = ExtraPayment),0,
MAX(-$B1451, -(-PMT(InterestRate/PaymentsPerYear,LoanTerm*PaymentsPerYear,LoanAmount) + $E1451))), 0), 2)</f>
        <v>0</v>
      </c>
      <c r="G1451" s="5">
        <f t="shared" si="90"/>
        <v>0</v>
      </c>
      <c r="H1451" s="5">
        <f t="shared" si="91"/>
        <v>0</v>
      </c>
    </row>
    <row r="1452" spans="1:8" x14ac:dyDescent="0.2">
      <c r="A1452" s="2">
        <v>1451</v>
      </c>
      <c r="B1452" s="5">
        <f t="shared" si="88"/>
        <v>0</v>
      </c>
      <c r="C1452" s="5">
        <f t="shared" si="89"/>
        <v>0</v>
      </c>
      <c r="D1452" s="5">
        <f>IF(ExtraPayment=0, 0, IF(AND($B1452&lt;&gt;0,ExtraPayment&lt;=$B1452),-ExtraPayment,-($F1452)-$B1452))</f>
        <v>0</v>
      </c>
      <c r="E1452" s="5">
        <f>IF($B1452 &lt;= 0, 0, -ROUND($B1452 * (InterestRate / PaymentsPerYear), 2))</f>
        <v>0</v>
      </c>
      <c r="F1452" s="5">
        <f>ROUND(IFERROR(IF(OR($B1452 &lt;=0, $B1452 = ExtraPayment),0,
MAX(-$B1452, -(-PMT(InterestRate/PaymentsPerYear,LoanTerm*PaymentsPerYear,LoanAmount) + $E1452))), 0), 2)</f>
        <v>0</v>
      </c>
      <c r="G1452" s="5">
        <f t="shared" si="90"/>
        <v>0</v>
      </c>
      <c r="H1452" s="5">
        <f t="shared" si="91"/>
        <v>0</v>
      </c>
    </row>
    <row r="1453" spans="1:8" x14ac:dyDescent="0.2">
      <c r="A1453" s="2">
        <v>1452</v>
      </c>
      <c r="B1453" s="5">
        <f t="shared" si="88"/>
        <v>0</v>
      </c>
      <c r="C1453" s="5">
        <f t="shared" si="89"/>
        <v>0</v>
      </c>
      <c r="D1453" s="5">
        <f>IF(ExtraPayment=0, 0, IF(AND($B1453&lt;&gt;0,ExtraPayment&lt;=$B1453),-ExtraPayment,-($F1453)-$B1453))</f>
        <v>0</v>
      </c>
      <c r="E1453" s="5">
        <f>IF($B1453 &lt;= 0, 0, -ROUND($B1453 * (InterestRate / PaymentsPerYear), 2))</f>
        <v>0</v>
      </c>
      <c r="F1453" s="5">
        <f>ROUND(IFERROR(IF(OR($B1453 &lt;=0, $B1453 = ExtraPayment),0,
MAX(-$B1453, -(-PMT(InterestRate/PaymentsPerYear,LoanTerm*PaymentsPerYear,LoanAmount) + $E1453))), 0), 2)</f>
        <v>0</v>
      </c>
      <c r="G1453" s="5">
        <f t="shared" si="90"/>
        <v>0</v>
      </c>
      <c r="H1453" s="5">
        <f t="shared" si="91"/>
        <v>0</v>
      </c>
    </row>
    <row r="1454" spans="1:8" x14ac:dyDescent="0.2">
      <c r="A1454" s="2">
        <v>1453</v>
      </c>
      <c r="B1454" s="5">
        <f t="shared" si="88"/>
        <v>0</v>
      </c>
      <c r="C1454" s="5">
        <f t="shared" si="89"/>
        <v>0</v>
      </c>
      <c r="D1454" s="5">
        <f>IF(ExtraPayment=0, 0, IF(AND($B1454&lt;&gt;0,ExtraPayment&lt;=$B1454),-ExtraPayment,-($F1454)-$B1454))</f>
        <v>0</v>
      </c>
      <c r="E1454" s="5">
        <f>IF($B1454 &lt;= 0, 0, -ROUND($B1454 * (InterestRate / PaymentsPerYear), 2))</f>
        <v>0</v>
      </c>
      <c r="F1454" s="5">
        <f>ROUND(IFERROR(IF(OR($B1454 &lt;=0, $B1454 = ExtraPayment),0,
MAX(-$B1454, -(-PMT(InterestRate/PaymentsPerYear,LoanTerm*PaymentsPerYear,LoanAmount) + $E1454))), 0), 2)</f>
        <v>0</v>
      </c>
      <c r="G1454" s="5">
        <f t="shared" si="90"/>
        <v>0</v>
      </c>
      <c r="H1454" s="5">
        <f t="shared" si="91"/>
        <v>0</v>
      </c>
    </row>
    <row r="1455" spans="1:8" x14ac:dyDescent="0.2">
      <c r="A1455" s="2">
        <v>1454</v>
      </c>
      <c r="B1455" s="5">
        <f t="shared" si="88"/>
        <v>0</v>
      </c>
      <c r="C1455" s="5">
        <f t="shared" si="89"/>
        <v>0</v>
      </c>
      <c r="D1455" s="5">
        <f>IF(ExtraPayment=0, 0, IF(AND($B1455&lt;&gt;0,ExtraPayment&lt;=$B1455),-ExtraPayment,-($F1455)-$B1455))</f>
        <v>0</v>
      </c>
      <c r="E1455" s="5">
        <f>IF($B1455 &lt;= 0, 0, -ROUND($B1455 * (InterestRate / PaymentsPerYear), 2))</f>
        <v>0</v>
      </c>
      <c r="F1455" s="5">
        <f>ROUND(IFERROR(IF(OR($B1455 &lt;=0, $B1455 = ExtraPayment),0,
MAX(-$B1455, -(-PMT(InterestRate/PaymentsPerYear,LoanTerm*PaymentsPerYear,LoanAmount) + $E1455))), 0), 2)</f>
        <v>0</v>
      </c>
      <c r="G1455" s="5">
        <f t="shared" si="90"/>
        <v>0</v>
      </c>
      <c r="H1455" s="5">
        <f t="shared" si="91"/>
        <v>0</v>
      </c>
    </row>
    <row r="1456" spans="1:8" x14ac:dyDescent="0.2">
      <c r="A1456" s="2">
        <v>1455</v>
      </c>
      <c r="B1456" s="5">
        <f t="shared" si="88"/>
        <v>0</v>
      </c>
      <c r="C1456" s="5">
        <f t="shared" si="89"/>
        <v>0</v>
      </c>
      <c r="D1456" s="5">
        <f>IF(ExtraPayment=0, 0, IF(AND($B1456&lt;&gt;0,ExtraPayment&lt;=$B1456),-ExtraPayment,-($F1456)-$B1456))</f>
        <v>0</v>
      </c>
      <c r="E1456" s="5">
        <f>IF($B1456 &lt;= 0, 0, -ROUND($B1456 * (InterestRate / PaymentsPerYear), 2))</f>
        <v>0</v>
      </c>
      <c r="F1456" s="5">
        <f>ROUND(IFERROR(IF(OR($B1456 &lt;=0, $B1456 = ExtraPayment),0,
MAX(-$B1456, -(-PMT(InterestRate/PaymentsPerYear,LoanTerm*PaymentsPerYear,LoanAmount) + $E1456))), 0), 2)</f>
        <v>0</v>
      </c>
      <c r="G1456" s="5">
        <f t="shared" si="90"/>
        <v>0</v>
      </c>
      <c r="H1456" s="5">
        <f t="shared" si="91"/>
        <v>0</v>
      </c>
    </row>
    <row r="1457" spans="1:8" x14ac:dyDescent="0.2">
      <c r="A1457" s="2">
        <v>1456</v>
      </c>
      <c r="B1457" s="5">
        <f t="shared" si="88"/>
        <v>0</v>
      </c>
      <c r="C1457" s="5">
        <f t="shared" si="89"/>
        <v>0</v>
      </c>
      <c r="D1457" s="5">
        <f>IF(ExtraPayment=0, 0, IF(AND($B1457&lt;&gt;0,ExtraPayment&lt;=$B1457),-ExtraPayment,-($F1457)-$B1457))</f>
        <v>0</v>
      </c>
      <c r="E1457" s="5">
        <f>IF($B1457 &lt;= 0, 0, -ROUND($B1457 * (InterestRate / PaymentsPerYear), 2))</f>
        <v>0</v>
      </c>
      <c r="F1457" s="5">
        <f>ROUND(IFERROR(IF(OR($B1457 &lt;=0, $B1457 = ExtraPayment),0,
MAX(-$B1457, -(-PMT(InterestRate/PaymentsPerYear,LoanTerm*PaymentsPerYear,LoanAmount) + $E1457))), 0), 2)</f>
        <v>0</v>
      </c>
      <c r="G1457" s="5">
        <f t="shared" si="90"/>
        <v>0</v>
      </c>
      <c r="H1457" s="5">
        <f t="shared" si="91"/>
        <v>0</v>
      </c>
    </row>
    <row r="1458" spans="1:8" x14ac:dyDescent="0.2">
      <c r="A1458" s="2">
        <v>1457</v>
      </c>
      <c r="B1458" s="5">
        <f t="shared" si="88"/>
        <v>0</v>
      </c>
      <c r="C1458" s="5">
        <f t="shared" si="89"/>
        <v>0</v>
      </c>
      <c r="D1458" s="5">
        <f>IF(ExtraPayment=0, 0, IF(AND($B1458&lt;&gt;0,ExtraPayment&lt;=$B1458),-ExtraPayment,-($F1458)-$B1458))</f>
        <v>0</v>
      </c>
      <c r="E1458" s="5">
        <f>IF($B1458 &lt;= 0, 0, -ROUND($B1458 * (InterestRate / PaymentsPerYear), 2))</f>
        <v>0</v>
      </c>
      <c r="F1458" s="5">
        <f>ROUND(IFERROR(IF(OR($B1458 &lt;=0, $B1458 = ExtraPayment),0,
MAX(-$B1458, -(-PMT(InterestRate/PaymentsPerYear,LoanTerm*PaymentsPerYear,LoanAmount) + $E1458))), 0), 2)</f>
        <v>0</v>
      </c>
      <c r="G1458" s="5">
        <f t="shared" si="90"/>
        <v>0</v>
      </c>
      <c r="H1458" s="5">
        <f t="shared" si="91"/>
        <v>0</v>
      </c>
    </row>
    <row r="1459" spans="1:8" x14ac:dyDescent="0.2">
      <c r="A1459" s="2">
        <v>1458</v>
      </c>
      <c r="B1459" s="5">
        <f t="shared" si="88"/>
        <v>0</v>
      </c>
      <c r="C1459" s="5">
        <f t="shared" si="89"/>
        <v>0</v>
      </c>
      <c r="D1459" s="5">
        <f>IF(ExtraPayment=0, 0, IF(AND($B1459&lt;&gt;0,ExtraPayment&lt;=$B1459),-ExtraPayment,-($F1459)-$B1459))</f>
        <v>0</v>
      </c>
      <c r="E1459" s="5">
        <f>IF($B1459 &lt;= 0, 0, -ROUND($B1459 * (InterestRate / PaymentsPerYear), 2))</f>
        <v>0</v>
      </c>
      <c r="F1459" s="5">
        <f>ROUND(IFERROR(IF(OR($B1459 &lt;=0, $B1459 = ExtraPayment),0,
MAX(-$B1459, -(-PMT(InterestRate/PaymentsPerYear,LoanTerm*PaymentsPerYear,LoanAmount) + $E1459))), 0), 2)</f>
        <v>0</v>
      </c>
      <c r="G1459" s="5">
        <f t="shared" si="90"/>
        <v>0</v>
      </c>
      <c r="H1459" s="5">
        <f t="shared" si="91"/>
        <v>0</v>
      </c>
    </row>
    <row r="1460" spans="1:8" x14ac:dyDescent="0.2">
      <c r="A1460" s="2">
        <v>1459</v>
      </c>
      <c r="B1460" s="5">
        <f t="shared" si="88"/>
        <v>0</v>
      </c>
      <c r="C1460" s="5">
        <f t="shared" si="89"/>
        <v>0</v>
      </c>
      <c r="D1460" s="5">
        <f>IF(ExtraPayment=0, 0, IF(AND($B1460&lt;&gt;0,ExtraPayment&lt;=$B1460),-ExtraPayment,-($F1460)-$B1460))</f>
        <v>0</v>
      </c>
      <c r="E1460" s="5">
        <f>IF($B1460 &lt;= 0, 0, -ROUND($B1460 * (InterestRate / PaymentsPerYear), 2))</f>
        <v>0</v>
      </c>
      <c r="F1460" s="5">
        <f>ROUND(IFERROR(IF(OR($B1460 &lt;=0, $B1460 = ExtraPayment),0,
MAX(-$B1460, -(-PMT(InterestRate/PaymentsPerYear,LoanTerm*PaymentsPerYear,LoanAmount) + $E1460))), 0), 2)</f>
        <v>0</v>
      </c>
      <c r="G1460" s="5">
        <f t="shared" si="90"/>
        <v>0</v>
      </c>
      <c r="H1460" s="5">
        <f t="shared" si="91"/>
        <v>0</v>
      </c>
    </row>
    <row r="1461" spans="1:8" x14ac:dyDescent="0.2">
      <c r="A1461" s="2">
        <v>1460</v>
      </c>
      <c r="B1461" s="5">
        <f t="shared" si="88"/>
        <v>0</v>
      </c>
      <c r="C1461" s="5">
        <f t="shared" si="89"/>
        <v>0</v>
      </c>
      <c r="D1461" s="5">
        <f>IF(ExtraPayment=0, 0, IF(AND($B1461&lt;&gt;0,ExtraPayment&lt;=$B1461),-ExtraPayment,-($F1461)-$B1461))</f>
        <v>0</v>
      </c>
      <c r="E1461" s="5">
        <f>IF($B1461 &lt;= 0, 0, -ROUND($B1461 * (InterestRate / PaymentsPerYear), 2))</f>
        <v>0</v>
      </c>
      <c r="F1461" s="5">
        <f>ROUND(IFERROR(IF(OR($B1461 &lt;=0, $B1461 = ExtraPayment),0,
MAX(-$B1461, -(-PMT(InterestRate/PaymentsPerYear,LoanTerm*PaymentsPerYear,LoanAmount) + $E1461))), 0), 2)</f>
        <v>0</v>
      </c>
      <c r="G1461" s="5">
        <f t="shared" si="90"/>
        <v>0</v>
      </c>
      <c r="H1461" s="5">
        <f t="shared" si="91"/>
        <v>0</v>
      </c>
    </row>
    <row r="1462" spans="1:8" x14ac:dyDescent="0.2">
      <c r="A1462" s="2">
        <v>1461</v>
      </c>
      <c r="B1462" s="5">
        <f t="shared" si="88"/>
        <v>0</v>
      </c>
      <c r="C1462" s="5">
        <f t="shared" si="89"/>
        <v>0</v>
      </c>
      <c r="D1462" s="5">
        <f>IF(ExtraPayment=0, 0, IF(AND($B1462&lt;&gt;0,ExtraPayment&lt;=$B1462),-ExtraPayment,-($F1462)-$B1462))</f>
        <v>0</v>
      </c>
      <c r="E1462" s="5">
        <f>IF($B1462 &lt;= 0, 0, -ROUND($B1462 * (InterestRate / PaymentsPerYear), 2))</f>
        <v>0</v>
      </c>
      <c r="F1462" s="5">
        <f>ROUND(IFERROR(IF(OR($B1462 &lt;=0, $B1462 = ExtraPayment),0,
MAX(-$B1462, -(-PMT(InterestRate/PaymentsPerYear,LoanTerm*PaymentsPerYear,LoanAmount) + $E1462))), 0), 2)</f>
        <v>0</v>
      </c>
      <c r="G1462" s="5">
        <f t="shared" si="90"/>
        <v>0</v>
      </c>
      <c r="H1462" s="5">
        <f t="shared" si="91"/>
        <v>0</v>
      </c>
    </row>
    <row r="1463" spans="1:8" x14ac:dyDescent="0.2">
      <c r="A1463" s="2">
        <v>1462</v>
      </c>
      <c r="B1463" s="5">
        <f t="shared" si="88"/>
        <v>0</v>
      </c>
      <c r="C1463" s="5">
        <f t="shared" si="89"/>
        <v>0</v>
      </c>
      <c r="D1463" s="5">
        <f>IF(ExtraPayment=0, 0, IF(AND($B1463&lt;&gt;0,ExtraPayment&lt;=$B1463),-ExtraPayment,-($F1463)-$B1463))</f>
        <v>0</v>
      </c>
      <c r="E1463" s="5">
        <f>IF($B1463 &lt;= 0, 0, -ROUND($B1463 * (InterestRate / PaymentsPerYear), 2))</f>
        <v>0</v>
      </c>
      <c r="F1463" s="5">
        <f>ROUND(IFERROR(IF(OR($B1463 &lt;=0, $B1463 = ExtraPayment),0,
MAX(-$B1463, -(-PMT(InterestRate/PaymentsPerYear,LoanTerm*PaymentsPerYear,LoanAmount) + $E1463))), 0), 2)</f>
        <v>0</v>
      </c>
      <c r="G1463" s="5">
        <f t="shared" si="90"/>
        <v>0</v>
      </c>
      <c r="H1463" s="5">
        <f t="shared" si="91"/>
        <v>0</v>
      </c>
    </row>
    <row r="1464" spans="1:8" x14ac:dyDescent="0.2">
      <c r="A1464" s="2">
        <v>1463</v>
      </c>
      <c r="B1464" s="5">
        <f t="shared" si="88"/>
        <v>0</v>
      </c>
      <c r="C1464" s="5">
        <f t="shared" si="89"/>
        <v>0</v>
      </c>
      <c r="D1464" s="5">
        <f>IF(ExtraPayment=0, 0, IF(AND($B1464&lt;&gt;0,ExtraPayment&lt;=$B1464),-ExtraPayment,-($F1464)-$B1464))</f>
        <v>0</v>
      </c>
      <c r="E1464" s="5">
        <f>IF($B1464 &lt;= 0, 0, -ROUND($B1464 * (InterestRate / PaymentsPerYear), 2))</f>
        <v>0</v>
      </c>
      <c r="F1464" s="5">
        <f>ROUND(IFERROR(IF(OR($B1464 &lt;=0, $B1464 = ExtraPayment),0,
MAX(-$B1464, -(-PMT(InterestRate/PaymentsPerYear,LoanTerm*PaymentsPerYear,LoanAmount) + $E1464))), 0), 2)</f>
        <v>0</v>
      </c>
      <c r="G1464" s="5">
        <f t="shared" si="90"/>
        <v>0</v>
      </c>
      <c r="H1464" s="5">
        <f t="shared" si="91"/>
        <v>0</v>
      </c>
    </row>
    <row r="1465" spans="1:8" x14ac:dyDescent="0.2">
      <c r="A1465" s="2">
        <v>1464</v>
      </c>
      <c r="B1465" s="5">
        <f t="shared" si="88"/>
        <v>0</v>
      </c>
      <c r="C1465" s="5">
        <f t="shared" si="89"/>
        <v>0</v>
      </c>
      <c r="D1465" s="5">
        <f>IF(ExtraPayment=0, 0, IF(AND($B1465&lt;&gt;0,ExtraPayment&lt;=$B1465),-ExtraPayment,-($F1465)-$B1465))</f>
        <v>0</v>
      </c>
      <c r="E1465" s="5">
        <f>IF($B1465 &lt;= 0, 0, -ROUND($B1465 * (InterestRate / PaymentsPerYear), 2))</f>
        <v>0</v>
      </c>
      <c r="F1465" s="5">
        <f>ROUND(IFERROR(IF(OR($B1465 &lt;=0, $B1465 = ExtraPayment),0,
MAX(-$B1465, -(-PMT(InterestRate/PaymentsPerYear,LoanTerm*PaymentsPerYear,LoanAmount) + $E1465))), 0), 2)</f>
        <v>0</v>
      </c>
      <c r="G1465" s="5">
        <f t="shared" si="90"/>
        <v>0</v>
      </c>
      <c r="H1465" s="5">
        <f t="shared" si="91"/>
        <v>0</v>
      </c>
    </row>
    <row r="1466" spans="1:8" x14ac:dyDescent="0.2">
      <c r="A1466" s="2">
        <v>1465</v>
      </c>
      <c r="B1466" s="5">
        <f t="shared" si="88"/>
        <v>0</v>
      </c>
      <c r="C1466" s="5">
        <f t="shared" si="89"/>
        <v>0</v>
      </c>
      <c r="D1466" s="5">
        <f>IF(ExtraPayment=0, 0, IF(AND($B1466&lt;&gt;0,ExtraPayment&lt;=$B1466),-ExtraPayment,-($F1466)-$B1466))</f>
        <v>0</v>
      </c>
      <c r="E1466" s="5">
        <f>IF($B1466 &lt;= 0, 0, -ROUND($B1466 * (InterestRate / PaymentsPerYear), 2))</f>
        <v>0</v>
      </c>
      <c r="F1466" s="5">
        <f>ROUND(IFERROR(IF(OR($B1466 &lt;=0, $B1466 = ExtraPayment),0,
MAX(-$B1466, -(-PMT(InterestRate/PaymentsPerYear,LoanTerm*PaymentsPerYear,LoanAmount) + $E1466))), 0), 2)</f>
        <v>0</v>
      </c>
      <c r="G1466" s="5">
        <f t="shared" si="90"/>
        <v>0</v>
      </c>
      <c r="H1466" s="5">
        <f t="shared" si="91"/>
        <v>0</v>
      </c>
    </row>
    <row r="1467" spans="1:8" x14ac:dyDescent="0.2">
      <c r="A1467" s="2">
        <v>1466</v>
      </c>
      <c r="B1467" s="5">
        <f t="shared" si="88"/>
        <v>0</v>
      </c>
      <c r="C1467" s="5">
        <f t="shared" si="89"/>
        <v>0</v>
      </c>
      <c r="D1467" s="5">
        <f>IF(ExtraPayment=0, 0, IF(AND($B1467&lt;&gt;0,ExtraPayment&lt;=$B1467),-ExtraPayment,-($F1467)-$B1467))</f>
        <v>0</v>
      </c>
      <c r="E1467" s="5">
        <f>IF($B1467 &lt;= 0, 0, -ROUND($B1467 * (InterestRate / PaymentsPerYear), 2))</f>
        <v>0</v>
      </c>
      <c r="F1467" s="5">
        <f>ROUND(IFERROR(IF(OR($B1467 &lt;=0, $B1467 = ExtraPayment),0,
MAX(-$B1467, -(-PMT(InterestRate/PaymentsPerYear,LoanTerm*PaymentsPerYear,LoanAmount) + $E1467))), 0), 2)</f>
        <v>0</v>
      </c>
      <c r="G1467" s="5">
        <f t="shared" si="90"/>
        <v>0</v>
      </c>
      <c r="H1467" s="5">
        <f t="shared" si="91"/>
        <v>0</v>
      </c>
    </row>
    <row r="1468" spans="1:8" x14ac:dyDescent="0.2">
      <c r="A1468" s="2">
        <v>1467</v>
      </c>
      <c r="B1468" s="5">
        <f t="shared" si="88"/>
        <v>0</v>
      </c>
      <c r="C1468" s="5">
        <f t="shared" si="89"/>
        <v>0</v>
      </c>
      <c r="D1468" s="5">
        <f>IF(ExtraPayment=0, 0, IF(AND($B1468&lt;&gt;0,ExtraPayment&lt;=$B1468),-ExtraPayment,-($F1468)-$B1468))</f>
        <v>0</v>
      </c>
      <c r="E1468" s="5">
        <f>IF($B1468 &lt;= 0, 0, -ROUND($B1468 * (InterestRate / PaymentsPerYear), 2))</f>
        <v>0</v>
      </c>
      <c r="F1468" s="5">
        <f>ROUND(IFERROR(IF(OR($B1468 &lt;=0, $B1468 = ExtraPayment),0,
MAX(-$B1468, -(-PMT(InterestRate/PaymentsPerYear,LoanTerm*PaymentsPerYear,LoanAmount) + $E1468))), 0), 2)</f>
        <v>0</v>
      </c>
      <c r="G1468" s="5">
        <f t="shared" si="90"/>
        <v>0</v>
      </c>
      <c r="H1468" s="5">
        <f t="shared" si="91"/>
        <v>0</v>
      </c>
    </row>
    <row r="1469" spans="1:8" x14ac:dyDescent="0.2">
      <c r="A1469" s="2">
        <v>1468</v>
      </c>
      <c r="B1469" s="5">
        <f t="shared" si="88"/>
        <v>0</v>
      </c>
      <c r="C1469" s="5">
        <f t="shared" si="89"/>
        <v>0</v>
      </c>
      <c r="D1469" s="5">
        <f>IF(ExtraPayment=0, 0, IF(AND($B1469&lt;&gt;0,ExtraPayment&lt;=$B1469),-ExtraPayment,-($F1469)-$B1469))</f>
        <v>0</v>
      </c>
      <c r="E1469" s="5">
        <f>IF($B1469 &lt;= 0, 0, -ROUND($B1469 * (InterestRate / PaymentsPerYear), 2))</f>
        <v>0</v>
      </c>
      <c r="F1469" s="5">
        <f>ROUND(IFERROR(IF(OR($B1469 &lt;=0, $B1469 = ExtraPayment),0,
MAX(-$B1469, -(-PMT(InterestRate/PaymentsPerYear,LoanTerm*PaymentsPerYear,LoanAmount) + $E1469))), 0), 2)</f>
        <v>0</v>
      </c>
      <c r="G1469" s="5">
        <f t="shared" si="90"/>
        <v>0</v>
      </c>
      <c r="H1469" s="5">
        <f t="shared" si="91"/>
        <v>0</v>
      </c>
    </row>
    <row r="1470" spans="1:8" x14ac:dyDescent="0.2">
      <c r="A1470" s="2">
        <v>1469</v>
      </c>
      <c r="B1470" s="5">
        <f t="shared" si="88"/>
        <v>0</v>
      </c>
      <c r="C1470" s="5">
        <f t="shared" si="89"/>
        <v>0</v>
      </c>
      <c r="D1470" s="5">
        <f>IF(ExtraPayment=0, 0, IF(AND($B1470&lt;&gt;0,ExtraPayment&lt;=$B1470),-ExtraPayment,-($F1470)-$B1470))</f>
        <v>0</v>
      </c>
      <c r="E1470" s="5">
        <f>IF($B1470 &lt;= 0, 0, -ROUND($B1470 * (InterestRate / PaymentsPerYear), 2))</f>
        <v>0</v>
      </c>
      <c r="F1470" s="5">
        <f>ROUND(IFERROR(IF(OR($B1470 &lt;=0, $B1470 = ExtraPayment),0,
MAX(-$B1470, -(-PMT(InterestRate/PaymentsPerYear,LoanTerm*PaymentsPerYear,LoanAmount) + $E1470))), 0), 2)</f>
        <v>0</v>
      </c>
      <c r="G1470" s="5">
        <f t="shared" si="90"/>
        <v>0</v>
      </c>
      <c r="H1470" s="5">
        <f t="shared" si="91"/>
        <v>0</v>
      </c>
    </row>
    <row r="1471" spans="1:8" x14ac:dyDescent="0.2">
      <c r="A1471" s="2">
        <v>1470</v>
      </c>
      <c r="B1471" s="5">
        <f t="shared" si="88"/>
        <v>0</v>
      </c>
      <c r="C1471" s="5">
        <f t="shared" si="89"/>
        <v>0</v>
      </c>
      <c r="D1471" s="5">
        <f>IF(ExtraPayment=0, 0, IF(AND($B1471&lt;&gt;0,ExtraPayment&lt;=$B1471),-ExtraPayment,-($F1471)-$B1471))</f>
        <v>0</v>
      </c>
      <c r="E1471" s="5">
        <f>IF($B1471 &lt;= 0, 0, -ROUND($B1471 * (InterestRate / PaymentsPerYear), 2))</f>
        <v>0</v>
      </c>
      <c r="F1471" s="5">
        <f>ROUND(IFERROR(IF(OR($B1471 &lt;=0, $B1471 = ExtraPayment),0,
MAX(-$B1471, -(-PMT(InterestRate/PaymentsPerYear,LoanTerm*PaymentsPerYear,LoanAmount) + $E1471))), 0), 2)</f>
        <v>0</v>
      </c>
      <c r="G1471" s="5">
        <f t="shared" si="90"/>
        <v>0</v>
      </c>
      <c r="H1471" s="5">
        <f t="shared" si="91"/>
        <v>0</v>
      </c>
    </row>
    <row r="1472" spans="1:8" x14ac:dyDescent="0.2">
      <c r="A1472" s="2">
        <v>1471</v>
      </c>
      <c r="B1472" s="5">
        <f t="shared" si="88"/>
        <v>0</v>
      </c>
      <c r="C1472" s="5">
        <f t="shared" si="89"/>
        <v>0</v>
      </c>
      <c r="D1472" s="5">
        <f>IF(ExtraPayment=0, 0, IF(AND($B1472&lt;&gt;0,ExtraPayment&lt;=$B1472),-ExtraPayment,-($F1472)-$B1472))</f>
        <v>0</v>
      </c>
      <c r="E1472" s="5">
        <f>IF($B1472 &lt;= 0, 0, -ROUND($B1472 * (InterestRate / PaymentsPerYear), 2))</f>
        <v>0</v>
      </c>
      <c r="F1472" s="5">
        <f>ROUND(IFERROR(IF(OR($B1472 &lt;=0, $B1472 = ExtraPayment),0,
MAX(-$B1472, -(-PMT(InterestRate/PaymentsPerYear,LoanTerm*PaymentsPerYear,LoanAmount) + $E1472))), 0), 2)</f>
        <v>0</v>
      </c>
      <c r="G1472" s="5">
        <f t="shared" si="90"/>
        <v>0</v>
      </c>
      <c r="H1472" s="5">
        <f t="shared" si="91"/>
        <v>0</v>
      </c>
    </row>
    <row r="1473" spans="1:8" x14ac:dyDescent="0.2">
      <c r="A1473" s="2">
        <v>1472</v>
      </c>
      <c r="B1473" s="5">
        <f t="shared" si="88"/>
        <v>0</v>
      </c>
      <c r="C1473" s="5">
        <f t="shared" si="89"/>
        <v>0</v>
      </c>
      <c r="D1473" s="5">
        <f>IF(ExtraPayment=0, 0, IF(AND($B1473&lt;&gt;0,ExtraPayment&lt;=$B1473),-ExtraPayment,-($F1473)-$B1473))</f>
        <v>0</v>
      </c>
      <c r="E1473" s="5">
        <f>IF($B1473 &lt;= 0, 0, -ROUND($B1473 * (InterestRate / PaymentsPerYear), 2))</f>
        <v>0</v>
      </c>
      <c r="F1473" s="5">
        <f>ROUND(IFERROR(IF(OR($B1473 &lt;=0, $B1473 = ExtraPayment),0,
MAX(-$B1473, -(-PMT(InterestRate/PaymentsPerYear,LoanTerm*PaymentsPerYear,LoanAmount) + $E1473))), 0), 2)</f>
        <v>0</v>
      </c>
      <c r="G1473" s="5">
        <f t="shared" si="90"/>
        <v>0</v>
      </c>
      <c r="H1473" s="5">
        <f t="shared" si="91"/>
        <v>0</v>
      </c>
    </row>
    <row r="1474" spans="1:8" x14ac:dyDescent="0.2">
      <c r="A1474" s="2">
        <v>1473</v>
      </c>
      <c r="B1474" s="5">
        <f t="shared" si="88"/>
        <v>0</v>
      </c>
      <c r="C1474" s="5">
        <f t="shared" si="89"/>
        <v>0</v>
      </c>
      <c r="D1474" s="5">
        <f>IF(ExtraPayment=0, 0, IF(AND($B1474&lt;&gt;0,ExtraPayment&lt;=$B1474),-ExtraPayment,-($F1474)-$B1474))</f>
        <v>0</v>
      </c>
      <c r="E1474" s="5">
        <f>IF($B1474 &lt;= 0, 0, -ROUND($B1474 * (InterestRate / PaymentsPerYear), 2))</f>
        <v>0</v>
      </c>
      <c r="F1474" s="5">
        <f>ROUND(IFERROR(IF(OR($B1474 &lt;=0, $B1474 = ExtraPayment),0,
MAX(-$B1474, -(-PMT(InterestRate/PaymentsPerYear,LoanTerm*PaymentsPerYear,LoanAmount) + $E1474))), 0), 2)</f>
        <v>0</v>
      </c>
      <c r="G1474" s="5">
        <f t="shared" si="90"/>
        <v>0</v>
      </c>
      <c r="H1474" s="5">
        <f t="shared" si="91"/>
        <v>0</v>
      </c>
    </row>
    <row r="1475" spans="1:8" x14ac:dyDescent="0.2">
      <c r="A1475" s="2">
        <v>1474</v>
      </c>
      <c r="B1475" s="5">
        <f t="shared" si="88"/>
        <v>0</v>
      </c>
      <c r="C1475" s="5">
        <f t="shared" si="89"/>
        <v>0</v>
      </c>
      <c r="D1475" s="5">
        <f>IF(ExtraPayment=0, 0, IF(AND($B1475&lt;&gt;0,ExtraPayment&lt;=$B1475),-ExtraPayment,-($F1475)-$B1475))</f>
        <v>0</v>
      </c>
      <c r="E1475" s="5">
        <f>IF($B1475 &lt;= 0, 0, -ROUND($B1475 * (InterestRate / PaymentsPerYear), 2))</f>
        <v>0</v>
      </c>
      <c r="F1475" s="5">
        <f>ROUND(IFERROR(IF(OR($B1475 &lt;=0, $B1475 = ExtraPayment),0,
MAX(-$B1475, -(-PMT(InterestRate/PaymentsPerYear,LoanTerm*PaymentsPerYear,LoanAmount) + $E1475))), 0), 2)</f>
        <v>0</v>
      </c>
      <c r="G1475" s="5">
        <f t="shared" si="90"/>
        <v>0</v>
      </c>
      <c r="H1475" s="5">
        <f t="shared" si="91"/>
        <v>0</v>
      </c>
    </row>
    <row r="1476" spans="1:8" x14ac:dyDescent="0.2">
      <c r="A1476" s="2">
        <v>1475</v>
      </c>
      <c r="B1476" s="5">
        <f t="shared" ref="B1476:B1539" si="92">ROUND(IF($H1475 &gt;= 0, MAX($H1475, $F1475), 0), 2)</f>
        <v>0</v>
      </c>
      <c r="C1476" s="5">
        <f t="shared" ref="C1476:C1539" si="93">IF($B1476 &lt;= 0, 0, $D1476+$E1476+$F1476)</f>
        <v>0</v>
      </c>
      <c r="D1476" s="5">
        <f>IF(ExtraPayment=0, 0, IF(AND($B1476&lt;&gt;0,ExtraPayment&lt;=$B1476),-ExtraPayment,-($F1476)-$B1476))</f>
        <v>0</v>
      </c>
      <c r="E1476" s="5">
        <f>IF($B1476 &lt;= 0, 0, -ROUND($B1476 * (InterestRate / PaymentsPerYear), 2))</f>
        <v>0</v>
      </c>
      <c r="F1476" s="5">
        <f>ROUND(IFERROR(IF(OR($B1476 &lt;=0, $B1476 = ExtraPayment),0,
MAX(-$B1476, -(-PMT(InterestRate/PaymentsPerYear,LoanTerm*PaymentsPerYear,LoanAmount) + $E1476))), 0), 2)</f>
        <v>0</v>
      </c>
      <c r="G1476" s="5">
        <f t="shared" ref="G1476:G1539" si="94">$D1476+$F1476</f>
        <v>0</v>
      </c>
      <c r="H1476" s="5">
        <f t="shared" ref="H1476:H1539" si="95">ROUND(IF($B1476 &lt;= 0, 0,MAX(0, $B1476 + $G1476)), 2)</f>
        <v>0</v>
      </c>
    </row>
    <row r="1477" spans="1:8" x14ac:dyDescent="0.2">
      <c r="A1477" s="2">
        <v>1476</v>
      </c>
      <c r="B1477" s="5">
        <f t="shared" si="92"/>
        <v>0</v>
      </c>
      <c r="C1477" s="5">
        <f t="shared" si="93"/>
        <v>0</v>
      </c>
      <c r="D1477" s="5">
        <f>IF(ExtraPayment=0, 0, IF(AND($B1477&lt;&gt;0,ExtraPayment&lt;=$B1477),-ExtraPayment,-($F1477)-$B1477))</f>
        <v>0</v>
      </c>
      <c r="E1477" s="5">
        <f>IF($B1477 &lt;= 0, 0, -ROUND($B1477 * (InterestRate / PaymentsPerYear), 2))</f>
        <v>0</v>
      </c>
      <c r="F1477" s="5">
        <f>ROUND(IFERROR(IF(OR($B1477 &lt;=0, $B1477 = ExtraPayment),0,
MAX(-$B1477, -(-PMT(InterestRate/PaymentsPerYear,LoanTerm*PaymentsPerYear,LoanAmount) + $E1477))), 0), 2)</f>
        <v>0</v>
      </c>
      <c r="G1477" s="5">
        <f t="shared" si="94"/>
        <v>0</v>
      </c>
      <c r="H1477" s="5">
        <f t="shared" si="95"/>
        <v>0</v>
      </c>
    </row>
    <row r="1478" spans="1:8" x14ac:dyDescent="0.2">
      <c r="A1478" s="2">
        <v>1477</v>
      </c>
      <c r="B1478" s="5">
        <f t="shared" si="92"/>
        <v>0</v>
      </c>
      <c r="C1478" s="5">
        <f t="shared" si="93"/>
        <v>0</v>
      </c>
      <c r="D1478" s="5">
        <f>IF(ExtraPayment=0, 0, IF(AND($B1478&lt;&gt;0,ExtraPayment&lt;=$B1478),-ExtraPayment,-($F1478)-$B1478))</f>
        <v>0</v>
      </c>
      <c r="E1478" s="5">
        <f>IF($B1478 &lt;= 0, 0, -ROUND($B1478 * (InterestRate / PaymentsPerYear), 2))</f>
        <v>0</v>
      </c>
      <c r="F1478" s="5">
        <f>ROUND(IFERROR(IF(OR($B1478 &lt;=0, $B1478 = ExtraPayment),0,
MAX(-$B1478, -(-PMT(InterestRate/PaymentsPerYear,LoanTerm*PaymentsPerYear,LoanAmount) + $E1478))), 0), 2)</f>
        <v>0</v>
      </c>
      <c r="G1478" s="5">
        <f t="shared" si="94"/>
        <v>0</v>
      </c>
      <c r="H1478" s="5">
        <f t="shared" si="95"/>
        <v>0</v>
      </c>
    </row>
    <row r="1479" spans="1:8" x14ac:dyDescent="0.2">
      <c r="A1479" s="2">
        <v>1478</v>
      </c>
      <c r="B1479" s="5">
        <f t="shared" si="92"/>
        <v>0</v>
      </c>
      <c r="C1479" s="5">
        <f t="shared" si="93"/>
        <v>0</v>
      </c>
      <c r="D1479" s="5">
        <f>IF(ExtraPayment=0, 0, IF(AND($B1479&lt;&gt;0,ExtraPayment&lt;=$B1479),-ExtraPayment,-($F1479)-$B1479))</f>
        <v>0</v>
      </c>
      <c r="E1479" s="5">
        <f>IF($B1479 &lt;= 0, 0, -ROUND($B1479 * (InterestRate / PaymentsPerYear), 2))</f>
        <v>0</v>
      </c>
      <c r="F1479" s="5">
        <f>ROUND(IFERROR(IF(OR($B1479 &lt;=0, $B1479 = ExtraPayment),0,
MAX(-$B1479, -(-PMT(InterestRate/PaymentsPerYear,LoanTerm*PaymentsPerYear,LoanAmount) + $E1479))), 0), 2)</f>
        <v>0</v>
      </c>
      <c r="G1479" s="5">
        <f t="shared" si="94"/>
        <v>0</v>
      </c>
      <c r="H1479" s="5">
        <f t="shared" si="95"/>
        <v>0</v>
      </c>
    </row>
    <row r="1480" spans="1:8" x14ac:dyDescent="0.2">
      <c r="A1480" s="2">
        <v>1479</v>
      </c>
      <c r="B1480" s="5">
        <f t="shared" si="92"/>
        <v>0</v>
      </c>
      <c r="C1480" s="5">
        <f t="shared" si="93"/>
        <v>0</v>
      </c>
      <c r="D1480" s="5">
        <f>IF(ExtraPayment=0, 0, IF(AND($B1480&lt;&gt;0,ExtraPayment&lt;=$B1480),-ExtraPayment,-($F1480)-$B1480))</f>
        <v>0</v>
      </c>
      <c r="E1480" s="5">
        <f>IF($B1480 &lt;= 0, 0, -ROUND($B1480 * (InterestRate / PaymentsPerYear), 2))</f>
        <v>0</v>
      </c>
      <c r="F1480" s="5">
        <f>ROUND(IFERROR(IF(OR($B1480 &lt;=0, $B1480 = ExtraPayment),0,
MAX(-$B1480, -(-PMT(InterestRate/PaymentsPerYear,LoanTerm*PaymentsPerYear,LoanAmount) + $E1480))), 0), 2)</f>
        <v>0</v>
      </c>
      <c r="G1480" s="5">
        <f t="shared" si="94"/>
        <v>0</v>
      </c>
      <c r="H1480" s="5">
        <f t="shared" si="95"/>
        <v>0</v>
      </c>
    </row>
    <row r="1481" spans="1:8" x14ac:dyDescent="0.2">
      <c r="A1481" s="2">
        <v>1480</v>
      </c>
      <c r="B1481" s="5">
        <f t="shared" si="92"/>
        <v>0</v>
      </c>
      <c r="C1481" s="5">
        <f t="shared" si="93"/>
        <v>0</v>
      </c>
      <c r="D1481" s="5">
        <f>IF(ExtraPayment=0, 0, IF(AND($B1481&lt;&gt;0,ExtraPayment&lt;=$B1481),-ExtraPayment,-($F1481)-$B1481))</f>
        <v>0</v>
      </c>
      <c r="E1481" s="5">
        <f>IF($B1481 &lt;= 0, 0, -ROUND($B1481 * (InterestRate / PaymentsPerYear), 2))</f>
        <v>0</v>
      </c>
      <c r="F1481" s="5">
        <f>ROUND(IFERROR(IF(OR($B1481 &lt;=0, $B1481 = ExtraPayment),0,
MAX(-$B1481, -(-PMT(InterestRate/PaymentsPerYear,LoanTerm*PaymentsPerYear,LoanAmount) + $E1481))), 0), 2)</f>
        <v>0</v>
      </c>
      <c r="G1481" s="5">
        <f t="shared" si="94"/>
        <v>0</v>
      </c>
      <c r="H1481" s="5">
        <f t="shared" si="95"/>
        <v>0</v>
      </c>
    </row>
    <row r="1482" spans="1:8" x14ac:dyDescent="0.2">
      <c r="A1482" s="2">
        <v>1481</v>
      </c>
      <c r="B1482" s="5">
        <f t="shared" si="92"/>
        <v>0</v>
      </c>
      <c r="C1482" s="5">
        <f t="shared" si="93"/>
        <v>0</v>
      </c>
      <c r="D1482" s="5">
        <f>IF(ExtraPayment=0, 0, IF(AND($B1482&lt;&gt;0,ExtraPayment&lt;=$B1482),-ExtraPayment,-($F1482)-$B1482))</f>
        <v>0</v>
      </c>
      <c r="E1482" s="5">
        <f>IF($B1482 &lt;= 0, 0, -ROUND($B1482 * (InterestRate / PaymentsPerYear), 2))</f>
        <v>0</v>
      </c>
      <c r="F1482" s="5">
        <f>ROUND(IFERROR(IF(OR($B1482 &lt;=0, $B1482 = ExtraPayment),0,
MAX(-$B1482, -(-PMT(InterestRate/PaymentsPerYear,LoanTerm*PaymentsPerYear,LoanAmount) + $E1482))), 0), 2)</f>
        <v>0</v>
      </c>
      <c r="G1482" s="5">
        <f t="shared" si="94"/>
        <v>0</v>
      </c>
      <c r="H1482" s="5">
        <f t="shared" si="95"/>
        <v>0</v>
      </c>
    </row>
    <row r="1483" spans="1:8" x14ac:dyDescent="0.2">
      <c r="A1483" s="2">
        <v>1482</v>
      </c>
      <c r="B1483" s="5">
        <f t="shared" si="92"/>
        <v>0</v>
      </c>
      <c r="C1483" s="5">
        <f t="shared" si="93"/>
        <v>0</v>
      </c>
      <c r="D1483" s="5">
        <f>IF(ExtraPayment=0, 0, IF(AND($B1483&lt;&gt;0,ExtraPayment&lt;=$B1483),-ExtraPayment,-($F1483)-$B1483))</f>
        <v>0</v>
      </c>
      <c r="E1483" s="5">
        <f>IF($B1483 &lt;= 0, 0, -ROUND($B1483 * (InterestRate / PaymentsPerYear), 2))</f>
        <v>0</v>
      </c>
      <c r="F1483" s="5">
        <f>ROUND(IFERROR(IF(OR($B1483 &lt;=0, $B1483 = ExtraPayment),0,
MAX(-$B1483, -(-PMT(InterestRate/PaymentsPerYear,LoanTerm*PaymentsPerYear,LoanAmount) + $E1483))), 0), 2)</f>
        <v>0</v>
      </c>
      <c r="G1483" s="5">
        <f t="shared" si="94"/>
        <v>0</v>
      </c>
      <c r="H1483" s="5">
        <f t="shared" si="95"/>
        <v>0</v>
      </c>
    </row>
    <row r="1484" spans="1:8" x14ac:dyDescent="0.2">
      <c r="A1484" s="2">
        <v>1483</v>
      </c>
      <c r="B1484" s="5">
        <f t="shared" si="92"/>
        <v>0</v>
      </c>
      <c r="C1484" s="5">
        <f t="shared" si="93"/>
        <v>0</v>
      </c>
      <c r="D1484" s="5">
        <f>IF(ExtraPayment=0, 0, IF(AND($B1484&lt;&gt;0,ExtraPayment&lt;=$B1484),-ExtraPayment,-($F1484)-$B1484))</f>
        <v>0</v>
      </c>
      <c r="E1484" s="5">
        <f>IF($B1484 &lt;= 0, 0, -ROUND($B1484 * (InterestRate / PaymentsPerYear), 2))</f>
        <v>0</v>
      </c>
      <c r="F1484" s="5">
        <f>ROUND(IFERROR(IF(OR($B1484 &lt;=0, $B1484 = ExtraPayment),0,
MAX(-$B1484, -(-PMT(InterestRate/PaymentsPerYear,LoanTerm*PaymentsPerYear,LoanAmount) + $E1484))), 0), 2)</f>
        <v>0</v>
      </c>
      <c r="G1484" s="5">
        <f t="shared" si="94"/>
        <v>0</v>
      </c>
      <c r="H1484" s="5">
        <f t="shared" si="95"/>
        <v>0</v>
      </c>
    </row>
    <row r="1485" spans="1:8" x14ac:dyDescent="0.2">
      <c r="A1485" s="2">
        <v>1484</v>
      </c>
      <c r="B1485" s="5">
        <f t="shared" si="92"/>
        <v>0</v>
      </c>
      <c r="C1485" s="5">
        <f t="shared" si="93"/>
        <v>0</v>
      </c>
      <c r="D1485" s="5">
        <f>IF(ExtraPayment=0, 0, IF(AND($B1485&lt;&gt;0,ExtraPayment&lt;=$B1485),-ExtraPayment,-($F1485)-$B1485))</f>
        <v>0</v>
      </c>
      <c r="E1485" s="5">
        <f>IF($B1485 &lt;= 0, 0, -ROUND($B1485 * (InterestRate / PaymentsPerYear), 2))</f>
        <v>0</v>
      </c>
      <c r="F1485" s="5">
        <f>ROUND(IFERROR(IF(OR($B1485 &lt;=0, $B1485 = ExtraPayment),0,
MAX(-$B1485, -(-PMT(InterestRate/PaymentsPerYear,LoanTerm*PaymentsPerYear,LoanAmount) + $E1485))), 0), 2)</f>
        <v>0</v>
      </c>
      <c r="G1485" s="5">
        <f t="shared" si="94"/>
        <v>0</v>
      </c>
      <c r="H1485" s="5">
        <f t="shared" si="95"/>
        <v>0</v>
      </c>
    </row>
    <row r="1486" spans="1:8" x14ac:dyDescent="0.2">
      <c r="A1486" s="2">
        <v>1485</v>
      </c>
      <c r="B1486" s="5">
        <f t="shared" si="92"/>
        <v>0</v>
      </c>
      <c r="C1486" s="5">
        <f t="shared" si="93"/>
        <v>0</v>
      </c>
      <c r="D1486" s="5">
        <f>IF(ExtraPayment=0, 0, IF(AND($B1486&lt;&gt;0,ExtraPayment&lt;=$B1486),-ExtraPayment,-($F1486)-$B1486))</f>
        <v>0</v>
      </c>
      <c r="E1486" s="5">
        <f>IF($B1486 &lt;= 0, 0, -ROUND($B1486 * (InterestRate / PaymentsPerYear), 2))</f>
        <v>0</v>
      </c>
      <c r="F1486" s="5">
        <f>ROUND(IFERROR(IF(OR($B1486 &lt;=0, $B1486 = ExtraPayment),0,
MAX(-$B1486, -(-PMT(InterestRate/PaymentsPerYear,LoanTerm*PaymentsPerYear,LoanAmount) + $E1486))), 0), 2)</f>
        <v>0</v>
      </c>
      <c r="G1486" s="5">
        <f t="shared" si="94"/>
        <v>0</v>
      </c>
      <c r="H1486" s="5">
        <f t="shared" si="95"/>
        <v>0</v>
      </c>
    </row>
    <row r="1487" spans="1:8" x14ac:dyDescent="0.2">
      <c r="A1487" s="2">
        <v>1486</v>
      </c>
      <c r="B1487" s="5">
        <f t="shared" si="92"/>
        <v>0</v>
      </c>
      <c r="C1487" s="5">
        <f t="shared" si="93"/>
        <v>0</v>
      </c>
      <c r="D1487" s="5">
        <f>IF(ExtraPayment=0, 0, IF(AND($B1487&lt;&gt;0,ExtraPayment&lt;=$B1487),-ExtraPayment,-($F1487)-$B1487))</f>
        <v>0</v>
      </c>
      <c r="E1487" s="5">
        <f>IF($B1487 &lt;= 0, 0, -ROUND($B1487 * (InterestRate / PaymentsPerYear), 2))</f>
        <v>0</v>
      </c>
      <c r="F1487" s="5">
        <f>ROUND(IFERROR(IF(OR($B1487 &lt;=0, $B1487 = ExtraPayment),0,
MAX(-$B1487, -(-PMT(InterestRate/PaymentsPerYear,LoanTerm*PaymentsPerYear,LoanAmount) + $E1487))), 0), 2)</f>
        <v>0</v>
      </c>
      <c r="G1487" s="5">
        <f t="shared" si="94"/>
        <v>0</v>
      </c>
      <c r="H1487" s="5">
        <f t="shared" si="95"/>
        <v>0</v>
      </c>
    </row>
    <row r="1488" spans="1:8" x14ac:dyDescent="0.2">
      <c r="A1488" s="2">
        <v>1487</v>
      </c>
      <c r="B1488" s="5">
        <f t="shared" si="92"/>
        <v>0</v>
      </c>
      <c r="C1488" s="5">
        <f t="shared" si="93"/>
        <v>0</v>
      </c>
      <c r="D1488" s="5">
        <f>IF(ExtraPayment=0, 0, IF(AND($B1488&lt;&gt;0,ExtraPayment&lt;=$B1488),-ExtraPayment,-($F1488)-$B1488))</f>
        <v>0</v>
      </c>
      <c r="E1488" s="5">
        <f>IF($B1488 &lt;= 0, 0, -ROUND($B1488 * (InterestRate / PaymentsPerYear), 2))</f>
        <v>0</v>
      </c>
      <c r="F1488" s="5">
        <f>ROUND(IFERROR(IF(OR($B1488 &lt;=0, $B1488 = ExtraPayment),0,
MAX(-$B1488, -(-PMT(InterestRate/PaymentsPerYear,LoanTerm*PaymentsPerYear,LoanAmount) + $E1488))), 0), 2)</f>
        <v>0</v>
      </c>
      <c r="G1488" s="5">
        <f t="shared" si="94"/>
        <v>0</v>
      </c>
      <c r="H1488" s="5">
        <f t="shared" si="95"/>
        <v>0</v>
      </c>
    </row>
    <row r="1489" spans="1:8" x14ac:dyDescent="0.2">
      <c r="A1489" s="2">
        <v>1488</v>
      </c>
      <c r="B1489" s="5">
        <f t="shared" si="92"/>
        <v>0</v>
      </c>
      <c r="C1489" s="5">
        <f t="shared" si="93"/>
        <v>0</v>
      </c>
      <c r="D1489" s="5">
        <f>IF(ExtraPayment=0, 0, IF(AND($B1489&lt;&gt;0,ExtraPayment&lt;=$B1489),-ExtraPayment,-($F1489)-$B1489))</f>
        <v>0</v>
      </c>
      <c r="E1489" s="5">
        <f>IF($B1489 &lt;= 0, 0, -ROUND($B1489 * (InterestRate / PaymentsPerYear), 2))</f>
        <v>0</v>
      </c>
      <c r="F1489" s="5">
        <f>ROUND(IFERROR(IF(OR($B1489 &lt;=0, $B1489 = ExtraPayment),0,
MAX(-$B1489, -(-PMT(InterestRate/PaymentsPerYear,LoanTerm*PaymentsPerYear,LoanAmount) + $E1489))), 0), 2)</f>
        <v>0</v>
      </c>
      <c r="G1489" s="5">
        <f t="shared" si="94"/>
        <v>0</v>
      </c>
      <c r="H1489" s="5">
        <f t="shared" si="95"/>
        <v>0</v>
      </c>
    </row>
    <row r="1490" spans="1:8" x14ac:dyDescent="0.2">
      <c r="A1490" s="2">
        <v>1489</v>
      </c>
      <c r="B1490" s="5">
        <f t="shared" si="92"/>
        <v>0</v>
      </c>
      <c r="C1490" s="5">
        <f t="shared" si="93"/>
        <v>0</v>
      </c>
      <c r="D1490" s="5">
        <f>IF(ExtraPayment=0, 0, IF(AND($B1490&lt;&gt;0,ExtraPayment&lt;=$B1490),-ExtraPayment,-($F1490)-$B1490))</f>
        <v>0</v>
      </c>
      <c r="E1490" s="5">
        <f>IF($B1490 &lt;= 0, 0, -ROUND($B1490 * (InterestRate / PaymentsPerYear), 2))</f>
        <v>0</v>
      </c>
      <c r="F1490" s="5">
        <f>ROUND(IFERROR(IF(OR($B1490 &lt;=0, $B1490 = ExtraPayment),0,
MAX(-$B1490, -(-PMT(InterestRate/PaymentsPerYear,LoanTerm*PaymentsPerYear,LoanAmount) + $E1490))), 0), 2)</f>
        <v>0</v>
      </c>
      <c r="G1490" s="5">
        <f t="shared" si="94"/>
        <v>0</v>
      </c>
      <c r="H1490" s="5">
        <f t="shared" si="95"/>
        <v>0</v>
      </c>
    </row>
    <row r="1491" spans="1:8" x14ac:dyDescent="0.2">
      <c r="A1491" s="2">
        <v>1490</v>
      </c>
      <c r="B1491" s="5">
        <f t="shared" si="92"/>
        <v>0</v>
      </c>
      <c r="C1491" s="5">
        <f t="shared" si="93"/>
        <v>0</v>
      </c>
      <c r="D1491" s="5">
        <f>IF(ExtraPayment=0, 0, IF(AND($B1491&lt;&gt;0,ExtraPayment&lt;=$B1491),-ExtraPayment,-($F1491)-$B1491))</f>
        <v>0</v>
      </c>
      <c r="E1491" s="5">
        <f>IF($B1491 &lt;= 0, 0, -ROUND($B1491 * (InterestRate / PaymentsPerYear), 2))</f>
        <v>0</v>
      </c>
      <c r="F1491" s="5">
        <f>ROUND(IFERROR(IF(OR($B1491 &lt;=0, $B1491 = ExtraPayment),0,
MAX(-$B1491, -(-PMT(InterestRate/PaymentsPerYear,LoanTerm*PaymentsPerYear,LoanAmount) + $E1491))), 0), 2)</f>
        <v>0</v>
      </c>
      <c r="G1491" s="5">
        <f t="shared" si="94"/>
        <v>0</v>
      </c>
      <c r="H1491" s="5">
        <f t="shared" si="95"/>
        <v>0</v>
      </c>
    </row>
    <row r="1492" spans="1:8" x14ac:dyDescent="0.2">
      <c r="A1492" s="2">
        <v>1491</v>
      </c>
      <c r="B1492" s="5">
        <f t="shared" si="92"/>
        <v>0</v>
      </c>
      <c r="C1492" s="5">
        <f t="shared" si="93"/>
        <v>0</v>
      </c>
      <c r="D1492" s="5">
        <f>IF(ExtraPayment=0, 0, IF(AND($B1492&lt;&gt;0,ExtraPayment&lt;=$B1492),-ExtraPayment,-($F1492)-$B1492))</f>
        <v>0</v>
      </c>
      <c r="E1492" s="5">
        <f>IF($B1492 &lt;= 0, 0, -ROUND($B1492 * (InterestRate / PaymentsPerYear), 2))</f>
        <v>0</v>
      </c>
      <c r="F1492" s="5">
        <f>ROUND(IFERROR(IF(OR($B1492 &lt;=0, $B1492 = ExtraPayment),0,
MAX(-$B1492, -(-PMT(InterestRate/PaymentsPerYear,LoanTerm*PaymentsPerYear,LoanAmount) + $E1492))), 0), 2)</f>
        <v>0</v>
      </c>
      <c r="G1492" s="5">
        <f t="shared" si="94"/>
        <v>0</v>
      </c>
      <c r="H1492" s="5">
        <f t="shared" si="95"/>
        <v>0</v>
      </c>
    </row>
    <row r="1493" spans="1:8" x14ac:dyDescent="0.2">
      <c r="A1493" s="2">
        <v>1492</v>
      </c>
      <c r="B1493" s="5">
        <f t="shared" si="92"/>
        <v>0</v>
      </c>
      <c r="C1493" s="5">
        <f t="shared" si="93"/>
        <v>0</v>
      </c>
      <c r="D1493" s="5">
        <f>IF(ExtraPayment=0, 0, IF(AND($B1493&lt;&gt;0,ExtraPayment&lt;=$B1493),-ExtraPayment,-($F1493)-$B1493))</f>
        <v>0</v>
      </c>
      <c r="E1493" s="5">
        <f>IF($B1493 &lt;= 0, 0, -ROUND($B1493 * (InterestRate / PaymentsPerYear), 2))</f>
        <v>0</v>
      </c>
      <c r="F1493" s="5">
        <f>ROUND(IFERROR(IF(OR($B1493 &lt;=0, $B1493 = ExtraPayment),0,
MAX(-$B1493, -(-PMT(InterestRate/PaymentsPerYear,LoanTerm*PaymentsPerYear,LoanAmount) + $E1493))), 0), 2)</f>
        <v>0</v>
      </c>
      <c r="G1493" s="5">
        <f t="shared" si="94"/>
        <v>0</v>
      </c>
      <c r="H1493" s="5">
        <f t="shared" si="95"/>
        <v>0</v>
      </c>
    </row>
    <row r="1494" spans="1:8" x14ac:dyDescent="0.2">
      <c r="A1494" s="2">
        <v>1493</v>
      </c>
      <c r="B1494" s="5">
        <f t="shared" si="92"/>
        <v>0</v>
      </c>
      <c r="C1494" s="5">
        <f t="shared" si="93"/>
        <v>0</v>
      </c>
      <c r="D1494" s="5">
        <f>IF(ExtraPayment=0, 0, IF(AND($B1494&lt;&gt;0,ExtraPayment&lt;=$B1494),-ExtraPayment,-($F1494)-$B1494))</f>
        <v>0</v>
      </c>
      <c r="E1494" s="5">
        <f>IF($B1494 &lt;= 0, 0, -ROUND($B1494 * (InterestRate / PaymentsPerYear), 2))</f>
        <v>0</v>
      </c>
      <c r="F1494" s="5">
        <f>ROUND(IFERROR(IF(OR($B1494 &lt;=0, $B1494 = ExtraPayment),0,
MAX(-$B1494, -(-PMT(InterestRate/PaymentsPerYear,LoanTerm*PaymentsPerYear,LoanAmount) + $E1494))), 0), 2)</f>
        <v>0</v>
      </c>
      <c r="G1494" s="5">
        <f t="shared" si="94"/>
        <v>0</v>
      </c>
      <c r="H1494" s="5">
        <f t="shared" si="95"/>
        <v>0</v>
      </c>
    </row>
    <row r="1495" spans="1:8" x14ac:dyDescent="0.2">
      <c r="A1495" s="2">
        <v>1494</v>
      </c>
      <c r="B1495" s="5">
        <f t="shared" si="92"/>
        <v>0</v>
      </c>
      <c r="C1495" s="5">
        <f t="shared" si="93"/>
        <v>0</v>
      </c>
      <c r="D1495" s="5">
        <f>IF(ExtraPayment=0, 0, IF(AND($B1495&lt;&gt;0,ExtraPayment&lt;=$B1495),-ExtraPayment,-($F1495)-$B1495))</f>
        <v>0</v>
      </c>
      <c r="E1495" s="5">
        <f>IF($B1495 &lt;= 0, 0, -ROUND($B1495 * (InterestRate / PaymentsPerYear), 2))</f>
        <v>0</v>
      </c>
      <c r="F1495" s="5">
        <f>ROUND(IFERROR(IF(OR($B1495 &lt;=0, $B1495 = ExtraPayment),0,
MAX(-$B1495, -(-PMT(InterestRate/PaymentsPerYear,LoanTerm*PaymentsPerYear,LoanAmount) + $E1495))), 0), 2)</f>
        <v>0</v>
      </c>
      <c r="G1495" s="5">
        <f t="shared" si="94"/>
        <v>0</v>
      </c>
      <c r="H1495" s="5">
        <f t="shared" si="95"/>
        <v>0</v>
      </c>
    </row>
    <row r="1496" spans="1:8" x14ac:dyDescent="0.2">
      <c r="A1496" s="2">
        <v>1495</v>
      </c>
      <c r="B1496" s="5">
        <f t="shared" si="92"/>
        <v>0</v>
      </c>
      <c r="C1496" s="5">
        <f t="shared" si="93"/>
        <v>0</v>
      </c>
      <c r="D1496" s="5">
        <f>IF(ExtraPayment=0, 0, IF(AND($B1496&lt;&gt;0,ExtraPayment&lt;=$B1496),-ExtraPayment,-($F1496)-$B1496))</f>
        <v>0</v>
      </c>
      <c r="E1496" s="5">
        <f>IF($B1496 &lt;= 0, 0, -ROUND($B1496 * (InterestRate / PaymentsPerYear), 2))</f>
        <v>0</v>
      </c>
      <c r="F1496" s="5">
        <f>ROUND(IFERROR(IF(OR($B1496 &lt;=0, $B1496 = ExtraPayment),0,
MAX(-$B1496, -(-PMT(InterestRate/PaymentsPerYear,LoanTerm*PaymentsPerYear,LoanAmount) + $E1496))), 0), 2)</f>
        <v>0</v>
      </c>
      <c r="G1496" s="5">
        <f t="shared" si="94"/>
        <v>0</v>
      </c>
      <c r="H1496" s="5">
        <f t="shared" si="95"/>
        <v>0</v>
      </c>
    </row>
    <row r="1497" spans="1:8" x14ac:dyDescent="0.2">
      <c r="A1497" s="2">
        <v>1496</v>
      </c>
      <c r="B1497" s="5">
        <f t="shared" si="92"/>
        <v>0</v>
      </c>
      <c r="C1497" s="5">
        <f t="shared" si="93"/>
        <v>0</v>
      </c>
      <c r="D1497" s="5">
        <f>IF(ExtraPayment=0, 0, IF(AND($B1497&lt;&gt;0,ExtraPayment&lt;=$B1497),-ExtraPayment,-($F1497)-$B1497))</f>
        <v>0</v>
      </c>
      <c r="E1497" s="5">
        <f>IF($B1497 &lt;= 0, 0, -ROUND($B1497 * (InterestRate / PaymentsPerYear), 2))</f>
        <v>0</v>
      </c>
      <c r="F1497" s="5">
        <f>ROUND(IFERROR(IF(OR($B1497 &lt;=0, $B1497 = ExtraPayment),0,
MAX(-$B1497, -(-PMT(InterestRate/PaymentsPerYear,LoanTerm*PaymentsPerYear,LoanAmount) + $E1497))), 0), 2)</f>
        <v>0</v>
      </c>
      <c r="G1497" s="5">
        <f t="shared" si="94"/>
        <v>0</v>
      </c>
      <c r="H1497" s="5">
        <f t="shared" si="95"/>
        <v>0</v>
      </c>
    </row>
    <row r="1498" spans="1:8" x14ac:dyDescent="0.2">
      <c r="A1498" s="2">
        <v>1497</v>
      </c>
      <c r="B1498" s="5">
        <f t="shared" si="92"/>
        <v>0</v>
      </c>
      <c r="C1498" s="5">
        <f t="shared" si="93"/>
        <v>0</v>
      </c>
      <c r="D1498" s="5">
        <f>IF(ExtraPayment=0, 0, IF(AND($B1498&lt;&gt;0,ExtraPayment&lt;=$B1498),-ExtraPayment,-($F1498)-$B1498))</f>
        <v>0</v>
      </c>
      <c r="E1498" s="5">
        <f>IF($B1498 &lt;= 0, 0, -ROUND($B1498 * (InterestRate / PaymentsPerYear), 2))</f>
        <v>0</v>
      </c>
      <c r="F1498" s="5">
        <f>ROUND(IFERROR(IF(OR($B1498 &lt;=0, $B1498 = ExtraPayment),0,
MAX(-$B1498, -(-PMT(InterestRate/PaymentsPerYear,LoanTerm*PaymentsPerYear,LoanAmount) + $E1498))), 0), 2)</f>
        <v>0</v>
      </c>
      <c r="G1498" s="5">
        <f t="shared" si="94"/>
        <v>0</v>
      </c>
      <c r="H1498" s="5">
        <f t="shared" si="95"/>
        <v>0</v>
      </c>
    </row>
    <row r="1499" spans="1:8" x14ac:dyDescent="0.2">
      <c r="A1499" s="2">
        <v>1498</v>
      </c>
      <c r="B1499" s="5">
        <f t="shared" si="92"/>
        <v>0</v>
      </c>
      <c r="C1499" s="5">
        <f t="shared" si="93"/>
        <v>0</v>
      </c>
      <c r="D1499" s="5">
        <f>IF(ExtraPayment=0, 0, IF(AND($B1499&lt;&gt;0,ExtraPayment&lt;=$B1499),-ExtraPayment,-($F1499)-$B1499))</f>
        <v>0</v>
      </c>
      <c r="E1499" s="5">
        <f>IF($B1499 &lt;= 0, 0, -ROUND($B1499 * (InterestRate / PaymentsPerYear), 2))</f>
        <v>0</v>
      </c>
      <c r="F1499" s="5">
        <f>ROUND(IFERROR(IF(OR($B1499 &lt;=0, $B1499 = ExtraPayment),0,
MAX(-$B1499, -(-PMT(InterestRate/PaymentsPerYear,LoanTerm*PaymentsPerYear,LoanAmount) + $E1499))), 0), 2)</f>
        <v>0</v>
      </c>
      <c r="G1499" s="5">
        <f t="shared" si="94"/>
        <v>0</v>
      </c>
      <c r="H1499" s="5">
        <f t="shared" si="95"/>
        <v>0</v>
      </c>
    </row>
    <row r="1500" spans="1:8" x14ac:dyDescent="0.2">
      <c r="A1500" s="2">
        <v>1499</v>
      </c>
      <c r="B1500" s="5">
        <f t="shared" si="92"/>
        <v>0</v>
      </c>
      <c r="C1500" s="5">
        <f t="shared" si="93"/>
        <v>0</v>
      </c>
      <c r="D1500" s="5">
        <f>IF(ExtraPayment=0, 0, IF(AND($B1500&lt;&gt;0,ExtraPayment&lt;=$B1500),-ExtraPayment,-($F1500)-$B1500))</f>
        <v>0</v>
      </c>
      <c r="E1500" s="5">
        <f>IF($B1500 &lt;= 0, 0, -ROUND($B1500 * (InterestRate / PaymentsPerYear), 2))</f>
        <v>0</v>
      </c>
      <c r="F1500" s="5">
        <f>ROUND(IFERROR(IF(OR($B1500 &lt;=0, $B1500 = ExtraPayment),0,
MAX(-$B1500, -(-PMT(InterestRate/PaymentsPerYear,LoanTerm*PaymentsPerYear,LoanAmount) + $E1500))), 0), 2)</f>
        <v>0</v>
      </c>
      <c r="G1500" s="5">
        <f t="shared" si="94"/>
        <v>0</v>
      </c>
      <c r="H1500" s="5">
        <f t="shared" si="95"/>
        <v>0</v>
      </c>
    </row>
    <row r="1501" spans="1:8" x14ac:dyDescent="0.2">
      <c r="A1501" s="2">
        <v>1500</v>
      </c>
      <c r="B1501" s="5">
        <f t="shared" si="92"/>
        <v>0</v>
      </c>
      <c r="C1501" s="5">
        <f t="shared" si="93"/>
        <v>0</v>
      </c>
      <c r="D1501" s="5">
        <f>IF(ExtraPayment=0, 0, IF(AND($B1501&lt;&gt;0,ExtraPayment&lt;=$B1501),-ExtraPayment,-($F1501)-$B1501))</f>
        <v>0</v>
      </c>
      <c r="E1501" s="5">
        <f>IF($B1501 &lt;= 0, 0, -ROUND($B1501 * (InterestRate / PaymentsPerYear), 2))</f>
        <v>0</v>
      </c>
      <c r="F1501" s="5">
        <f>ROUND(IFERROR(IF(OR($B1501 &lt;=0, $B1501 = ExtraPayment),0,
MAX(-$B1501, -(-PMT(InterestRate/PaymentsPerYear,LoanTerm*PaymentsPerYear,LoanAmount) + $E1501))), 0), 2)</f>
        <v>0</v>
      </c>
      <c r="G1501" s="5">
        <f t="shared" si="94"/>
        <v>0</v>
      </c>
      <c r="H1501" s="5">
        <f t="shared" si="95"/>
        <v>0</v>
      </c>
    </row>
    <row r="1502" spans="1:8" x14ac:dyDescent="0.2">
      <c r="A1502" s="2">
        <v>1501</v>
      </c>
      <c r="B1502" s="5">
        <f t="shared" si="92"/>
        <v>0</v>
      </c>
      <c r="C1502" s="5">
        <f t="shared" si="93"/>
        <v>0</v>
      </c>
      <c r="D1502" s="5">
        <f>IF(ExtraPayment=0, 0, IF(AND($B1502&lt;&gt;0,ExtraPayment&lt;=$B1502),-ExtraPayment,-($F1502)-$B1502))</f>
        <v>0</v>
      </c>
      <c r="E1502" s="5">
        <f>IF($B1502 &lt;= 0, 0, -ROUND($B1502 * (InterestRate / PaymentsPerYear), 2))</f>
        <v>0</v>
      </c>
      <c r="F1502" s="5">
        <f>ROUND(IFERROR(IF(OR($B1502 &lt;=0, $B1502 = ExtraPayment),0,
MAX(-$B1502, -(-PMT(InterestRate/PaymentsPerYear,LoanTerm*PaymentsPerYear,LoanAmount) + $E1502))), 0), 2)</f>
        <v>0</v>
      </c>
      <c r="G1502" s="5">
        <f t="shared" si="94"/>
        <v>0</v>
      </c>
      <c r="H1502" s="5">
        <f t="shared" si="95"/>
        <v>0</v>
      </c>
    </row>
    <row r="1503" spans="1:8" x14ac:dyDescent="0.2">
      <c r="A1503" s="2">
        <v>1502</v>
      </c>
      <c r="B1503" s="5">
        <f t="shared" si="92"/>
        <v>0</v>
      </c>
      <c r="C1503" s="5">
        <f t="shared" si="93"/>
        <v>0</v>
      </c>
      <c r="D1503" s="5">
        <f>IF(ExtraPayment=0, 0, IF(AND($B1503&lt;&gt;0,ExtraPayment&lt;=$B1503),-ExtraPayment,-($F1503)-$B1503))</f>
        <v>0</v>
      </c>
      <c r="E1503" s="5">
        <f>IF($B1503 &lt;= 0, 0, -ROUND($B1503 * (InterestRate / PaymentsPerYear), 2))</f>
        <v>0</v>
      </c>
      <c r="F1503" s="5">
        <f>ROUND(IFERROR(IF(OR($B1503 &lt;=0, $B1503 = ExtraPayment),0,
MAX(-$B1503, -(-PMT(InterestRate/PaymentsPerYear,LoanTerm*PaymentsPerYear,LoanAmount) + $E1503))), 0), 2)</f>
        <v>0</v>
      </c>
      <c r="G1503" s="5">
        <f t="shared" si="94"/>
        <v>0</v>
      </c>
      <c r="H1503" s="5">
        <f t="shared" si="95"/>
        <v>0</v>
      </c>
    </row>
    <row r="1504" spans="1:8" x14ac:dyDescent="0.2">
      <c r="A1504" s="2">
        <v>1503</v>
      </c>
      <c r="B1504" s="5">
        <f t="shared" si="92"/>
        <v>0</v>
      </c>
      <c r="C1504" s="5">
        <f t="shared" si="93"/>
        <v>0</v>
      </c>
      <c r="D1504" s="5">
        <f>IF(ExtraPayment=0, 0, IF(AND($B1504&lt;&gt;0,ExtraPayment&lt;=$B1504),-ExtraPayment,-($F1504)-$B1504))</f>
        <v>0</v>
      </c>
      <c r="E1504" s="5">
        <f>IF($B1504 &lt;= 0, 0, -ROUND($B1504 * (InterestRate / PaymentsPerYear), 2))</f>
        <v>0</v>
      </c>
      <c r="F1504" s="5">
        <f>ROUND(IFERROR(IF(OR($B1504 &lt;=0, $B1504 = ExtraPayment),0,
MAX(-$B1504, -(-PMT(InterestRate/PaymentsPerYear,LoanTerm*PaymentsPerYear,LoanAmount) + $E1504))), 0), 2)</f>
        <v>0</v>
      </c>
      <c r="G1504" s="5">
        <f t="shared" si="94"/>
        <v>0</v>
      </c>
      <c r="H1504" s="5">
        <f t="shared" si="95"/>
        <v>0</v>
      </c>
    </row>
    <row r="1505" spans="1:8" x14ac:dyDescent="0.2">
      <c r="A1505" s="2">
        <v>1504</v>
      </c>
      <c r="B1505" s="5">
        <f t="shared" si="92"/>
        <v>0</v>
      </c>
      <c r="C1505" s="5">
        <f t="shared" si="93"/>
        <v>0</v>
      </c>
      <c r="D1505" s="5">
        <f>IF(ExtraPayment=0, 0, IF(AND($B1505&lt;&gt;0,ExtraPayment&lt;=$B1505),-ExtraPayment,-($F1505)-$B1505))</f>
        <v>0</v>
      </c>
      <c r="E1505" s="5">
        <f>IF($B1505 &lt;= 0, 0, -ROUND($B1505 * (InterestRate / PaymentsPerYear), 2))</f>
        <v>0</v>
      </c>
      <c r="F1505" s="5">
        <f>ROUND(IFERROR(IF(OR($B1505 &lt;=0, $B1505 = ExtraPayment),0,
MAX(-$B1505, -(-PMT(InterestRate/PaymentsPerYear,LoanTerm*PaymentsPerYear,LoanAmount) + $E1505))), 0), 2)</f>
        <v>0</v>
      </c>
      <c r="G1505" s="5">
        <f t="shared" si="94"/>
        <v>0</v>
      </c>
      <c r="H1505" s="5">
        <f t="shared" si="95"/>
        <v>0</v>
      </c>
    </row>
    <row r="1506" spans="1:8" x14ac:dyDescent="0.2">
      <c r="A1506" s="2">
        <v>1505</v>
      </c>
      <c r="B1506" s="5">
        <f t="shared" si="92"/>
        <v>0</v>
      </c>
      <c r="C1506" s="5">
        <f t="shared" si="93"/>
        <v>0</v>
      </c>
      <c r="D1506" s="5">
        <f>IF(ExtraPayment=0, 0, IF(AND($B1506&lt;&gt;0,ExtraPayment&lt;=$B1506),-ExtraPayment,-($F1506)-$B1506))</f>
        <v>0</v>
      </c>
      <c r="E1506" s="5">
        <f>IF($B1506 &lt;= 0, 0, -ROUND($B1506 * (InterestRate / PaymentsPerYear), 2))</f>
        <v>0</v>
      </c>
      <c r="F1506" s="5">
        <f>ROUND(IFERROR(IF(OR($B1506 &lt;=0, $B1506 = ExtraPayment),0,
MAX(-$B1506, -(-PMT(InterestRate/PaymentsPerYear,LoanTerm*PaymentsPerYear,LoanAmount) + $E1506))), 0), 2)</f>
        <v>0</v>
      </c>
      <c r="G1506" s="5">
        <f t="shared" si="94"/>
        <v>0</v>
      </c>
      <c r="H1506" s="5">
        <f t="shared" si="95"/>
        <v>0</v>
      </c>
    </row>
    <row r="1507" spans="1:8" x14ac:dyDescent="0.2">
      <c r="A1507" s="2">
        <v>1506</v>
      </c>
      <c r="B1507" s="5">
        <f t="shared" si="92"/>
        <v>0</v>
      </c>
      <c r="C1507" s="5">
        <f t="shared" si="93"/>
        <v>0</v>
      </c>
      <c r="D1507" s="5">
        <f>IF(ExtraPayment=0, 0, IF(AND($B1507&lt;&gt;0,ExtraPayment&lt;=$B1507),-ExtraPayment,-($F1507)-$B1507))</f>
        <v>0</v>
      </c>
      <c r="E1507" s="5">
        <f>IF($B1507 &lt;= 0, 0, -ROUND($B1507 * (InterestRate / PaymentsPerYear), 2))</f>
        <v>0</v>
      </c>
      <c r="F1507" s="5">
        <f>ROUND(IFERROR(IF(OR($B1507 &lt;=0, $B1507 = ExtraPayment),0,
MAX(-$B1507, -(-PMT(InterestRate/PaymentsPerYear,LoanTerm*PaymentsPerYear,LoanAmount) + $E1507))), 0), 2)</f>
        <v>0</v>
      </c>
      <c r="G1507" s="5">
        <f t="shared" si="94"/>
        <v>0</v>
      </c>
      <c r="H1507" s="5">
        <f t="shared" si="95"/>
        <v>0</v>
      </c>
    </row>
    <row r="1508" spans="1:8" x14ac:dyDescent="0.2">
      <c r="A1508" s="2">
        <v>1507</v>
      </c>
      <c r="B1508" s="5">
        <f t="shared" si="92"/>
        <v>0</v>
      </c>
      <c r="C1508" s="5">
        <f t="shared" si="93"/>
        <v>0</v>
      </c>
      <c r="D1508" s="5">
        <f>IF(ExtraPayment=0, 0, IF(AND($B1508&lt;&gt;0,ExtraPayment&lt;=$B1508),-ExtraPayment,-($F1508)-$B1508))</f>
        <v>0</v>
      </c>
      <c r="E1508" s="5">
        <f>IF($B1508 &lt;= 0, 0, -ROUND($B1508 * (InterestRate / PaymentsPerYear), 2))</f>
        <v>0</v>
      </c>
      <c r="F1508" s="5">
        <f>ROUND(IFERROR(IF(OR($B1508 &lt;=0, $B1508 = ExtraPayment),0,
MAX(-$B1508, -(-PMT(InterestRate/PaymentsPerYear,LoanTerm*PaymentsPerYear,LoanAmount) + $E1508))), 0), 2)</f>
        <v>0</v>
      </c>
      <c r="G1508" s="5">
        <f t="shared" si="94"/>
        <v>0</v>
      </c>
      <c r="H1508" s="5">
        <f t="shared" si="95"/>
        <v>0</v>
      </c>
    </row>
    <row r="1509" spans="1:8" x14ac:dyDescent="0.2">
      <c r="A1509" s="2">
        <v>1508</v>
      </c>
      <c r="B1509" s="5">
        <f t="shared" si="92"/>
        <v>0</v>
      </c>
      <c r="C1509" s="5">
        <f t="shared" si="93"/>
        <v>0</v>
      </c>
      <c r="D1509" s="5">
        <f>IF(ExtraPayment=0, 0, IF(AND($B1509&lt;&gt;0,ExtraPayment&lt;=$B1509),-ExtraPayment,-($F1509)-$B1509))</f>
        <v>0</v>
      </c>
      <c r="E1509" s="5">
        <f>IF($B1509 &lt;= 0, 0, -ROUND($B1509 * (InterestRate / PaymentsPerYear), 2))</f>
        <v>0</v>
      </c>
      <c r="F1509" s="5">
        <f>ROUND(IFERROR(IF(OR($B1509 &lt;=0, $B1509 = ExtraPayment),0,
MAX(-$B1509, -(-PMT(InterestRate/PaymentsPerYear,LoanTerm*PaymentsPerYear,LoanAmount) + $E1509))), 0), 2)</f>
        <v>0</v>
      </c>
      <c r="G1509" s="5">
        <f t="shared" si="94"/>
        <v>0</v>
      </c>
      <c r="H1509" s="5">
        <f t="shared" si="95"/>
        <v>0</v>
      </c>
    </row>
    <row r="1510" spans="1:8" x14ac:dyDescent="0.2">
      <c r="A1510" s="2">
        <v>1509</v>
      </c>
      <c r="B1510" s="5">
        <f t="shared" si="92"/>
        <v>0</v>
      </c>
      <c r="C1510" s="5">
        <f t="shared" si="93"/>
        <v>0</v>
      </c>
      <c r="D1510" s="5">
        <f>IF(ExtraPayment=0, 0, IF(AND($B1510&lt;&gt;0,ExtraPayment&lt;=$B1510),-ExtraPayment,-($F1510)-$B1510))</f>
        <v>0</v>
      </c>
      <c r="E1510" s="5">
        <f>IF($B1510 &lt;= 0, 0, -ROUND($B1510 * (InterestRate / PaymentsPerYear), 2))</f>
        <v>0</v>
      </c>
      <c r="F1510" s="5">
        <f>ROUND(IFERROR(IF(OR($B1510 &lt;=0, $B1510 = ExtraPayment),0,
MAX(-$B1510, -(-PMT(InterestRate/PaymentsPerYear,LoanTerm*PaymentsPerYear,LoanAmount) + $E1510))), 0), 2)</f>
        <v>0</v>
      </c>
      <c r="G1510" s="5">
        <f t="shared" si="94"/>
        <v>0</v>
      </c>
      <c r="H1510" s="5">
        <f t="shared" si="95"/>
        <v>0</v>
      </c>
    </row>
    <row r="1511" spans="1:8" x14ac:dyDescent="0.2">
      <c r="A1511" s="2">
        <v>1510</v>
      </c>
      <c r="B1511" s="5">
        <f t="shared" si="92"/>
        <v>0</v>
      </c>
      <c r="C1511" s="5">
        <f t="shared" si="93"/>
        <v>0</v>
      </c>
      <c r="D1511" s="5">
        <f>IF(ExtraPayment=0, 0, IF(AND($B1511&lt;&gt;0,ExtraPayment&lt;=$B1511),-ExtraPayment,-($F1511)-$B1511))</f>
        <v>0</v>
      </c>
      <c r="E1511" s="5">
        <f>IF($B1511 &lt;= 0, 0, -ROUND($B1511 * (InterestRate / PaymentsPerYear), 2))</f>
        <v>0</v>
      </c>
      <c r="F1511" s="5">
        <f>ROUND(IFERROR(IF(OR($B1511 &lt;=0, $B1511 = ExtraPayment),0,
MAX(-$B1511, -(-PMT(InterestRate/PaymentsPerYear,LoanTerm*PaymentsPerYear,LoanAmount) + $E1511))), 0), 2)</f>
        <v>0</v>
      </c>
      <c r="G1511" s="5">
        <f t="shared" si="94"/>
        <v>0</v>
      </c>
      <c r="H1511" s="5">
        <f t="shared" si="95"/>
        <v>0</v>
      </c>
    </row>
    <row r="1512" spans="1:8" x14ac:dyDescent="0.2">
      <c r="A1512" s="2">
        <v>1511</v>
      </c>
      <c r="B1512" s="5">
        <f t="shared" si="92"/>
        <v>0</v>
      </c>
      <c r="C1512" s="5">
        <f t="shared" si="93"/>
        <v>0</v>
      </c>
      <c r="D1512" s="5">
        <f>IF(ExtraPayment=0, 0, IF(AND($B1512&lt;&gt;0,ExtraPayment&lt;=$B1512),-ExtraPayment,-($F1512)-$B1512))</f>
        <v>0</v>
      </c>
      <c r="E1512" s="5">
        <f>IF($B1512 &lt;= 0, 0, -ROUND($B1512 * (InterestRate / PaymentsPerYear), 2))</f>
        <v>0</v>
      </c>
      <c r="F1512" s="5">
        <f>ROUND(IFERROR(IF(OR($B1512 &lt;=0, $B1512 = ExtraPayment),0,
MAX(-$B1512, -(-PMT(InterestRate/PaymentsPerYear,LoanTerm*PaymentsPerYear,LoanAmount) + $E1512))), 0), 2)</f>
        <v>0</v>
      </c>
      <c r="G1512" s="5">
        <f t="shared" si="94"/>
        <v>0</v>
      </c>
      <c r="H1512" s="5">
        <f t="shared" si="95"/>
        <v>0</v>
      </c>
    </row>
    <row r="1513" spans="1:8" x14ac:dyDescent="0.2">
      <c r="A1513" s="2">
        <v>1512</v>
      </c>
      <c r="B1513" s="5">
        <f t="shared" si="92"/>
        <v>0</v>
      </c>
      <c r="C1513" s="5">
        <f t="shared" si="93"/>
        <v>0</v>
      </c>
      <c r="D1513" s="5">
        <f>IF(ExtraPayment=0, 0, IF(AND($B1513&lt;&gt;0,ExtraPayment&lt;=$B1513),-ExtraPayment,-($F1513)-$B1513))</f>
        <v>0</v>
      </c>
      <c r="E1513" s="5">
        <f>IF($B1513 &lt;= 0, 0, -ROUND($B1513 * (InterestRate / PaymentsPerYear), 2))</f>
        <v>0</v>
      </c>
      <c r="F1513" s="5">
        <f>ROUND(IFERROR(IF(OR($B1513 &lt;=0, $B1513 = ExtraPayment),0,
MAX(-$B1513, -(-PMT(InterestRate/PaymentsPerYear,LoanTerm*PaymentsPerYear,LoanAmount) + $E1513))), 0), 2)</f>
        <v>0</v>
      </c>
      <c r="G1513" s="5">
        <f t="shared" si="94"/>
        <v>0</v>
      </c>
      <c r="H1513" s="5">
        <f t="shared" si="95"/>
        <v>0</v>
      </c>
    </row>
    <row r="1514" spans="1:8" x14ac:dyDescent="0.2">
      <c r="A1514" s="2">
        <v>1513</v>
      </c>
      <c r="B1514" s="5">
        <f t="shared" si="92"/>
        <v>0</v>
      </c>
      <c r="C1514" s="5">
        <f t="shared" si="93"/>
        <v>0</v>
      </c>
      <c r="D1514" s="5">
        <f>IF(ExtraPayment=0, 0, IF(AND($B1514&lt;&gt;0,ExtraPayment&lt;=$B1514),-ExtraPayment,-($F1514)-$B1514))</f>
        <v>0</v>
      </c>
      <c r="E1514" s="5">
        <f>IF($B1514 &lt;= 0, 0, -ROUND($B1514 * (InterestRate / PaymentsPerYear), 2))</f>
        <v>0</v>
      </c>
      <c r="F1514" s="5">
        <f>ROUND(IFERROR(IF(OR($B1514 &lt;=0, $B1514 = ExtraPayment),0,
MAX(-$B1514, -(-PMT(InterestRate/PaymentsPerYear,LoanTerm*PaymentsPerYear,LoanAmount) + $E1514))), 0), 2)</f>
        <v>0</v>
      </c>
      <c r="G1514" s="5">
        <f t="shared" si="94"/>
        <v>0</v>
      </c>
      <c r="H1514" s="5">
        <f t="shared" si="95"/>
        <v>0</v>
      </c>
    </row>
    <row r="1515" spans="1:8" x14ac:dyDescent="0.2">
      <c r="A1515" s="2">
        <v>1514</v>
      </c>
      <c r="B1515" s="5">
        <f t="shared" si="92"/>
        <v>0</v>
      </c>
      <c r="C1515" s="5">
        <f t="shared" si="93"/>
        <v>0</v>
      </c>
      <c r="D1515" s="5">
        <f>IF(ExtraPayment=0, 0, IF(AND($B1515&lt;&gt;0,ExtraPayment&lt;=$B1515),-ExtraPayment,-($F1515)-$B1515))</f>
        <v>0</v>
      </c>
      <c r="E1515" s="5">
        <f>IF($B1515 &lt;= 0, 0, -ROUND($B1515 * (InterestRate / PaymentsPerYear), 2))</f>
        <v>0</v>
      </c>
      <c r="F1515" s="5">
        <f>ROUND(IFERROR(IF(OR($B1515 &lt;=0, $B1515 = ExtraPayment),0,
MAX(-$B1515, -(-PMT(InterestRate/PaymentsPerYear,LoanTerm*PaymentsPerYear,LoanAmount) + $E1515))), 0), 2)</f>
        <v>0</v>
      </c>
      <c r="G1515" s="5">
        <f t="shared" si="94"/>
        <v>0</v>
      </c>
      <c r="H1515" s="5">
        <f t="shared" si="95"/>
        <v>0</v>
      </c>
    </row>
    <row r="1516" spans="1:8" x14ac:dyDescent="0.2">
      <c r="A1516" s="2">
        <v>1515</v>
      </c>
      <c r="B1516" s="5">
        <f t="shared" si="92"/>
        <v>0</v>
      </c>
      <c r="C1516" s="5">
        <f t="shared" si="93"/>
        <v>0</v>
      </c>
      <c r="D1516" s="5">
        <f>IF(ExtraPayment=0, 0, IF(AND($B1516&lt;&gt;0,ExtraPayment&lt;=$B1516),-ExtraPayment,-($F1516)-$B1516))</f>
        <v>0</v>
      </c>
      <c r="E1516" s="5">
        <f>IF($B1516 &lt;= 0, 0, -ROUND($B1516 * (InterestRate / PaymentsPerYear), 2))</f>
        <v>0</v>
      </c>
      <c r="F1516" s="5">
        <f>ROUND(IFERROR(IF(OR($B1516 &lt;=0, $B1516 = ExtraPayment),0,
MAX(-$B1516, -(-PMT(InterestRate/PaymentsPerYear,LoanTerm*PaymentsPerYear,LoanAmount) + $E1516))), 0), 2)</f>
        <v>0</v>
      </c>
      <c r="G1516" s="5">
        <f t="shared" si="94"/>
        <v>0</v>
      </c>
      <c r="H1516" s="5">
        <f t="shared" si="95"/>
        <v>0</v>
      </c>
    </row>
    <row r="1517" spans="1:8" x14ac:dyDescent="0.2">
      <c r="A1517" s="2">
        <v>1516</v>
      </c>
      <c r="B1517" s="5">
        <f t="shared" si="92"/>
        <v>0</v>
      </c>
      <c r="C1517" s="5">
        <f t="shared" si="93"/>
        <v>0</v>
      </c>
      <c r="D1517" s="5">
        <f>IF(ExtraPayment=0, 0, IF(AND($B1517&lt;&gt;0,ExtraPayment&lt;=$B1517),-ExtraPayment,-($F1517)-$B1517))</f>
        <v>0</v>
      </c>
      <c r="E1517" s="5">
        <f>IF($B1517 &lt;= 0, 0, -ROUND($B1517 * (InterestRate / PaymentsPerYear), 2))</f>
        <v>0</v>
      </c>
      <c r="F1517" s="5">
        <f>ROUND(IFERROR(IF(OR($B1517 &lt;=0, $B1517 = ExtraPayment),0,
MAX(-$B1517, -(-PMT(InterestRate/PaymentsPerYear,LoanTerm*PaymentsPerYear,LoanAmount) + $E1517))), 0), 2)</f>
        <v>0</v>
      </c>
      <c r="G1517" s="5">
        <f t="shared" si="94"/>
        <v>0</v>
      </c>
      <c r="H1517" s="5">
        <f t="shared" si="95"/>
        <v>0</v>
      </c>
    </row>
    <row r="1518" spans="1:8" x14ac:dyDescent="0.2">
      <c r="A1518" s="2">
        <v>1517</v>
      </c>
      <c r="B1518" s="5">
        <f t="shared" si="92"/>
        <v>0</v>
      </c>
      <c r="C1518" s="5">
        <f t="shared" si="93"/>
        <v>0</v>
      </c>
      <c r="D1518" s="5">
        <f>IF(ExtraPayment=0, 0, IF(AND($B1518&lt;&gt;0,ExtraPayment&lt;=$B1518),-ExtraPayment,-($F1518)-$B1518))</f>
        <v>0</v>
      </c>
      <c r="E1518" s="5">
        <f>IF($B1518 &lt;= 0, 0, -ROUND($B1518 * (InterestRate / PaymentsPerYear), 2))</f>
        <v>0</v>
      </c>
      <c r="F1518" s="5">
        <f>ROUND(IFERROR(IF(OR($B1518 &lt;=0, $B1518 = ExtraPayment),0,
MAX(-$B1518, -(-PMT(InterestRate/PaymentsPerYear,LoanTerm*PaymentsPerYear,LoanAmount) + $E1518))), 0), 2)</f>
        <v>0</v>
      </c>
      <c r="G1518" s="5">
        <f t="shared" si="94"/>
        <v>0</v>
      </c>
      <c r="H1518" s="5">
        <f t="shared" si="95"/>
        <v>0</v>
      </c>
    </row>
    <row r="1519" spans="1:8" x14ac:dyDescent="0.2">
      <c r="A1519" s="2">
        <v>1518</v>
      </c>
      <c r="B1519" s="5">
        <f t="shared" si="92"/>
        <v>0</v>
      </c>
      <c r="C1519" s="5">
        <f t="shared" si="93"/>
        <v>0</v>
      </c>
      <c r="D1519" s="5">
        <f>IF(ExtraPayment=0, 0, IF(AND($B1519&lt;&gt;0,ExtraPayment&lt;=$B1519),-ExtraPayment,-($F1519)-$B1519))</f>
        <v>0</v>
      </c>
      <c r="E1519" s="5">
        <f>IF($B1519 &lt;= 0, 0, -ROUND($B1519 * (InterestRate / PaymentsPerYear), 2))</f>
        <v>0</v>
      </c>
      <c r="F1519" s="5">
        <f>ROUND(IFERROR(IF(OR($B1519 &lt;=0, $B1519 = ExtraPayment),0,
MAX(-$B1519, -(-PMT(InterestRate/PaymentsPerYear,LoanTerm*PaymentsPerYear,LoanAmount) + $E1519))), 0), 2)</f>
        <v>0</v>
      </c>
      <c r="G1519" s="5">
        <f t="shared" si="94"/>
        <v>0</v>
      </c>
      <c r="H1519" s="5">
        <f t="shared" si="95"/>
        <v>0</v>
      </c>
    </row>
    <row r="1520" spans="1:8" x14ac:dyDescent="0.2">
      <c r="A1520" s="2">
        <v>1519</v>
      </c>
      <c r="B1520" s="5">
        <f t="shared" si="92"/>
        <v>0</v>
      </c>
      <c r="C1520" s="5">
        <f t="shared" si="93"/>
        <v>0</v>
      </c>
      <c r="D1520" s="5">
        <f>IF(ExtraPayment=0, 0, IF(AND($B1520&lt;&gt;0,ExtraPayment&lt;=$B1520),-ExtraPayment,-($F1520)-$B1520))</f>
        <v>0</v>
      </c>
      <c r="E1520" s="5">
        <f>IF($B1520 &lt;= 0, 0, -ROUND($B1520 * (InterestRate / PaymentsPerYear), 2))</f>
        <v>0</v>
      </c>
      <c r="F1520" s="5">
        <f>ROUND(IFERROR(IF(OR($B1520 &lt;=0, $B1520 = ExtraPayment),0,
MAX(-$B1520, -(-PMT(InterestRate/PaymentsPerYear,LoanTerm*PaymentsPerYear,LoanAmount) + $E1520))), 0), 2)</f>
        <v>0</v>
      </c>
      <c r="G1520" s="5">
        <f t="shared" si="94"/>
        <v>0</v>
      </c>
      <c r="H1520" s="5">
        <f t="shared" si="95"/>
        <v>0</v>
      </c>
    </row>
    <row r="1521" spans="1:8" x14ac:dyDescent="0.2">
      <c r="A1521" s="2">
        <v>1520</v>
      </c>
      <c r="B1521" s="5">
        <f t="shared" si="92"/>
        <v>0</v>
      </c>
      <c r="C1521" s="5">
        <f t="shared" si="93"/>
        <v>0</v>
      </c>
      <c r="D1521" s="5">
        <f>IF(ExtraPayment=0, 0, IF(AND($B1521&lt;&gt;0,ExtraPayment&lt;=$B1521),-ExtraPayment,-($F1521)-$B1521))</f>
        <v>0</v>
      </c>
      <c r="E1521" s="5">
        <f>IF($B1521 &lt;= 0, 0, -ROUND($B1521 * (InterestRate / PaymentsPerYear), 2))</f>
        <v>0</v>
      </c>
      <c r="F1521" s="5">
        <f>ROUND(IFERROR(IF(OR($B1521 &lt;=0, $B1521 = ExtraPayment),0,
MAX(-$B1521, -(-PMT(InterestRate/PaymentsPerYear,LoanTerm*PaymentsPerYear,LoanAmount) + $E1521))), 0), 2)</f>
        <v>0</v>
      </c>
      <c r="G1521" s="5">
        <f t="shared" si="94"/>
        <v>0</v>
      </c>
      <c r="H1521" s="5">
        <f t="shared" si="95"/>
        <v>0</v>
      </c>
    </row>
    <row r="1522" spans="1:8" x14ac:dyDescent="0.2">
      <c r="A1522" s="2">
        <v>1521</v>
      </c>
      <c r="B1522" s="5">
        <f t="shared" si="92"/>
        <v>0</v>
      </c>
      <c r="C1522" s="5">
        <f t="shared" si="93"/>
        <v>0</v>
      </c>
      <c r="D1522" s="5">
        <f>IF(ExtraPayment=0, 0, IF(AND($B1522&lt;&gt;0,ExtraPayment&lt;=$B1522),-ExtraPayment,-($F1522)-$B1522))</f>
        <v>0</v>
      </c>
      <c r="E1522" s="5">
        <f>IF($B1522 &lt;= 0, 0, -ROUND($B1522 * (InterestRate / PaymentsPerYear), 2))</f>
        <v>0</v>
      </c>
      <c r="F1522" s="5">
        <f>ROUND(IFERROR(IF(OR($B1522 &lt;=0, $B1522 = ExtraPayment),0,
MAX(-$B1522, -(-PMT(InterestRate/PaymentsPerYear,LoanTerm*PaymentsPerYear,LoanAmount) + $E1522))), 0), 2)</f>
        <v>0</v>
      </c>
      <c r="G1522" s="5">
        <f t="shared" si="94"/>
        <v>0</v>
      </c>
      <c r="H1522" s="5">
        <f t="shared" si="95"/>
        <v>0</v>
      </c>
    </row>
    <row r="1523" spans="1:8" x14ac:dyDescent="0.2">
      <c r="A1523" s="2">
        <v>1522</v>
      </c>
      <c r="B1523" s="5">
        <f t="shared" si="92"/>
        <v>0</v>
      </c>
      <c r="C1523" s="5">
        <f t="shared" si="93"/>
        <v>0</v>
      </c>
      <c r="D1523" s="5">
        <f>IF(ExtraPayment=0, 0, IF(AND($B1523&lt;&gt;0,ExtraPayment&lt;=$B1523),-ExtraPayment,-($F1523)-$B1523))</f>
        <v>0</v>
      </c>
      <c r="E1523" s="5">
        <f>IF($B1523 &lt;= 0, 0, -ROUND($B1523 * (InterestRate / PaymentsPerYear), 2))</f>
        <v>0</v>
      </c>
      <c r="F1523" s="5">
        <f>ROUND(IFERROR(IF(OR($B1523 &lt;=0, $B1523 = ExtraPayment),0,
MAX(-$B1523, -(-PMT(InterestRate/PaymentsPerYear,LoanTerm*PaymentsPerYear,LoanAmount) + $E1523))), 0), 2)</f>
        <v>0</v>
      </c>
      <c r="G1523" s="5">
        <f t="shared" si="94"/>
        <v>0</v>
      </c>
      <c r="H1523" s="5">
        <f t="shared" si="95"/>
        <v>0</v>
      </c>
    </row>
    <row r="1524" spans="1:8" x14ac:dyDescent="0.2">
      <c r="A1524" s="2">
        <v>1523</v>
      </c>
      <c r="B1524" s="5">
        <f t="shared" si="92"/>
        <v>0</v>
      </c>
      <c r="C1524" s="5">
        <f t="shared" si="93"/>
        <v>0</v>
      </c>
      <c r="D1524" s="5">
        <f>IF(ExtraPayment=0, 0, IF(AND($B1524&lt;&gt;0,ExtraPayment&lt;=$B1524),-ExtraPayment,-($F1524)-$B1524))</f>
        <v>0</v>
      </c>
      <c r="E1524" s="5">
        <f>IF($B1524 &lt;= 0, 0, -ROUND($B1524 * (InterestRate / PaymentsPerYear), 2))</f>
        <v>0</v>
      </c>
      <c r="F1524" s="5">
        <f>ROUND(IFERROR(IF(OR($B1524 &lt;=0, $B1524 = ExtraPayment),0,
MAX(-$B1524, -(-PMT(InterestRate/PaymentsPerYear,LoanTerm*PaymentsPerYear,LoanAmount) + $E1524))), 0), 2)</f>
        <v>0</v>
      </c>
      <c r="G1524" s="5">
        <f t="shared" si="94"/>
        <v>0</v>
      </c>
      <c r="H1524" s="5">
        <f t="shared" si="95"/>
        <v>0</v>
      </c>
    </row>
    <row r="1525" spans="1:8" x14ac:dyDescent="0.2">
      <c r="A1525" s="2">
        <v>1524</v>
      </c>
      <c r="B1525" s="5">
        <f t="shared" si="92"/>
        <v>0</v>
      </c>
      <c r="C1525" s="5">
        <f t="shared" si="93"/>
        <v>0</v>
      </c>
      <c r="D1525" s="5">
        <f>IF(ExtraPayment=0, 0, IF(AND($B1525&lt;&gt;0,ExtraPayment&lt;=$B1525),-ExtraPayment,-($F1525)-$B1525))</f>
        <v>0</v>
      </c>
      <c r="E1525" s="5">
        <f>IF($B1525 &lt;= 0, 0, -ROUND($B1525 * (InterestRate / PaymentsPerYear), 2))</f>
        <v>0</v>
      </c>
      <c r="F1525" s="5">
        <f>ROUND(IFERROR(IF(OR($B1525 &lt;=0, $B1525 = ExtraPayment),0,
MAX(-$B1525, -(-PMT(InterestRate/PaymentsPerYear,LoanTerm*PaymentsPerYear,LoanAmount) + $E1525))), 0), 2)</f>
        <v>0</v>
      </c>
      <c r="G1525" s="5">
        <f t="shared" si="94"/>
        <v>0</v>
      </c>
      <c r="H1525" s="5">
        <f t="shared" si="95"/>
        <v>0</v>
      </c>
    </row>
    <row r="1526" spans="1:8" x14ac:dyDescent="0.2">
      <c r="A1526" s="2">
        <v>1525</v>
      </c>
      <c r="B1526" s="5">
        <f t="shared" si="92"/>
        <v>0</v>
      </c>
      <c r="C1526" s="5">
        <f t="shared" si="93"/>
        <v>0</v>
      </c>
      <c r="D1526" s="5">
        <f>IF(ExtraPayment=0, 0, IF(AND($B1526&lt;&gt;0,ExtraPayment&lt;=$B1526),-ExtraPayment,-($F1526)-$B1526))</f>
        <v>0</v>
      </c>
      <c r="E1526" s="5">
        <f>IF($B1526 &lt;= 0, 0, -ROUND($B1526 * (InterestRate / PaymentsPerYear), 2))</f>
        <v>0</v>
      </c>
      <c r="F1526" s="5">
        <f>ROUND(IFERROR(IF(OR($B1526 &lt;=0, $B1526 = ExtraPayment),0,
MAX(-$B1526, -(-PMT(InterestRate/PaymentsPerYear,LoanTerm*PaymentsPerYear,LoanAmount) + $E1526))), 0), 2)</f>
        <v>0</v>
      </c>
      <c r="G1526" s="5">
        <f t="shared" si="94"/>
        <v>0</v>
      </c>
      <c r="H1526" s="5">
        <f t="shared" si="95"/>
        <v>0</v>
      </c>
    </row>
    <row r="1527" spans="1:8" x14ac:dyDescent="0.2">
      <c r="A1527" s="2">
        <v>1526</v>
      </c>
      <c r="B1527" s="5">
        <f t="shared" si="92"/>
        <v>0</v>
      </c>
      <c r="C1527" s="5">
        <f t="shared" si="93"/>
        <v>0</v>
      </c>
      <c r="D1527" s="5">
        <f>IF(ExtraPayment=0, 0, IF(AND($B1527&lt;&gt;0,ExtraPayment&lt;=$B1527),-ExtraPayment,-($F1527)-$B1527))</f>
        <v>0</v>
      </c>
      <c r="E1527" s="5">
        <f>IF($B1527 &lt;= 0, 0, -ROUND($B1527 * (InterestRate / PaymentsPerYear), 2))</f>
        <v>0</v>
      </c>
      <c r="F1527" s="5">
        <f>ROUND(IFERROR(IF(OR($B1527 &lt;=0, $B1527 = ExtraPayment),0,
MAX(-$B1527, -(-PMT(InterestRate/PaymentsPerYear,LoanTerm*PaymentsPerYear,LoanAmount) + $E1527))), 0), 2)</f>
        <v>0</v>
      </c>
      <c r="G1527" s="5">
        <f t="shared" si="94"/>
        <v>0</v>
      </c>
      <c r="H1527" s="5">
        <f t="shared" si="95"/>
        <v>0</v>
      </c>
    </row>
    <row r="1528" spans="1:8" x14ac:dyDescent="0.2">
      <c r="A1528" s="2">
        <v>1527</v>
      </c>
      <c r="B1528" s="5">
        <f t="shared" si="92"/>
        <v>0</v>
      </c>
      <c r="C1528" s="5">
        <f t="shared" si="93"/>
        <v>0</v>
      </c>
      <c r="D1528" s="5">
        <f>IF(ExtraPayment=0, 0, IF(AND($B1528&lt;&gt;0,ExtraPayment&lt;=$B1528),-ExtraPayment,-($F1528)-$B1528))</f>
        <v>0</v>
      </c>
      <c r="E1528" s="5">
        <f>IF($B1528 &lt;= 0, 0, -ROUND($B1528 * (InterestRate / PaymentsPerYear), 2))</f>
        <v>0</v>
      </c>
      <c r="F1528" s="5">
        <f>ROUND(IFERROR(IF(OR($B1528 &lt;=0, $B1528 = ExtraPayment),0,
MAX(-$B1528, -(-PMT(InterestRate/PaymentsPerYear,LoanTerm*PaymentsPerYear,LoanAmount) + $E1528))), 0), 2)</f>
        <v>0</v>
      </c>
      <c r="G1528" s="5">
        <f t="shared" si="94"/>
        <v>0</v>
      </c>
      <c r="H1528" s="5">
        <f t="shared" si="95"/>
        <v>0</v>
      </c>
    </row>
    <row r="1529" spans="1:8" x14ac:dyDescent="0.2">
      <c r="A1529" s="2">
        <v>1528</v>
      </c>
      <c r="B1529" s="5">
        <f t="shared" si="92"/>
        <v>0</v>
      </c>
      <c r="C1529" s="5">
        <f t="shared" si="93"/>
        <v>0</v>
      </c>
      <c r="D1529" s="5">
        <f>IF(ExtraPayment=0, 0, IF(AND($B1529&lt;&gt;0,ExtraPayment&lt;=$B1529),-ExtraPayment,-($F1529)-$B1529))</f>
        <v>0</v>
      </c>
      <c r="E1529" s="5">
        <f>IF($B1529 &lt;= 0, 0, -ROUND($B1529 * (InterestRate / PaymentsPerYear), 2))</f>
        <v>0</v>
      </c>
      <c r="F1529" s="5">
        <f>ROUND(IFERROR(IF(OR($B1529 &lt;=0, $B1529 = ExtraPayment),0,
MAX(-$B1529, -(-PMT(InterestRate/PaymentsPerYear,LoanTerm*PaymentsPerYear,LoanAmount) + $E1529))), 0), 2)</f>
        <v>0</v>
      </c>
      <c r="G1529" s="5">
        <f t="shared" si="94"/>
        <v>0</v>
      </c>
      <c r="H1529" s="5">
        <f t="shared" si="95"/>
        <v>0</v>
      </c>
    </row>
    <row r="1530" spans="1:8" x14ac:dyDescent="0.2">
      <c r="A1530" s="2">
        <v>1529</v>
      </c>
      <c r="B1530" s="5">
        <f t="shared" si="92"/>
        <v>0</v>
      </c>
      <c r="C1530" s="5">
        <f t="shared" si="93"/>
        <v>0</v>
      </c>
      <c r="D1530" s="5">
        <f>IF(ExtraPayment=0, 0, IF(AND($B1530&lt;&gt;0,ExtraPayment&lt;=$B1530),-ExtraPayment,-($F1530)-$B1530))</f>
        <v>0</v>
      </c>
      <c r="E1530" s="5">
        <f>IF($B1530 &lt;= 0, 0, -ROUND($B1530 * (InterestRate / PaymentsPerYear), 2))</f>
        <v>0</v>
      </c>
      <c r="F1530" s="5">
        <f>ROUND(IFERROR(IF(OR($B1530 &lt;=0, $B1530 = ExtraPayment),0,
MAX(-$B1530, -(-PMT(InterestRate/PaymentsPerYear,LoanTerm*PaymentsPerYear,LoanAmount) + $E1530))), 0), 2)</f>
        <v>0</v>
      </c>
      <c r="G1530" s="5">
        <f t="shared" si="94"/>
        <v>0</v>
      </c>
      <c r="H1530" s="5">
        <f t="shared" si="95"/>
        <v>0</v>
      </c>
    </row>
    <row r="1531" spans="1:8" x14ac:dyDescent="0.2">
      <c r="A1531" s="2">
        <v>1530</v>
      </c>
      <c r="B1531" s="5">
        <f t="shared" si="92"/>
        <v>0</v>
      </c>
      <c r="C1531" s="5">
        <f t="shared" si="93"/>
        <v>0</v>
      </c>
      <c r="D1531" s="5">
        <f>IF(ExtraPayment=0, 0, IF(AND($B1531&lt;&gt;0,ExtraPayment&lt;=$B1531),-ExtraPayment,-($F1531)-$B1531))</f>
        <v>0</v>
      </c>
      <c r="E1531" s="5">
        <f>IF($B1531 &lt;= 0, 0, -ROUND($B1531 * (InterestRate / PaymentsPerYear), 2))</f>
        <v>0</v>
      </c>
      <c r="F1531" s="5">
        <f>ROUND(IFERROR(IF(OR($B1531 &lt;=0, $B1531 = ExtraPayment),0,
MAX(-$B1531, -(-PMT(InterestRate/PaymentsPerYear,LoanTerm*PaymentsPerYear,LoanAmount) + $E1531))), 0), 2)</f>
        <v>0</v>
      </c>
      <c r="G1531" s="5">
        <f t="shared" si="94"/>
        <v>0</v>
      </c>
      <c r="H1531" s="5">
        <f t="shared" si="95"/>
        <v>0</v>
      </c>
    </row>
    <row r="1532" spans="1:8" x14ac:dyDescent="0.2">
      <c r="A1532" s="2">
        <v>1531</v>
      </c>
      <c r="B1532" s="5">
        <f t="shared" si="92"/>
        <v>0</v>
      </c>
      <c r="C1532" s="5">
        <f t="shared" si="93"/>
        <v>0</v>
      </c>
      <c r="D1532" s="5">
        <f>IF(ExtraPayment=0, 0, IF(AND($B1532&lt;&gt;0,ExtraPayment&lt;=$B1532),-ExtraPayment,-($F1532)-$B1532))</f>
        <v>0</v>
      </c>
      <c r="E1532" s="5">
        <f>IF($B1532 &lt;= 0, 0, -ROUND($B1532 * (InterestRate / PaymentsPerYear), 2))</f>
        <v>0</v>
      </c>
      <c r="F1532" s="5">
        <f>ROUND(IFERROR(IF(OR($B1532 &lt;=0, $B1532 = ExtraPayment),0,
MAX(-$B1532, -(-PMT(InterestRate/PaymentsPerYear,LoanTerm*PaymentsPerYear,LoanAmount) + $E1532))), 0), 2)</f>
        <v>0</v>
      </c>
      <c r="G1532" s="5">
        <f t="shared" si="94"/>
        <v>0</v>
      </c>
      <c r="H1532" s="5">
        <f t="shared" si="95"/>
        <v>0</v>
      </c>
    </row>
    <row r="1533" spans="1:8" x14ac:dyDescent="0.2">
      <c r="A1533" s="2">
        <v>1532</v>
      </c>
      <c r="B1533" s="5">
        <f t="shared" si="92"/>
        <v>0</v>
      </c>
      <c r="C1533" s="5">
        <f t="shared" si="93"/>
        <v>0</v>
      </c>
      <c r="D1533" s="5">
        <f>IF(ExtraPayment=0, 0, IF(AND($B1533&lt;&gt;0,ExtraPayment&lt;=$B1533),-ExtraPayment,-($F1533)-$B1533))</f>
        <v>0</v>
      </c>
      <c r="E1533" s="5">
        <f>IF($B1533 &lt;= 0, 0, -ROUND($B1533 * (InterestRate / PaymentsPerYear), 2))</f>
        <v>0</v>
      </c>
      <c r="F1533" s="5">
        <f>ROUND(IFERROR(IF(OR($B1533 &lt;=0, $B1533 = ExtraPayment),0,
MAX(-$B1533, -(-PMT(InterestRate/PaymentsPerYear,LoanTerm*PaymentsPerYear,LoanAmount) + $E1533))), 0), 2)</f>
        <v>0</v>
      </c>
      <c r="G1533" s="5">
        <f t="shared" si="94"/>
        <v>0</v>
      </c>
      <c r="H1533" s="5">
        <f t="shared" si="95"/>
        <v>0</v>
      </c>
    </row>
    <row r="1534" spans="1:8" x14ac:dyDescent="0.2">
      <c r="A1534" s="2">
        <v>1533</v>
      </c>
      <c r="B1534" s="5">
        <f t="shared" si="92"/>
        <v>0</v>
      </c>
      <c r="C1534" s="5">
        <f t="shared" si="93"/>
        <v>0</v>
      </c>
      <c r="D1534" s="5">
        <f>IF(ExtraPayment=0, 0, IF(AND($B1534&lt;&gt;0,ExtraPayment&lt;=$B1534),-ExtraPayment,-($F1534)-$B1534))</f>
        <v>0</v>
      </c>
      <c r="E1534" s="5">
        <f>IF($B1534 &lt;= 0, 0, -ROUND($B1534 * (InterestRate / PaymentsPerYear), 2))</f>
        <v>0</v>
      </c>
      <c r="F1534" s="5">
        <f>ROUND(IFERROR(IF(OR($B1534 &lt;=0, $B1534 = ExtraPayment),0,
MAX(-$B1534, -(-PMT(InterestRate/PaymentsPerYear,LoanTerm*PaymentsPerYear,LoanAmount) + $E1534))), 0), 2)</f>
        <v>0</v>
      </c>
      <c r="G1534" s="5">
        <f t="shared" si="94"/>
        <v>0</v>
      </c>
      <c r="H1534" s="5">
        <f t="shared" si="95"/>
        <v>0</v>
      </c>
    </row>
    <row r="1535" spans="1:8" x14ac:dyDescent="0.2">
      <c r="A1535" s="2">
        <v>1534</v>
      </c>
      <c r="B1535" s="5">
        <f t="shared" si="92"/>
        <v>0</v>
      </c>
      <c r="C1535" s="5">
        <f t="shared" si="93"/>
        <v>0</v>
      </c>
      <c r="D1535" s="5">
        <f>IF(ExtraPayment=0, 0, IF(AND($B1535&lt;&gt;0,ExtraPayment&lt;=$B1535),-ExtraPayment,-($F1535)-$B1535))</f>
        <v>0</v>
      </c>
      <c r="E1535" s="5">
        <f>IF($B1535 &lt;= 0, 0, -ROUND($B1535 * (InterestRate / PaymentsPerYear), 2))</f>
        <v>0</v>
      </c>
      <c r="F1535" s="5">
        <f>ROUND(IFERROR(IF(OR($B1535 &lt;=0, $B1535 = ExtraPayment),0,
MAX(-$B1535, -(-PMT(InterestRate/PaymentsPerYear,LoanTerm*PaymentsPerYear,LoanAmount) + $E1535))), 0), 2)</f>
        <v>0</v>
      </c>
      <c r="G1535" s="5">
        <f t="shared" si="94"/>
        <v>0</v>
      </c>
      <c r="H1535" s="5">
        <f t="shared" si="95"/>
        <v>0</v>
      </c>
    </row>
    <row r="1536" spans="1:8" x14ac:dyDescent="0.2">
      <c r="A1536" s="2">
        <v>1535</v>
      </c>
      <c r="B1536" s="5">
        <f t="shared" si="92"/>
        <v>0</v>
      </c>
      <c r="C1536" s="5">
        <f t="shared" si="93"/>
        <v>0</v>
      </c>
      <c r="D1536" s="5">
        <f>IF(ExtraPayment=0, 0, IF(AND($B1536&lt;&gt;0,ExtraPayment&lt;=$B1536),-ExtraPayment,-($F1536)-$B1536))</f>
        <v>0</v>
      </c>
      <c r="E1536" s="5">
        <f>IF($B1536 &lt;= 0, 0, -ROUND($B1536 * (InterestRate / PaymentsPerYear), 2))</f>
        <v>0</v>
      </c>
      <c r="F1536" s="5">
        <f>ROUND(IFERROR(IF(OR($B1536 &lt;=0, $B1536 = ExtraPayment),0,
MAX(-$B1536, -(-PMT(InterestRate/PaymentsPerYear,LoanTerm*PaymentsPerYear,LoanAmount) + $E1536))), 0), 2)</f>
        <v>0</v>
      </c>
      <c r="G1536" s="5">
        <f t="shared" si="94"/>
        <v>0</v>
      </c>
      <c r="H1536" s="5">
        <f t="shared" si="95"/>
        <v>0</v>
      </c>
    </row>
    <row r="1537" spans="1:8" x14ac:dyDescent="0.2">
      <c r="A1537" s="2">
        <v>1536</v>
      </c>
      <c r="B1537" s="5">
        <f t="shared" si="92"/>
        <v>0</v>
      </c>
      <c r="C1537" s="5">
        <f t="shared" si="93"/>
        <v>0</v>
      </c>
      <c r="D1537" s="5">
        <f>IF(ExtraPayment=0, 0, IF(AND($B1537&lt;&gt;0,ExtraPayment&lt;=$B1537),-ExtraPayment,-($F1537)-$B1537))</f>
        <v>0</v>
      </c>
      <c r="E1537" s="5">
        <f>IF($B1537 &lt;= 0, 0, -ROUND($B1537 * (InterestRate / PaymentsPerYear), 2))</f>
        <v>0</v>
      </c>
      <c r="F1537" s="5">
        <f>ROUND(IFERROR(IF(OR($B1537 &lt;=0, $B1537 = ExtraPayment),0,
MAX(-$B1537, -(-PMT(InterestRate/PaymentsPerYear,LoanTerm*PaymentsPerYear,LoanAmount) + $E1537))), 0), 2)</f>
        <v>0</v>
      </c>
      <c r="G1537" s="5">
        <f t="shared" si="94"/>
        <v>0</v>
      </c>
      <c r="H1537" s="5">
        <f t="shared" si="95"/>
        <v>0</v>
      </c>
    </row>
    <row r="1538" spans="1:8" x14ac:dyDescent="0.2">
      <c r="A1538" s="2">
        <v>1537</v>
      </c>
      <c r="B1538" s="5">
        <f t="shared" si="92"/>
        <v>0</v>
      </c>
      <c r="C1538" s="5">
        <f t="shared" si="93"/>
        <v>0</v>
      </c>
      <c r="D1538" s="5">
        <f>IF(ExtraPayment=0, 0, IF(AND($B1538&lt;&gt;0,ExtraPayment&lt;=$B1538),-ExtraPayment,-($F1538)-$B1538))</f>
        <v>0</v>
      </c>
      <c r="E1538" s="5">
        <f>IF($B1538 &lt;= 0, 0, -ROUND($B1538 * (InterestRate / PaymentsPerYear), 2))</f>
        <v>0</v>
      </c>
      <c r="F1538" s="5">
        <f>ROUND(IFERROR(IF(OR($B1538 &lt;=0, $B1538 = ExtraPayment),0,
MAX(-$B1538, -(-PMT(InterestRate/PaymentsPerYear,LoanTerm*PaymentsPerYear,LoanAmount) + $E1538))), 0), 2)</f>
        <v>0</v>
      </c>
      <c r="G1538" s="5">
        <f t="shared" si="94"/>
        <v>0</v>
      </c>
      <c r="H1538" s="5">
        <f t="shared" si="95"/>
        <v>0</v>
      </c>
    </row>
    <row r="1539" spans="1:8" x14ac:dyDescent="0.2">
      <c r="A1539" s="2">
        <v>1538</v>
      </c>
      <c r="B1539" s="5">
        <f t="shared" si="92"/>
        <v>0</v>
      </c>
      <c r="C1539" s="5">
        <f t="shared" si="93"/>
        <v>0</v>
      </c>
      <c r="D1539" s="5">
        <f>IF(ExtraPayment=0, 0, IF(AND($B1539&lt;&gt;0,ExtraPayment&lt;=$B1539),-ExtraPayment,-($F1539)-$B1539))</f>
        <v>0</v>
      </c>
      <c r="E1539" s="5">
        <f>IF($B1539 &lt;= 0, 0, -ROUND($B1539 * (InterestRate / PaymentsPerYear), 2))</f>
        <v>0</v>
      </c>
      <c r="F1539" s="5">
        <f>ROUND(IFERROR(IF(OR($B1539 &lt;=0, $B1539 = ExtraPayment),0,
MAX(-$B1539, -(-PMT(InterestRate/PaymentsPerYear,LoanTerm*PaymentsPerYear,LoanAmount) + $E1539))), 0), 2)</f>
        <v>0</v>
      </c>
      <c r="G1539" s="5">
        <f t="shared" si="94"/>
        <v>0</v>
      </c>
      <c r="H1539" s="5">
        <f t="shared" si="95"/>
        <v>0</v>
      </c>
    </row>
    <row r="1540" spans="1:8" x14ac:dyDescent="0.2">
      <c r="A1540" s="2">
        <v>1539</v>
      </c>
      <c r="B1540" s="5">
        <f t="shared" ref="B1540:B1561" si="96">ROUND(IF($H1539 &gt;= 0, MAX($H1539, $F1539), 0), 2)</f>
        <v>0</v>
      </c>
      <c r="C1540" s="5">
        <f t="shared" ref="C1540:C1561" si="97">IF($B1540 &lt;= 0, 0, $D1540+$E1540+$F1540)</f>
        <v>0</v>
      </c>
      <c r="D1540" s="5">
        <f>IF(ExtraPayment=0, 0, IF(AND($B1540&lt;&gt;0,ExtraPayment&lt;=$B1540),-ExtraPayment,-($F1540)-$B1540))</f>
        <v>0</v>
      </c>
      <c r="E1540" s="5">
        <f>IF($B1540 &lt;= 0, 0, -ROUND($B1540 * (InterestRate / PaymentsPerYear), 2))</f>
        <v>0</v>
      </c>
      <c r="F1540" s="5">
        <f>ROUND(IFERROR(IF(OR($B1540 &lt;=0, $B1540 = ExtraPayment),0,
MAX(-$B1540, -(-PMT(InterestRate/PaymentsPerYear,LoanTerm*PaymentsPerYear,LoanAmount) + $E1540))), 0), 2)</f>
        <v>0</v>
      </c>
      <c r="G1540" s="5">
        <f t="shared" ref="G1540:G1561" si="98">$D1540+$F1540</f>
        <v>0</v>
      </c>
      <c r="H1540" s="5">
        <f t="shared" ref="H1540:H1561" si="99">ROUND(IF($B1540 &lt;= 0, 0,MAX(0, $B1540 + $G1540)), 2)</f>
        <v>0</v>
      </c>
    </row>
    <row r="1541" spans="1:8" x14ac:dyDescent="0.2">
      <c r="A1541" s="2">
        <v>1540</v>
      </c>
      <c r="B1541" s="5">
        <f t="shared" si="96"/>
        <v>0</v>
      </c>
      <c r="C1541" s="5">
        <f t="shared" si="97"/>
        <v>0</v>
      </c>
      <c r="D1541" s="5">
        <f>IF(ExtraPayment=0, 0, IF(AND($B1541&lt;&gt;0,ExtraPayment&lt;=$B1541),-ExtraPayment,-($F1541)-$B1541))</f>
        <v>0</v>
      </c>
      <c r="E1541" s="5">
        <f>IF($B1541 &lt;= 0, 0, -ROUND($B1541 * (InterestRate / PaymentsPerYear), 2))</f>
        <v>0</v>
      </c>
      <c r="F1541" s="5">
        <f>ROUND(IFERROR(IF(OR($B1541 &lt;=0, $B1541 = ExtraPayment),0,
MAX(-$B1541, -(-PMT(InterestRate/PaymentsPerYear,LoanTerm*PaymentsPerYear,LoanAmount) + $E1541))), 0), 2)</f>
        <v>0</v>
      </c>
      <c r="G1541" s="5">
        <f t="shared" si="98"/>
        <v>0</v>
      </c>
      <c r="H1541" s="5">
        <f t="shared" si="99"/>
        <v>0</v>
      </c>
    </row>
    <row r="1542" spans="1:8" x14ac:dyDescent="0.2">
      <c r="A1542" s="2">
        <v>1541</v>
      </c>
      <c r="B1542" s="5">
        <f t="shared" si="96"/>
        <v>0</v>
      </c>
      <c r="C1542" s="5">
        <f t="shared" si="97"/>
        <v>0</v>
      </c>
      <c r="D1542" s="5">
        <f>IF(ExtraPayment=0, 0, IF(AND($B1542&lt;&gt;0,ExtraPayment&lt;=$B1542),-ExtraPayment,-($F1542)-$B1542))</f>
        <v>0</v>
      </c>
      <c r="E1542" s="5">
        <f>IF($B1542 &lt;= 0, 0, -ROUND($B1542 * (InterestRate / PaymentsPerYear), 2))</f>
        <v>0</v>
      </c>
      <c r="F1542" s="5">
        <f>ROUND(IFERROR(IF(OR($B1542 &lt;=0, $B1542 = ExtraPayment),0,
MAX(-$B1542, -(-PMT(InterestRate/PaymentsPerYear,LoanTerm*PaymentsPerYear,LoanAmount) + $E1542))), 0), 2)</f>
        <v>0</v>
      </c>
      <c r="G1542" s="5">
        <f t="shared" si="98"/>
        <v>0</v>
      </c>
      <c r="H1542" s="5">
        <f t="shared" si="99"/>
        <v>0</v>
      </c>
    </row>
    <row r="1543" spans="1:8" x14ac:dyDescent="0.2">
      <c r="A1543" s="2">
        <v>1542</v>
      </c>
      <c r="B1543" s="5">
        <f t="shared" si="96"/>
        <v>0</v>
      </c>
      <c r="C1543" s="5">
        <f t="shared" si="97"/>
        <v>0</v>
      </c>
      <c r="D1543" s="5">
        <f>IF(ExtraPayment=0, 0, IF(AND($B1543&lt;&gt;0,ExtraPayment&lt;=$B1543),-ExtraPayment,-($F1543)-$B1543))</f>
        <v>0</v>
      </c>
      <c r="E1543" s="5">
        <f>IF($B1543 &lt;= 0, 0, -ROUND($B1543 * (InterestRate / PaymentsPerYear), 2))</f>
        <v>0</v>
      </c>
      <c r="F1543" s="5">
        <f>ROUND(IFERROR(IF(OR($B1543 &lt;=0, $B1543 = ExtraPayment),0,
MAX(-$B1543, -(-PMT(InterestRate/PaymentsPerYear,LoanTerm*PaymentsPerYear,LoanAmount) + $E1543))), 0), 2)</f>
        <v>0</v>
      </c>
      <c r="G1543" s="5">
        <f t="shared" si="98"/>
        <v>0</v>
      </c>
      <c r="H1543" s="5">
        <f t="shared" si="99"/>
        <v>0</v>
      </c>
    </row>
    <row r="1544" spans="1:8" x14ac:dyDescent="0.2">
      <c r="A1544" s="2">
        <v>1543</v>
      </c>
      <c r="B1544" s="5">
        <f t="shared" si="96"/>
        <v>0</v>
      </c>
      <c r="C1544" s="5">
        <f t="shared" si="97"/>
        <v>0</v>
      </c>
      <c r="D1544" s="5">
        <f>IF(ExtraPayment=0, 0, IF(AND($B1544&lt;&gt;0,ExtraPayment&lt;=$B1544),-ExtraPayment,-($F1544)-$B1544))</f>
        <v>0</v>
      </c>
      <c r="E1544" s="5">
        <f>IF($B1544 &lt;= 0, 0, -ROUND($B1544 * (InterestRate / PaymentsPerYear), 2))</f>
        <v>0</v>
      </c>
      <c r="F1544" s="5">
        <f>ROUND(IFERROR(IF(OR($B1544 &lt;=0, $B1544 = ExtraPayment),0,
MAX(-$B1544, -(-PMT(InterestRate/PaymentsPerYear,LoanTerm*PaymentsPerYear,LoanAmount) + $E1544))), 0), 2)</f>
        <v>0</v>
      </c>
      <c r="G1544" s="5">
        <f t="shared" si="98"/>
        <v>0</v>
      </c>
      <c r="H1544" s="5">
        <f t="shared" si="99"/>
        <v>0</v>
      </c>
    </row>
    <row r="1545" spans="1:8" x14ac:dyDescent="0.2">
      <c r="A1545" s="2">
        <v>1544</v>
      </c>
      <c r="B1545" s="5">
        <f t="shared" si="96"/>
        <v>0</v>
      </c>
      <c r="C1545" s="5">
        <f t="shared" si="97"/>
        <v>0</v>
      </c>
      <c r="D1545" s="5">
        <f>IF(ExtraPayment=0, 0, IF(AND($B1545&lt;&gt;0,ExtraPayment&lt;=$B1545),-ExtraPayment,-($F1545)-$B1545))</f>
        <v>0</v>
      </c>
      <c r="E1545" s="5">
        <f>IF($B1545 &lt;= 0, 0, -ROUND($B1545 * (InterestRate / PaymentsPerYear), 2))</f>
        <v>0</v>
      </c>
      <c r="F1545" s="5">
        <f>ROUND(IFERROR(IF(OR($B1545 &lt;=0, $B1545 = ExtraPayment),0,
MAX(-$B1545, -(-PMT(InterestRate/PaymentsPerYear,LoanTerm*PaymentsPerYear,LoanAmount) + $E1545))), 0), 2)</f>
        <v>0</v>
      </c>
      <c r="G1545" s="5">
        <f t="shared" si="98"/>
        <v>0</v>
      </c>
      <c r="H1545" s="5">
        <f t="shared" si="99"/>
        <v>0</v>
      </c>
    </row>
    <row r="1546" spans="1:8" x14ac:dyDescent="0.2">
      <c r="A1546" s="2">
        <v>1545</v>
      </c>
      <c r="B1546" s="5">
        <f t="shared" si="96"/>
        <v>0</v>
      </c>
      <c r="C1546" s="5">
        <f t="shared" si="97"/>
        <v>0</v>
      </c>
      <c r="D1546" s="5">
        <f>IF(ExtraPayment=0, 0, IF(AND($B1546&lt;&gt;0,ExtraPayment&lt;=$B1546),-ExtraPayment,-($F1546)-$B1546))</f>
        <v>0</v>
      </c>
      <c r="E1546" s="5">
        <f>IF($B1546 &lt;= 0, 0, -ROUND($B1546 * (InterestRate / PaymentsPerYear), 2))</f>
        <v>0</v>
      </c>
      <c r="F1546" s="5">
        <f>ROUND(IFERROR(IF(OR($B1546 &lt;=0, $B1546 = ExtraPayment),0,
MAX(-$B1546, -(-PMT(InterestRate/PaymentsPerYear,LoanTerm*PaymentsPerYear,LoanAmount) + $E1546))), 0), 2)</f>
        <v>0</v>
      </c>
      <c r="G1546" s="5">
        <f t="shared" si="98"/>
        <v>0</v>
      </c>
      <c r="H1546" s="5">
        <f t="shared" si="99"/>
        <v>0</v>
      </c>
    </row>
    <row r="1547" spans="1:8" x14ac:dyDescent="0.2">
      <c r="A1547" s="2">
        <v>1546</v>
      </c>
      <c r="B1547" s="5">
        <f t="shared" si="96"/>
        <v>0</v>
      </c>
      <c r="C1547" s="5">
        <f t="shared" si="97"/>
        <v>0</v>
      </c>
      <c r="D1547" s="5">
        <f>IF(ExtraPayment=0, 0, IF(AND($B1547&lt;&gt;0,ExtraPayment&lt;=$B1547),-ExtraPayment,-($F1547)-$B1547))</f>
        <v>0</v>
      </c>
      <c r="E1547" s="5">
        <f>IF($B1547 &lt;= 0, 0, -ROUND($B1547 * (InterestRate / PaymentsPerYear), 2))</f>
        <v>0</v>
      </c>
      <c r="F1547" s="5">
        <f>ROUND(IFERROR(IF(OR($B1547 &lt;=0, $B1547 = ExtraPayment),0,
MAX(-$B1547, -(-PMT(InterestRate/PaymentsPerYear,LoanTerm*PaymentsPerYear,LoanAmount) + $E1547))), 0), 2)</f>
        <v>0</v>
      </c>
      <c r="G1547" s="5">
        <f t="shared" si="98"/>
        <v>0</v>
      </c>
      <c r="H1547" s="5">
        <f t="shared" si="99"/>
        <v>0</v>
      </c>
    </row>
    <row r="1548" spans="1:8" x14ac:dyDescent="0.2">
      <c r="A1548" s="2">
        <v>1547</v>
      </c>
      <c r="B1548" s="5">
        <f t="shared" si="96"/>
        <v>0</v>
      </c>
      <c r="C1548" s="5">
        <f t="shared" si="97"/>
        <v>0</v>
      </c>
      <c r="D1548" s="5">
        <f>IF(ExtraPayment=0, 0, IF(AND($B1548&lt;&gt;0,ExtraPayment&lt;=$B1548),-ExtraPayment,-($F1548)-$B1548))</f>
        <v>0</v>
      </c>
      <c r="E1548" s="5">
        <f>IF($B1548 &lt;= 0, 0, -ROUND($B1548 * (InterestRate / PaymentsPerYear), 2))</f>
        <v>0</v>
      </c>
      <c r="F1548" s="5">
        <f>ROUND(IFERROR(IF(OR($B1548 &lt;=0, $B1548 = ExtraPayment),0,
MAX(-$B1548, -(-PMT(InterestRate/PaymentsPerYear,LoanTerm*PaymentsPerYear,LoanAmount) + $E1548))), 0), 2)</f>
        <v>0</v>
      </c>
      <c r="G1548" s="5">
        <f t="shared" si="98"/>
        <v>0</v>
      </c>
      <c r="H1548" s="5">
        <f t="shared" si="99"/>
        <v>0</v>
      </c>
    </row>
    <row r="1549" spans="1:8" x14ac:dyDescent="0.2">
      <c r="A1549" s="2">
        <v>1548</v>
      </c>
      <c r="B1549" s="5">
        <f t="shared" si="96"/>
        <v>0</v>
      </c>
      <c r="C1549" s="5">
        <f t="shared" si="97"/>
        <v>0</v>
      </c>
      <c r="D1549" s="5">
        <f>IF(ExtraPayment=0, 0, IF(AND($B1549&lt;&gt;0,ExtraPayment&lt;=$B1549),-ExtraPayment,-($F1549)-$B1549))</f>
        <v>0</v>
      </c>
      <c r="E1549" s="5">
        <f>IF($B1549 &lt;= 0, 0, -ROUND($B1549 * (InterestRate / PaymentsPerYear), 2))</f>
        <v>0</v>
      </c>
      <c r="F1549" s="5">
        <f>ROUND(IFERROR(IF(OR($B1549 &lt;=0, $B1549 = ExtraPayment),0,
MAX(-$B1549, -(-PMT(InterestRate/PaymentsPerYear,LoanTerm*PaymentsPerYear,LoanAmount) + $E1549))), 0), 2)</f>
        <v>0</v>
      </c>
      <c r="G1549" s="5">
        <f t="shared" si="98"/>
        <v>0</v>
      </c>
      <c r="H1549" s="5">
        <f t="shared" si="99"/>
        <v>0</v>
      </c>
    </row>
    <row r="1550" spans="1:8" x14ac:dyDescent="0.2">
      <c r="A1550" s="2">
        <v>1549</v>
      </c>
      <c r="B1550" s="5">
        <f t="shared" si="96"/>
        <v>0</v>
      </c>
      <c r="C1550" s="5">
        <f t="shared" si="97"/>
        <v>0</v>
      </c>
      <c r="D1550" s="5">
        <f>IF(ExtraPayment=0, 0, IF(AND($B1550&lt;&gt;0,ExtraPayment&lt;=$B1550),-ExtraPayment,-($F1550)-$B1550))</f>
        <v>0</v>
      </c>
      <c r="E1550" s="5">
        <f>IF($B1550 &lt;= 0, 0, -ROUND($B1550 * (InterestRate / PaymentsPerYear), 2))</f>
        <v>0</v>
      </c>
      <c r="F1550" s="5">
        <f>ROUND(IFERROR(IF(OR($B1550 &lt;=0, $B1550 = ExtraPayment),0,
MAX(-$B1550, -(-PMT(InterestRate/PaymentsPerYear,LoanTerm*PaymentsPerYear,LoanAmount) + $E1550))), 0), 2)</f>
        <v>0</v>
      </c>
      <c r="G1550" s="5">
        <f t="shared" si="98"/>
        <v>0</v>
      </c>
      <c r="H1550" s="5">
        <f t="shared" si="99"/>
        <v>0</v>
      </c>
    </row>
    <row r="1551" spans="1:8" x14ac:dyDescent="0.2">
      <c r="A1551" s="2">
        <v>1550</v>
      </c>
      <c r="B1551" s="5">
        <f t="shared" si="96"/>
        <v>0</v>
      </c>
      <c r="C1551" s="5">
        <f t="shared" si="97"/>
        <v>0</v>
      </c>
      <c r="D1551" s="5">
        <f>IF(ExtraPayment=0, 0, IF(AND($B1551&lt;&gt;0,ExtraPayment&lt;=$B1551),-ExtraPayment,-($F1551)-$B1551))</f>
        <v>0</v>
      </c>
      <c r="E1551" s="5">
        <f>IF($B1551 &lt;= 0, 0, -ROUND($B1551 * (InterestRate / PaymentsPerYear), 2))</f>
        <v>0</v>
      </c>
      <c r="F1551" s="5">
        <f>ROUND(IFERROR(IF(OR($B1551 &lt;=0, $B1551 = ExtraPayment),0,
MAX(-$B1551, -(-PMT(InterestRate/PaymentsPerYear,LoanTerm*PaymentsPerYear,LoanAmount) + $E1551))), 0), 2)</f>
        <v>0</v>
      </c>
      <c r="G1551" s="5">
        <f t="shared" si="98"/>
        <v>0</v>
      </c>
      <c r="H1551" s="5">
        <f t="shared" si="99"/>
        <v>0</v>
      </c>
    </row>
    <row r="1552" spans="1:8" x14ac:dyDescent="0.2">
      <c r="A1552" s="2">
        <v>1551</v>
      </c>
      <c r="B1552" s="5">
        <f t="shared" si="96"/>
        <v>0</v>
      </c>
      <c r="C1552" s="5">
        <f t="shared" si="97"/>
        <v>0</v>
      </c>
      <c r="D1552" s="5">
        <f>IF(ExtraPayment=0, 0, IF(AND($B1552&lt;&gt;0,ExtraPayment&lt;=$B1552),-ExtraPayment,-($F1552)-$B1552))</f>
        <v>0</v>
      </c>
      <c r="E1552" s="5">
        <f>IF($B1552 &lt;= 0, 0, -ROUND($B1552 * (InterestRate / PaymentsPerYear), 2))</f>
        <v>0</v>
      </c>
      <c r="F1552" s="5">
        <f>ROUND(IFERROR(IF(OR($B1552 &lt;=0, $B1552 = ExtraPayment),0,
MAX(-$B1552, -(-PMT(InterestRate/PaymentsPerYear,LoanTerm*PaymentsPerYear,LoanAmount) + $E1552))), 0), 2)</f>
        <v>0</v>
      </c>
      <c r="G1552" s="5">
        <f t="shared" si="98"/>
        <v>0</v>
      </c>
      <c r="H1552" s="5">
        <f t="shared" si="99"/>
        <v>0</v>
      </c>
    </row>
    <row r="1553" spans="1:8" x14ac:dyDescent="0.2">
      <c r="A1553" s="2">
        <v>1552</v>
      </c>
      <c r="B1553" s="5">
        <f t="shared" si="96"/>
        <v>0</v>
      </c>
      <c r="C1553" s="5">
        <f t="shared" si="97"/>
        <v>0</v>
      </c>
      <c r="D1553" s="5">
        <f>IF(ExtraPayment=0, 0, IF(AND($B1553&lt;&gt;0,ExtraPayment&lt;=$B1553),-ExtraPayment,-($F1553)-$B1553))</f>
        <v>0</v>
      </c>
      <c r="E1553" s="5">
        <f>IF($B1553 &lt;= 0, 0, -ROUND($B1553 * (InterestRate / PaymentsPerYear), 2))</f>
        <v>0</v>
      </c>
      <c r="F1553" s="5">
        <f>ROUND(IFERROR(IF(OR($B1553 &lt;=0, $B1553 = ExtraPayment),0,
MAX(-$B1553, -(-PMT(InterestRate/PaymentsPerYear,LoanTerm*PaymentsPerYear,LoanAmount) + $E1553))), 0), 2)</f>
        <v>0</v>
      </c>
      <c r="G1553" s="5">
        <f t="shared" si="98"/>
        <v>0</v>
      </c>
      <c r="H1553" s="5">
        <f t="shared" si="99"/>
        <v>0</v>
      </c>
    </row>
    <row r="1554" spans="1:8" x14ac:dyDescent="0.2">
      <c r="A1554" s="2">
        <v>1553</v>
      </c>
      <c r="B1554" s="5">
        <f t="shared" si="96"/>
        <v>0</v>
      </c>
      <c r="C1554" s="5">
        <f t="shared" si="97"/>
        <v>0</v>
      </c>
      <c r="D1554" s="5">
        <f>IF(ExtraPayment=0, 0, IF(AND($B1554&lt;&gt;0,ExtraPayment&lt;=$B1554),-ExtraPayment,-($F1554)-$B1554))</f>
        <v>0</v>
      </c>
      <c r="E1554" s="5">
        <f>IF($B1554 &lt;= 0, 0, -ROUND($B1554 * (InterestRate / PaymentsPerYear), 2))</f>
        <v>0</v>
      </c>
      <c r="F1554" s="5">
        <f>ROUND(IFERROR(IF(OR($B1554 &lt;=0, $B1554 = ExtraPayment),0,
MAX(-$B1554, -(-PMT(InterestRate/PaymentsPerYear,LoanTerm*PaymentsPerYear,LoanAmount) + $E1554))), 0), 2)</f>
        <v>0</v>
      </c>
      <c r="G1554" s="5">
        <f t="shared" si="98"/>
        <v>0</v>
      </c>
      <c r="H1554" s="5">
        <f t="shared" si="99"/>
        <v>0</v>
      </c>
    </row>
    <row r="1555" spans="1:8" x14ac:dyDescent="0.2">
      <c r="A1555" s="2">
        <v>1554</v>
      </c>
      <c r="B1555" s="5">
        <f t="shared" si="96"/>
        <v>0</v>
      </c>
      <c r="C1555" s="5">
        <f t="shared" si="97"/>
        <v>0</v>
      </c>
      <c r="D1555" s="5">
        <f>IF(ExtraPayment=0, 0, IF(AND($B1555&lt;&gt;0,ExtraPayment&lt;=$B1555),-ExtraPayment,-($F1555)-$B1555))</f>
        <v>0</v>
      </c>
      <c r="E1555" s="5">
        <f>IF($B1555 &lt;= 0, 0, -ROUND($B1555 * (InterestRate / PaymentsPerYear), 2))</f>
        <v>0</v>
      </c>
      <c r="F1555" s="5">
        <f>ROUND(IFERROR(IF(OR($B1555 &lt;=0, $B1555 = ExtraPayment),0,
MAX(-$B1555, -(-PMT(InterestRate/PaymentsPerYear,LoanTerm*PaymentsPerYear,LoanAmount) + $E1555))), 0), 2)</f>
        <v>0</v>
      </c>
      <c r="G1555" s="5">
        <f t="shared" si="98"/>
        <v>0</v>
      </c>
      <c r="H1555" s="5">
        <f t="shared" si="99"/>
        <v>0</v>
      </c>
    </row>
    <row r="1556" spans="1:8" x14ac:dyDescent="0.2">
      <c r="A1556" s="2">
        <v>1555</v>
      </c>
      <c r="B1556" s="5">
        <f t="shared" si="96"/>
        <v>0</v>
      </c>
      <c r="C1556" s="5">
        <f t="shared" si="97"/>
        <v>0</v>
      </c>
      <c r="D1556" s="5">
        <f>IF(ExtraPayment=0, 0, IF(AND($B1556&lt;&gt;0,ExtraPayment&lt;=$B1556),-ExtraPayment,-($F1556)-$B1556))</f>
        <v>0</v>
      </c>
      <c r="E1556" s="5">
        <f>IF($B1556 &lt;= 0, 0, -ROUND($B1556 * (InterestRate / PaymentsPerYear), 2))</f>
        <v>0</v>
      </c>
      <c r="F1556" s="5">
        <f>ROUND(IFERROR(IF(OR($B1556 &lt;=0, $B1556 = ExtraPayment),0,
MAX(-$B1556, -(-PMT(InterestRate/PaymentsPerYear,LoanTerm*PaymentsPerYear,LoanAmount) + $E1556))), 0), 2)</f>
        <v>0</v>
      </c>
      <c r="G1556" s="5">
        <f t="shared" si="98"/>
        <v>0</v>
      </c>
      <c r="H1556" s="5">
        <f t="shared" si="99"/>
        <v>0</v>
      </c>
    </row>
    <row r="1557" spans="1:8" x14ac:dyDescent="0.2">
      <c r="A1557" s="2">
        <v>1556</v>
      </c>
      <c r="B1557" s="5">
        <f t="shared" si="96"/>
        <v>0</v>
      </c>
      <c r="C1557" s="5">
        <f t="shared" si="97"/>
        <v>0</v>
      </c>
      <c r="D1557" s="5">
        <f>IF(ExtraPayment=0, 0, IF(AND($B1557&lt;&gt;0,ExtraPayment&lt;=$B1557),-ExtraPayment,-($F1557)-$B1557))</f>
        <v>0</v>
      </c>
      <c r="E1557" s="5">
        <f>IF($B1557 &lt;= 0, 0, -ROUND($B1557 * (InterestRate / PaymentsPerYear), 2))</f>
        <v>0</v>
      </c>
      <c r="F1557" s="5">
        <f>ROUND(IFERROR(IF(OR($B1557 &lt;=0, $B1557 = ExtraPayment),0,
MAX(-$B1557, -(-PMT(InterestRate/PaymentsPerYear,LoanTerm*PaymentsPerYear,LoanAmount) + $E1557))), 0), 2)</f>
        <v>0</v>
      </c>
      <c r="G1557" s="5">
        <f t="shared" si="98"/>
        <v>0</v>
      </c>
      <c r="H1557" s="5">
        <f t="shared" si="99"/>
        <v>0</v>
      </c>
    </row>
    <row r="1558" spans="1:8" x14ac:dyDescent="0.2">
      <c r="A1558" s="2">
        <v>1557</v>
      </c>
      <c r="B1558" s="5">
        <f t="shared" si="96"/>
        <v>0</v>
      </c>
      <c r="C1558" s="5">
        <f t="shared" si="97"/>
        <v>0</v>
      </c>
      <c r="D1558" s="5">
        <f>IF(ExtraPayment=0, 0, IF(AND($B1558&lt;&gt;0,ExtraPayment&lt;=$B1558),-ExtraPayment,-($F1558)-$B1558))</f>
        <v>0</v>
      </c>
      <c r="E1558" s="5">
        <f>IF($B1558 &lt;= 0, 0, -ROUND($B1558 * (InterestRate / PaymentsPerYear), 2))</f>
        <v>0</v>
      </c>
      <c r="F1558" s="5">
        <f>ROUND(IFERROR(IF(OR($B1558 &lt;=0, $B1558 = ExtraPayment),0,
MAX(-$B1558, -(-PMT(InterestRate/PaymentsPerYear,LoanTerm*PaymentsPerYear,LoanAmount) + $E1558))), 0), 2)</f>
        <v>0</v>
      </c>
      <c r="G1558" s="5">
        <f t="shared" si="98"/>
        <v>0</v>
      </c>
      <c r="H1558" s="5">
        <f t="shared" si="99"/>
        <v>0</v>
      </c>
    </row>
    <row r="1559" spans="1:8" x14ac:dyDescent="0.2">
      <c r="A1559" s="2">
        <v>1558</v>
      </c>
      <c r="B1559" s="5">
        <f t="shared" si="96"/>
        <v>0</v>
      </c>
      <c r="C1559" s="5">
        <f t="shared" si="97"/>
        <v>0</v>
      </c>
      <c r="D1559" s="5">
        <f>IF(ExtraPayment=0, 0, IF(AND($B1559&lt;&gt;0,ExtraPayment&lt;=$B1559),-ExtraPayment,-($F1559)-$B1559))</f>
        <v>0</v>
      </c>
      <c r="E1559" s="5">
        <f>IF($B1559 &lt;= 0, 0, -ROUND($B1559 * (InterestRate / PaymentsPerYear), 2))</f>
        <v>0</v>
      </c>
      <c r="F1559" s="5">
        <f>ROUND(IFERROR(IF(OR($B1559 &lt;=0, $B1559 = ExtraPayment),0,
MAX(-$B1559, -(-PMT(InterestRate/PaymentsPerYear,LoanTerm*PaymentsPerYear,LoanAmount) + $E1559))), 0), 2)</f>
        <v>0</v>
      </c>
      <c r="G1559" s="5">
        <f t="shared" si="98"/>
        <v>0</v>
      </c>
      <c r="H1559" s="5">
        <f t="shared" si="99"/>
        <v>0</v>
      </c>
    </row>
    <row r="1560" spans="1:8" x14ac:dyDescent="0.2">
      <c r="A1560" s="2">
        <v>1559</v>
      </c>
      <c r="B1560" s="5">
        <f t="shared" si="96"/>
        <v>0</v>
      </c>
      <c r="C1560" s="5">
        <f t="shared" si="97"/>
        <v>0</v>
      </c>
      <c r="D1560" s="5">
        <f>IF(ExtraPayment=0, 0, IF(AND($B1560&lt;&gt;0,ExtraPayment&lt;=$B1560),-ExtraPayment,-($F1560)-$B1560))</f>
        <v>0</v>
      </c>
      <c r="E1560" s="5">
        <f>IF($B1560 &lt;= 0, 0, -ROUND($B1560 * (InterestRate / PaymentsPerYear), 2))</f>
        <v>0</v>
      </c>
      <c r="F1560" s="5">
        <f>ROUND(IFERROR(IF(OR($B1560 &lt;=0, $B1560 = ExtraPayment),0,
MAX(-$B1560, -(-PMT(InterestRate/PaymentsPerYear,LoanTerm*PaymentsPerYear,LoanAmount) + $E1560))), 0), 2)</f>
        <v>0</v>
      </c>
      <c r="G1560" s="5">
        <f t="shared" si="98"/>
        <v>0</v>
      </c>
      <c r="H1560" s="5">
        <f t="shared" si="99"/>
        <v>0</v>
      </c>
    </row>
    <row r="1561" spans="1:8" x14ac:dyDescent="0.2">
      <c r="A1561" s="2">
        <v>1560</v>
      </c>
      <c r="B1561" s="5">
        <f t="shared" si="96"/>
        <v>0</v>
      </c>
      <c r="C1561" s="5">
        <f t="shared" si="97"/>
        <v>0</v>
      </c>
      <c r="D1561" s="5">
        <f>IF(ExtraPayment=0, 0, IF(AND($B1561&lt;&gt;0,ExtraPayment&lt;=$B1561),-ExtraPayment,-($F1561)-$B1561))</f>
        <v>0</v>
      </c>
      <c r="E1561" s="5">
        <f>IF($B1561 &lt;= 0, 0, -ROUND($B1561 * (InterestRate / PaymentsPerYear), 2))</f>
        <v>0</v>
      </c>
      <c r="F1561" s="5">
        <f>ROUND(IFERROR(IF(OR($B1561 &lt;=0, $B1561 = ExtraPayment),0,
MAX(-$B1561, -(-PMT(InterestRate/PaymentsPerYear,LoanTerm*PaymentsPerYear,LoanAmount) + $E1561))), 0), 2)</f>
        <v>0</v>
      </c>
      <c r="G1561" s="5">
        <f t="shared" si="98"/>
        <v>0</v>
      </c>
      <c r="H1561" s="5">
        <f t="shared" si="99"/>
        <v>0</v>
      </c>
    </row>
  </sheetData>
  <conditionalFormatting sqref="A2:H1561">
    <cfRule type="expression" dxfId="0" priority="1">
      <formula>AND($A2 &lt;= LoanTerm*PaymentsPerYear, $B2&gt;0,$A2)</formula>
    </cfRule>
  </conditionalFormatting>
  <conditionalFormatting sqref="A27:A1048575">
    <cfRule type="expression" dxfId="4" priority="3">
      <formula>IF(#REF!&gt;0,$A27)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A4E2-ACC5-1D49-984E-117144892E1A}">
  <dimension ref="A1:H37"/>
  <sheetViews>
    <sheetView showGridLines="0" showRowColHeaders="0" topLeftCell="A18" workbookViewId="0">
      <selection activeCell="A2" sqref="A2"/>
    </sheetView>
  </sheetViews>
  <sheetFormatPr baseColWidth="10" defaultColWidth="21.1640625" defaultRowHeight="16" x14ac:dyDescent="0.2"/>
  <cols>
    <col min="1" max="1" width="18.83203125" style="2" customWidth="1"/>
    <col min="2" max="3" width="21.1640625" style="6"/>
    <col min="4" max="4" width="0" style="6" hidden="1" customWidth="1"/>
    <col min="5" max="8" width="21.1640625" style="6"/>
  </cols>
  <sheetData>
    <row r="1" spans="1:8" ht="17" x14ac:dyDescent="0.2">
      <c r="A1" s="20" t="str">
        <f>"Period (" &amp; PaymentFrequency &amp; ")"</f>
        <v>Period (Monthly)</v>
      </c>
      <c r="B1" s="21" t="s">
        <v>5</v>
      </c>
      <c r="C1" s="21" t="s">
        <v>10</v>
      </c>
      <c r="D1" s="21" t="s">
        <v>6</v>
      </c>
      <c r="E1" s="21" t="s">
        <v>7</v>
      </c>
      <c r="F1" s="21" t="s">
        <v>9</v>
      </c>
      <c r="G1" s="21" t="s">
        <v>12</v>
      </c>
      <c r="H1" s="21" t="s">
        <v>8</v>
      </c>
    </row>
    <row r="2" spans="1:8" x14ac:dyDescent="0.2">
      <c r="A2" s="2" cm="1">
        <f t="array" ref="A2:H37">_xlfn._xlws.FILTER(AmortizationScheduleNoExtraRaw!A2:H1561, AmortizationScheduleNoExtraRaw!B2:B1561 &gt; 0,"")</f>
        <v>1</v>
      </c>
      <c r="B2" s="6">
        <v>20000</v>
      </c>
      <c r="C2" s="6">
        <v>-608.44000000000005</v>
      </c>
      <c r="D2" s="6">
        <v>0</v>
      </c>
      <c r="E2" s="6">
        <v>-100</v>
      </c>
      <c r="F2" s="6">
        <v>-508.44</v>
      </c>
      <c r="G2" s="6">
        <v>-508.44</v>
      </c>
      <c r="H2" s="6">
        <v>19491.560000000001</v>
      </c>
    </row>
    <row r="3" spans="1:8" x14ac:dyDescent="0.2">
      <c r="A3" s="2">
        <v>2</v>
      </c>
      <c r="B3" s="6">
        <v>19491.560000000001</v>
      </c>
      <c r="C3" s="6">
        <v>-608.44000000000005</v>
      </c>
      <c r="D3" s="6">
        <v>0</v>
      </c>
      <c r="E3" s="6">
        <v>-97.46</v>
      </c>
      <c r="F3" s="6">
        <v>-510.98</v>
      </c>
      <c r="G3" s="6">
        <v>-510.98</v>
      </c>
      <c r="H3" s="6">
        <v>18980.580000000002</v>
      </c>
    </row>
    <row r="4" spans="1:8" x14ac:dyDescent="0.2">
      <c r="A4" s="2">
        <v>3</v>
      </c>
      <c r="B4" s="6">
        <v>18980.580000000002</v>
      </c>
      <c r="C4" s="6">
        <v>-608.43999999999994</v>
      </c>
      <c r="D4" s="6">
        <v>0</v>
      </c>
      <c r="E4" s="6">
        <v>-94.9</v>
      </c>
      <c r="F4" s="6">
        <v>-513.54</v>
      </c>
      <c r="G4" s="6">
        <v>-513.54</v>
      </c>
      <c r="H4" s="6">
        <v>18467.04</v>
      </c>
    </row>
    <row r="5" spans="1:8" x14ac:dyDescent="0.2">
      <c r="A5" s="2">
        <v>4</v>
      </c>
      <c r="B5" s="6">
        <v>18467.04</v>
      </c>
      <c r="C5" s="6">
        <v>-608.44000000000005</v>
      </c>
      <c r="D5" s="6">
        <v>0</v>
      </c>
      <c r="E5" s="6">
        <v>-92.34</v>
      </c>
      <c r="F5" s="6">
        <v>-516.1</v>
      </c>
      <c r="G5" s="6">
        <v>-516.1</v>
      </c>
      <c r="H5" s="6">
        <v>17950.939999999999</v>
      </c>
    </row>
    <row r="6" spans="1:8" x14ac:dyDescent="0.2">
      <c r="A6" s="2">
        <v>5</v>
      </c>
      <c r="B6" s="6">
        <v>17950.939999999999</v>
      </c>
      <c r="C6" s="6">
        <v>-608.44000000000005</v>
      </c>
      <c r="D6" s="6">
        <v>0</v>
      </c>
      <c r="E6" s="6">
        <v>-89.75</v>
      </c>
      <c r="F6" s="6">
        <v>-518.69000000000005</v>
      </c>
      <c r="G6" s="6">
        <v>-518.69000000000005</v>
      </c>
      <c r="H6" s="6">
        <v>17432.25</v>
      </c>
    </row>
    <row r="7" spans="1:8" x14ac:dyDescent="0.2">
      <c r="A7" s="2">
        <v>6</v>
      </c>
      <c r="B7" s="6">
        <v>17432.25</v>
      </c>
      <c r="C7" s="6">
        <v>-608.43999999999994</v>
      </c>
      <c r="D7" s="6">
        <v>0</v>
      </c>
      <c r="E7" s="6">
        <v>-87.16</v>
      </c>
      <c r="F7" s="6">
        <v>-521.28</v>
      </c>
      <c r="G7" s="6">
        <v>-521.28</v>
      </c>
      <c r="H7" s="6">
        <v>16910.97</v>
      </c>
    </row>
    <row r="8" spans="1:8" x14ac:dyDescent="0.2">
      <c r="A8" s="2">
        <v>7</v>
      </c>
      <c r="B8" s="6">
        <v>16910.97</v>
      </c>
      <c r="C8" s="6">
        <v>-608.43999999999994</v>
      </c>
      <c r="D8" s="6">
        <v>0</v>
      </c>
      <c r="E8" s="6">
        <v>-84.55</v>
      </c>
      <c r="F8" s="6">
        <v>-523.89</v>
      </c>
      <c r="G8" s="6">
        <v>-523.89</v>
      </c>
      <c r="H8" s="6">
        <v>16387.080000000002</v>
      </c>
    </row>
    <row r="9" spans="1:8" x14ac:dyDescent="0.2">
      <c r="A9" s="2">
        <v>8</v>
      </c>
      <c r="B9" s="6">
        <v>16387.080000000002</v>
      </c>
      <c r="C9" s="6">
        <v>-608.44000000000005</v>
      </c>
      <c r="D9" s="6">
        <v>0</v>
      </c>
      <c r="E9" s="6">
        <v>-81.94</v>
      </c>
      <c r="F9" s="6">
        <v>-526.5</v>
      </c>
      <c r="G9" s="6">
        <v>-526.5</v>
      </c>
      <c r="H9" s="6">
        <v>15860.58</v>
      </c>
    </row>
    <row r="10" spans="1:8" x14ac:dyDescent="0.2">
      <c r="A10" s="2">
        <v>9</v>
      </c>
      <c r="B10" s="6">
        <v>15860.58</v>
      </c>
      <c r="C10" s="6">
        <v>-608.43999999999994</v>
      </c>
      <c r="D10" s="6">
        <v>0</v>
      </c>
      <c r="E10" s="6">
        <v>-79.3</v>
      </c>
      <c r="F10" s="6">
        <v>-529.14</v>
      </c>
      <c r="G10" s="6">
        <v>-529.14</v>
      </c>
      <c r="H10" s="6">
        <v>15331.44</v>
      </c>
    </row>
    <row r="11" spans="1:8" x14ac:dyDescent="0.2">
      <c r="A11" s="2">
        <v>10</v>
      </c>
      <c r="B11" s="6">
        <v>15331.44</v>
      </c>
      <c r="C11" s="6">
        <v>-608.43999999999994</v>
      </c>
      <c r="D11" s="6">
        <v>0</v>
      </c>
      <c r="E11" s="6">
        <v>-76.66</v>
      </c>
      <c r="F11" s="6">
        <v>-531.78</v>
      </c>
      <c r="G11" s="6">
        <v>-531.78</v>
      </c>
      <c r="H11" s="6">
        <v>14799.66</v>
      </c>
    </row>
    <row r="12" spans="1:8" x14ac:dyDescent="0.2">
      <c r="A12" s="2">
        <v>11</v>
      </c>
      <c r="B12" s="6">
        <v>14799.66</v>
      </c>
      <c r="C12" s="6">
        <v>-608.44000000000005</v>
      </c>
      <c r="D12" s="6">
        <v>0</v>
      </c>
      <c r="E12" s="6">
        <v>-74</v>
      </c>
      <c r="F12" s="6">
        <v>-534.44000000000005</v>
      </c>
      <c r="G12" s="6">
        <v>-534.44000000000005</v>
      </c>
      <c r="H12" s="6">
        <v>14265.22</v>
      </c>
    </row>
    <row r="13" spans="1:8" x14ac:dyDescent="0.2">
      <c r="A13" s="2">
        <v>12</v>
      </c>
      <c r="B13" s="6">
        <v>14265.22</v>
      </c>
      <c r="C13" s="6">
        <v>-608.44000000000005</v>
      </c>
      <c r="D13" s="6">
        <v>0</v>
      </c>
      <c r="E13" s="6">
        <v>-71.33</v>
      </c>
      <c r="F13" s="6">
        <v>-537.11</v>
      </c>
      <c r="G13" s="6">
        <v>-537.11</v>
      </c>
      <c r="H13" s="6">
        <v>13728.11</v>
      </c>
    </row>
    <row r="14" spans="1:8" x14ac:dyDescent="0.2">
      <c r="A14" s="2">
        <v>13</v>
      </c>
      <c r="B14" s="6">
        <v>13728.11</v>
      </c>
      <c r="C14" s="6">
        <v>-608.43999999999994</v>
      </c>
      <c r="D14" s="6">
        <v>0</v>
      </c>
      <c r="E14" s="6">
        <v>-68.64</v>
      </c>
      <c r="F14" s="6">
        <v>-539.79999999999995</v>
      </c>
      <c r="G14" s="6">
        <v>-539.79999999999995</v>
      </c>
      <c r="H14" s="6">
        <v>13188.31</v>
      </c>
    </row>
    <row r="15" spans="1:8" x14ac:dyDescent="0.2">
      <c r="A15" s="2">
        <v>14</v>
      </c>
      <c r="B15" s="6">
        <v>13188.31</v>
      </c>
      <c r="C15" s="6">
        <v>-608.44000000000005</v>
      </c>
      <c r="D15" s="6">
        <v>0</v>
      </c>
      <c r="E15" s="6">
        <v>-65.94</v>
      </c>
      <c r="F15" s="6">
        <v>-542.5</v>
      </c>
      <c r="G15" s="6">
        <v>-542.5</v>
      </c>
      <c r="H15" s="6">
        <v>12645.81</v>
      </c>
    </row>
    <row r="16" spans="1:8" x14ac:dyDescent="0.2">
      <c r="A16" s="2">
        <v>15</v>
      </c>
      <c r="B16" s="6">
        <v>12645.81</v>
      </c>
      <c r="C16" s="6">
        <v>-608.44000000000005</v>
      </c>
      <c r="D16" s="6">
        <v>0</v>
      </c>
      <c r="E16" s="6">
        <v>-63.23</v>
      </c>
      <c r="F16" s="6">
        <v>-545.21</v>
      </c>
      <c r="G16" s="6">
        <v>-545.21</v>
      </c>
      <c r="H16" s="6">
        <v>12100.6</v>
      </c>
    </row>
    <row r="17" spans="1:8" x14ac:dyDescent="0.2">
      <c r="A17" s="2">
        <v>16</v>
      </c>
      <c r="B17" s="6">
        <v>12100.6</v>
      </c>
      <c r="C17" s="6">
        <v>-608.44000000000005</v>
      </c>
      <c r="D17" s="6">
        <v>0</v>
      </c>
      <c r="E17" s="6">
        <v>-60.5</v>
      </c>
      <c r="F17" s="6">
        <v>-547.94000000000005</v>
      </c>
      <c r="G17" s="6">
        <v>-547.94000000000005</v>
      </c>
      <c r="H17" s="6">
        <v>11552.66</v>
      </c>
    </row>
    <row r="18" spans="1:8" x14ac:dyDescent="0.2">
      <c r="A18" s="2">
        <v>17</v>
      </c>
      <c r="B18" s="6">
        <v>11552.66</v>
      </c>
      <c r="C18" s="6">
        <v>-608.43999999999994</v>
      </c>
      <c r="D18" s="6">
        <v>0</v>
      </c>
      <c r="E18" s="6">
        <v>-57.76</v>
      </c>
      <c r="F18" s="6">
        <v>-550.67999999999995</v>
      </c>
      <c r="G18" s="6">
        <v>-550.67999999999995</v>
      </c>
      <c r="H18" s="6">
        <v>11001.98</v>
      </c>
    </row>
    <row r="19" spans="1:8" x14ac:dyDescent="0.2">
      <c r="A19" s="2">
        <v>18</v>
      </c>
      <c r="B19" s="6">
        <v>11001.98</v>
      </c>
      <c r="C19" s="6">
        <v>-608.43999999999994</v>
      </c>
      <c r="D19" s="6">
        <v>0</v>
      </c>
      <c r="E19" s="6">
        <v>-55.01</v>
      </c>
      <c r="F19" s="6">
        <v>-553.42999999999995</v>
      </c>
      <c r="G19" s="6">
        <v>-553.42999999999995</v>
      </c>
      <c r="H19" s="6">
        <v>10448.549999999999</v>
      </c>
    </row>
    <row r="20" spans="1:8" x14ac:dyDescent="0.2">
      <c r="A20" s="2">
        <v>19</v>
      </c>
      <c r="B20" s="6">
        <v>10448.549999999999</v>
      </c>
      <c r="C20" s="6">
        <v>-608.44000000000005</v>
      </c>
      <c r="D20" s="6">
        <v>0</v>
      </c>
      <c r="E20" s="6">
        <v>-52.24</v>
      </c>
      <c r="F20" s="6">
        <v>-556.20000000000005</v>
      </c>
      <c r="G20" s="6">
        <v>-556.20000000000005</v>
      </c>
      <c r="H20" s="6">
        <v>9892.35</v>
      </c>
    </row>
    <row r="21" spans="1:8" x14ac:dyDescent="0.2">
      <c r="A21" s="2">
        <v>20</v>
      </c>
      <c r="B21" s="6">
        <v>9892.35</v>
      </c>
      <c r="C21" s="6">
        <v>-608.44000000000005</v>
      </c>
      <c r="D21" s="6">
        <v>0</v>
      </c>
      <c r="E21" s="6">
        <v>-49.46</v>
      </c>
      <c r="F21" s="6">
        <v>-558.98</v>
      </c>
      <c r="G21" s="6">
        <v>-558.98</v>
      </c>
      <c r="H21" s="6">
        <v>9333.3700000000008</v>
      </c>
    </row>
    <row r="22" spans="1:8" x14ac:dyDescent="0.2">
      <c r="A22" s="2">
        <v>21</v>
      </c>
      <c r="B22" s="6">
        <v>9333.3700000000008</v>
      </c>
      <c r="C22" s="6">
        <v>-608.43999999999994</v>
      </c>
      <c r="D22" s="6">
        <v>0</v>
      </c>
      <c r="E22" s="6">
        <v>-46.67</v>
      </c>
      <c r="F22" s="6">
        <v>-561.77</v>
      </c>
      <c r="G22" s="6">
        <v>-561.77</v>
      </c>
      <c r="H22" s="6">
        <v>8771.6</v>
      </c>
    </row>
    <row r="23" spans="1:8" x14ac:dyDescent="0.2">
      <c r="A23" s="2">
        <v>22</v>
      </c>
      <c r="B23" s="6">
        <v>8771.6</v>
      </c>
      <c r="C23" s="6">
        <v>-608.44000000000005</v>
      </c>
      <c r="D23" s="6">
        <v>0</v>
      </c>
      <c r="E23" s="6">
        <v>-43.86</v>
      </c>
      <c r="F23" s="6">
        <v>-564.58000000000004</v>
      </c>
      <c r="G23" s="6">
        <v>-564.58000000000004</v>
      </c>
      <c r="H23" s="6">
        <v>8207.02</v>
      </c>
    </row>
    <row r="24" spans="1:8" x14ac:dyDescent="0.2">
      <c r="A24" s="2">
        <v>23</v>
      </c>
      <c r="B24" s="6">
        <v>8207.02</v>
      </c>
      <c r="C24" s="6">
        <v>-608.43999999999994</v>
      </c>
      <c r="D24" s="6">
        <v>0</v>
      </c>
      <c r="E24" s="6">
        <v>-41.04</v>
      </c>
      <c r="F24" s="6">
        <v>-567.4</v>
      </c>
      <c r="G24" s="6">
        <v>-567.4</v>
      </c>
      <c r="H24" s="6">
        <v>7639.62</v>
      </c>
    </row>
    <row r="25" spans="1:8" x14ac:dyDescent="0.2">
      <c r="A25" s="2">
        <v>24</v>
      </c>
      <c r="B25" s="6">
        <v>7639.62</v>
      </c>
      <c r="C25" s="6">
        <v>-608.44000000000005</v>
      </c>
      <c r="D25" s="6">
        <v>0</v>
      </c>
      <c r="E25" s="6">
        <v>-38.200000000000003</v>
      </c>
      <c r="F25" s="6">
        <v>-570.24</v>
      </c>
      <c r="G25" s="6">
        <v>-570.24</v>
      </c>
      <c r="H25" s="6">
        <v>7069.38</v>
      </c>
    </row>
    <row r="26" spans="1:8" x14ac:dyDescent="0.2">
      <c r="A26" s="2">
        <v>25</v>
      </c>
      <c r="B26" s="6">
        <v>7069.38</v>
      </c>
      <c r="C26" s="6">
        <v>-608.44000000000005</v>
      </c>
      <c r="D26" s="6">
        <v>0</v>
      </c>
      <c r="E26" s="6">
        <v>-35.35</v>
      </c>
      <c r="F26" s="6">
        <v>-573.09</v>
      </c>
      <c r="G26" s="6">
        <v>-573.09</v>
      </c>
      <c r="H26" s="6">
        <v>6496.29</v>
      </c>
    </row>
    <row r="27" spans="1:8" x14ac:dyDescent="0.2">
      <c r="A27" s="2">
        <v>26</v>
      </c>
      <c r="B27" s="6">
        <v>6496.29</v>
      </c>
      <c r="C27" s="6">
        <v>-608.44000000000005</v>
      </c>
      <c r="D27" s="6">
        <v>0</v>
      </c>
      <c r="E27" s="6">
        <v>-32.479999999999997</v>
      </c>
      <c r="F27" s="6">
        <v>-575.96</v>
      </c>
      <c r="G27" s="6">
        <v>-575.96</v>
      </c>
      <c r="H27" s="6">
        <v>5920.33</v>
      </c>
    </row>
    <row r="28" spans="1:8" x14ac:dyDescent="0.2">
      <c r="A28" s="2">
        <v>27</v>
      </c>
      <c r="B28" s="6">
        <v>5920.33</v>
      </c>
      <c r="C28" s="6">
        <v>-608.44000000000005</v>
      </c>
      <c r="D28" s="6">
        <v>0</v>
      </c>
      <c r="E28" s="6">
        <v>-29.6</v>
      </c>
      <c r="F28" s="6">
        <v>-578.84</v>
      </c>
      <c r="G28" s="6">
        <v>-578.84</v>
      </c>
      <c r="H28" s="6">
        <v>5341.49</v>
      </c>
    </row>
    <row r="29" spans="1:8" x14ac:dyDescent="0.2">
      <c r="A29" s="2">
        <v>28</v>
      </c>
      <c r="B29" s="6">
        <v>5341.49</v>
      </c>
      <c r="C29" s="6">
        <v>-608.44000000000005</v>
      </c>
      <c r="D29" s="6">
        <v>0</v>
      </c>
      <c r="E29" s="6">
        <v>-26.71</v>
      </c>
      <c r="F29" s="6">
        <v>-581.73</v>
      </c>
      <c r="G29" s="6">
        <v>-581.73</v>
      </c>
      <c r="H29" s="6">
        <v>4759.76</v>
      </c>
    </row>
    <row r="30" spans="1:8" x14ac:dyDescent="0.2">
      <c r="A30" s="2">
        <v>29</v>
      </c>
      <c r="B30" s="6">
        <v>4759.76</v>
      </c>
      <c r="C30" s="6">
        <v>-608.43999999999994</v>
      </c>
      <c r="D30" s="6">
        <v>0</v>
      </c>
      <c r="E30" s="6">
        <v>-23.8</v>
      </c>
      <c r="F30" s="6">
        <v>-584.64</v>
      </c>
      <c r="G30" s="6">
        <v>-584.64</v>
      </c>
      <c r="H30" s="6">
        <v>4175.12</v>
      </c>
    </row>
    <row r="31" spans="1:8" x14ac:dyDescent="0.2">
      <c r="A31" s="2">
        <v>30</v>
      </c>
      <c r="B31" s="6">
        <v>4175.12</v>
      </c>
      <c r="C31" s="6">
        <v>-608.43999999999994</v>
      </c>
      <c r="D31" s="6">
        <v>0</v>
      </c>
      <c r="E31" s="6">
        <v>-20.88</v>
      </c>
      <c r="F31" s="6">
        <v>-587.55999999999995</v>
      </c>
      <c r="G31" s="6">
        <v>-587.55999999999995</v>
      </c>
      <c r="H31" s="6">
        <v>3587.56</v>
      </c>
    </row>
    <row r="32" spans="1:8" x14ac:dyDescent="0.2">
      <c r="A32" s="2">
        <v>31</v>
      </c>
      <c r="B32" s="6">
        <v>3587.56</v>
      </c>
      <c r="C32" s="6">
        <v>-608.44000000000005</v>
      </c>
      <c r="D32" s="6">
        <v>0</v>
      </c>
      <c r="E32" s="6">
        <v>-17.940000000000001</v>
      </c>
      <c r="F32" s="6">
        <v>-590.5</v>
      </c>
      <c r="G32" s="6">
        <v>-590.5</v>
      </c>
      <c r="H32" s="6">
        <v>2997.06</v>
      </c>
    </row>
    <row r="33" spans="1:8" x14ac:dyDescent="0.2">
      <c r="A33" s="2">
        <v>32</v>
      </c>
      <c r="B33" s="6">
        <v>2997.06</v>
      </c>
      <c r="C33" s="6">
        <v>-608.44000000000005</v>
      </c>
      <c r="D33" s="6">
        <v>0</v>
      </c>
      <c r="E33" s="6">
        <v>-14.99</v>
      </c>
      <c r="F33" s="6">
        <v>-593.45000000000005</v>
      </c>
      <c r="G33" s="6">
        <v>-593.45000000000005</v>
      </c>
      <c r="H33" s="6">
        <v>2403.61</v>
      </c>
    </row>
    <row r="34" spans="1:8" x14ac:dyDescent="0.2">
      <c r="A34" s="2">
        <v>33</v>
      </c>
      <c r="B34" s="6">
        <v>2403.61</v>
      </c>
      <c r="C34" s="6">
        <v>-608.43999999999994</v>
      </c>
      <c r="D34" s="6">
        <v>0</v>
      </c>
      <c r="E34" s="6">
        <v>-12.02</v>
      </c>
      <c r="F34" s="6">
        <v>-596.41999999999996</v>
      </c>
      <c r="G34" s="6">
        <v>-596.41999999999996</v>
      </c>
      <c r="H34" s="6">
        <v>1807.19</v>
      </c>
    </row>
    <row r="35" spans="1:8" x14ac:dyDescent="0.2">
      <c r="A35" s="2">
        <v>34</v>
      </c>
      <c r="B35" s="6">
        <v>1807.19</v>
      </c>
      <c r="C35" s="6">
        <v>-608.43999999999994</v>
      </c>
      <c r="D35" s="6">
        <v>0</v>
      </c>
      <c r="E35" s="6">
        <v>-9.0399999999999991</v>
      </c>
      <c r="F35" s="6">
        <v>-599.4</v>
      </c>
      <c r="G35" s="6">
        <v>-599.4</v>
      </c>
      <c r="H35" s="6">
        <v>1207.79</v>
      </c>
    </row>
    <row r="36" spans="1:8" x14ac:dyDescent="0.2">
      <c r="A36" s="2">
        <v>35</v>
      </c>
      <c r="B36" s="6">
        <v>1207.79</v>
      </c>
      <c r="C36" s="6">
        <v>-608.43999999999994</v>
      </c>
      <c r="D36" s="6">
        <v>0</v>
      </c>
      <c r="E36" s="6">
        <v>-6.04</v>
      </c>
      <c r="F36" s="6">
        <v>-602.4</v>
      </c>
      <c r="G36" s="6">
        <v>-602.4</v>
      </c>
      <c r="H36" s="6">
        <v>605.39</v>
      </c>
    </row>
    <row r="37" spans="1:8" x14ac:dyDescent="0.2">
      <c r="A37" s="2">
        <v>36</v>
      </c>
      <c r="B37" s="6">
        <v>605.39</v>
      </c>
      <c r="C37" s="6">
        <v>-608.41999999999996</v>
      </c>
      <c r="D37" s="6">
        <v>0</v>
      </c>
      <c r="E37" s="6">
        <v>-3.03</v>
      </c>
      <c r="F37" s="6">
        <v>-605.39</v>
      </c>
      <c r="G37" s="6">
        <v>-605.39</v>
      </c>
      <c r="H37" s="6">
        <v>0</v>
      </c>
    </row>
  </sheetData>
  <sheetProtection algorithmName="SHA-512" hashValue="7eRztg31cCdAGCuApwkX7/CpQzqpk0FZypdepWhpfp38T/bAxf7xFDQnUz6kKBxEf++GYZfKQnTTGqAN0rIicg==" saltValue="74S02cV1okXS94Yo40VPfg==" spinCount="100000" sheet="1" objects="1" scenarios="1"/>
  <conditionalFormatting sqref="A2:H1561">
    <cfRule type="expression" dxfId="3" priority="1">
      <formula>AND($A2 &lt;= LoanTerm*PaymentsPerYear, $B2&gt;0,$A2)</formula>
    </cfRule>
  </conditionalFormatting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C10F-B058-C54D-99E1-DE4558239328}">
  <dimension ref="A1:K1048576"/>
  <sheetViews>
    <sheetView zoomScaleNormal="100" workbookViewId="0">
      <selection activeCell="F25" sqref="F25"/>
    </sheetView>
  </sheetViews>
  <sheetFormatPr baseColWidth="10" defaultRowHeight="16" x14ac:dyDescent="0.2"/>
  <cols>
    <col min="1" max="1" width="17.5" style="2" customWidth="1"/>
    <col min="2" max="2" width="21.5" style="6" customWidth="1"/>
    <col min="3" max="3" width="24.33203125" style="6" customWidth="1"/>
    <col min="4" max="4" width="17.1640625" style="6" hidden="1" customWidth="1"/>
    <col min="5" max="5" width="18.33203125" style="6" customWidth="1"/>
    <col min="6" max="6" width="19.33203125" style="6" customWidth="1"/>
    <col min="7" max="7" width="18.33203125" style="6" customWidth="1"/>
    <col min="8" max="8" width="25" style="6" customWidth="1"/>
    <col min="9" max="9" width="18.5" customWidth="1"/>
  </cols>
  <sheetData>
    <row r="1" spans="1:11" ht="17" x14ac:dyDescent="0.2">
      <c r="A1" s="17" t="str">
        <f>"Period (" &amp; PaymentFrequency &amp; ")"</f>
        <v>Period (Monthly)</v>
      </c>
      <c r="B1" s="18" t="s">
        <v>5</v>
      </c>
      <c r="C1" s="18" t="s">
        <v>10</v>
      </c>
      <c r="D1" s="18" t="s">
        <v>6</v>
      </c>
      <c r="E1" s="18" t="s">
        <v>7</v>
      </c>
      <c r="F1" s="18" t="s">
        <v>9</v>
      </c>
      <c r="G1" s="18" t="s">
        <v>12</v>
      </c>
      <c r="H1" s="18" t="s">
        <v>8</v>
      </c>
    </row>
    <row r="2" spans="1:11" x14ac:dyDescent="0.2">
      <c r="A2" s="2" cm="1">
        <f t="array" ref="A2:A1561">_xlfn.SEQUENCE(1560)</f>
        <v>1</v>
      </c>
      <c r="B2" s="5">
        <f>LoanAmount</f>
        <v>20000</v>
      </c>
      <c r="C2" s="5">
        <f>IF($B2&lt;=0, 0, $E2+$F2)</f>
        <v>-608.44000000000005</v>
      </c>
      <c r="D2" s="5"/>
      <c r="E2" s="5">
        <f>IF($B2 &lt;= 0, 0, -ROUND($B2 * (InterestRate / PaymentsPerYear), 2))</f>
        <v>-100</v>
      </c>
      <c r="F2" s="5">
        <f>ROUND(IFERROR(IF($B2&lt;=0,0,
MAX(-$B2, -(-PMT(InterestRate/PaymentsPerYear,LoanTerm*PaymentsPerYear,LoanAmount) + $E2))), 0), 2)</f>
        <v>-508.44</v>
      </c>
      <c r="G2" s="5">
        <f>$F2</f>
        <v>-508.44</v>
      </c>
      <c r="H2" s="5">
        <f>ROUND(IF($B2 &lt;= 0, 0, MAX(0, $B2 + $G2)), 2)</f>
        <v>19491.560000000001</v>
      </c>
      <c r="K2" s="14"/>
    </row>
    <row r="3" spans="1:11" x14ac:dyDescent="0.2">
      <c r="A3" s="2">
        <v>2</v>
      </c>
      <c r="B3" s="5">
        <f>ROUND(IF($H2 &gt;= 0, MAX($H2, $F2), 0), 2)</f>
        <v>19491.560000000001</v>
      </c>
      <c r="C3" s="5">
        <f>IF($B3 &lt;= 0, 0, $E3+$F3)</f>
        <v>-608.44000000000005</v>
      </c>
      <c r="D3" s="5"/>
      <c r="E3" s="5">
        <f>IF($B3 &lt;= 0, 0, -ROUND($B3 * (InterestRate / PaymentsPerYear), 2))</f>
        <v>-97.46</v>
      </c>
      <c r="F3" s="5">
        <f>ROUND(IFERROR(IF($B3&lt;=0,0,
MAX(-$B3, -(-PMT(InterestRate/PaymentsPerYear,LoanTerm*PaymentsPerYear,LoanAmount) + $E3))), 0), 2)</f>
        <v>-510.98</v>
      </c>
      <c r="G3" s="5">
        <f>$F3</f>
        <v>-510.98</v>
      </c>
      <c r="H3" s="5">
        <f>ROUND(IF($B3 &lt;= 0, 0,MAX(0, $B3 + $G3)), 2)</f>
        <v>18980.580000000002</v>
      </c>
    </row>
    <row r="4" spans="1:11" x14ac:dyDescent="0.2">
      <c r="A4" s="2">
        <v>3</v>
      </c>
      <c r="B4" s="5">
        <f t="shared" ref="B4:B67" si="0">ROUND(IF($H3 &gt;= 0, MAX($H3, $F3), 0), 2)</f>
        <v>18980.580000000002</v>
      </c>
      <c r="C4" s="5">
        <f t="shared" ref="C4:C67" si="1">IF($B4 &lt;= 0, 0, $E4+$F4)</f>
        <v>-608.43999999999994</v>
      </c>
      <c r="D4" s="5"/>
      <c r="E4" s="5">
        <f>IF($B4 &lt;= 0, 0, -ROUND($B4 * (InterestRate / PaymentsPerYear), 2))</f>
        <v>-94.9</v>
      </c>
      <c r="F4" s="5">
        <f>ROUND(IFERROR(IF($B4&lt;=0,0,
MAX(-$B4, -(-PMT(InterestRate/PaymentsPerYear,LoanTerm*PaymentsPerYear,LoanAmount) + $E4))), 0), 2)</f>
        <v>-513.54</v>
      </c>
      <c r="G4" s="5">
        <f t="shared" ref="G4:G67" si="2">$F4</f>
        <v>-513.54</v>
      </c>
      <c r="H4" s="5">
        <f t="shared" ref="H4:H67" si="3">ROUND(IF($B4 &lt;= 0, 0,MAX(0, $B4 + $G4)), 2)</f>
        <v>18467.04</v>
      </c>
    </row>
    <row r="5" spans="1:11" x14ac:dyDescent="0.2">
      <c r="A5" s="2">
        <v>4</v>
      </c>
      <c r="B5" s="5">
        <f t="shared" si="0"/>
        <v>18467.04</v>
      </c>
      <c r="C5" s="5">
        <f t="shared" si="1"/>
        <v>-608.44000000000005</v>
      </c>
      <c r="D5" s="5"/>
      <c r="E5" s="5">
        <f>IF($B5 &lt;= 0, 0, -ROUND($B5 * (InterestRate / PaymentsPerYear), 2))</f>
        <v>-92.34</v>
      </c>
      <c r="F5" s="5">
        <f>ROUND(IFERROR(IF($B5&lt;=0,0,
MAX(-$B5, -(-PMT(InterestRate/PaymentsPerYear,LoanTerm*PaymentsPerYear,LoanAmount) + $E5))), 0), 2)</f>
        <v>-516.1</v>
      </c>
      <c r="G5" s="5">
        <f t="shared" si="2"/>
        <v>-516.1</v>
      </c>
      <c r="H5" s="5">
        <f t="shared" si="3"/>
        <v>17950.939999999999</v>
      </c>
    </row>
    <row r="6" spans="1:11" x14ac:dyDescent="0.2">
      <c r="A6" s="2">
        <v>5</v>
      </c>
      <c r="B6" s="5">
        <f t="shared" si="0"/>
        <v>17950.939999999999</v>
      </c>
      <c r="C6" s="5">
        <f t="shared" si="1"/>
        <v>-608.44000000000005</v>
      </c>
      <c r="D6" s="5"/>
      <c r="E6" s="5">
        <f>IF($B6 &lt;= 0, 0, -ROUND($B6 * (InterestRate / PaymentsPerYear), 2))</f>
        <v>-89.75</v>
      </c>
      <c r="F6" s="5">
        <f>ROUND(IFERROR(IF($B6&lt;=0,0,
MAX(-$B6, -(-PMT(InterestRate/PaymentsPerYear,LoanTerm*PaymentsPerYear,LoanAmount) + $E6))), 0), 2)</f>
        <v>-518.69000000000005</v>
      </c>
      <c r="G6" s="5">
        <f t="shared" si="2"/>
        <v>-518.69000000000005</v>
      </c>
      <c r="H6" s="5">
        <f t="shared" si="3"/>
        <v>17432.25</v>
      </c>
    </row>
    <row r="7" spans="1:11" x14ac:dyDescent="0.2">
      <c r="A7" s="2">
        <v>6</v>
      </c>
      <c r="B7" s="5">
        <f t="shared" si="0"/>
        <v>17432.25</v>
      </c>
      <c r="C7" s="5">
        <f t="shared" si="1"/>
        <v>-608.43999999999994</v>
      </c>
      <c r="D7" s="5"/>
      <c r="E7" s="5">
        <f>IF($B7 &lt;= 0, 0, -ROUND($B7 * (InterestRate / PaymentsPerYear), 2))</f>
        <v>-87.16</v>
      </c>
      <c r="F7" s="5">
        <f>ROUND(IFERROR(IF($B7&lt;=0,0,
MAX(-$B7, -(-PMT(InterestRate/PaymentsPerYear,LoanTerm*PaymentsPerYear,LoanAmount) + $E7))), 0), 2)</f>
        <v>-521.28</v>
      </c>
      <c r="G7" s="5">
        <f t="shared" si="2"/>
        <v>-521.28</v>
      </c>
      <c r="H7" s="5">
        <f t="shared" si="3"/>
        <v>16910.97</v>
      </c>
    </row>
    <row r="8" spans="1:11" x14ac:dyDescent="0.2">
      <c r="A8" s="2">
        <v>7</v>
      </c>
      <c r="B8" s="5">
        <f t="shared" si="0"/>
        <v>16910.97</v>
      </c>
      <c r="C8" s="5">
        <f t="shared" si="1"/>
        <v>-608.43999999999994</v>
      </c>
      <c r="D8" s="5"/>
      <c r="E8" s="5">
        <f>IF($B8 &lt;= 0, 0, -ROUND($B8 * (InterestRate / PaymentsPerYear), 2))</f>
        <v>-84.55</v>
      </c>
      <c r="F8" s="5">
        <f>ROUND(IFERROR(IF($B8&lt;=0,0,
MAX(-$B8, -(-PMT(InterestRate/PaymentsPerYear,LoanTerm*PaymentsPerYear,LoanAmount) + $E8))), 0), 2)</f>
        <v>-523.89</v>
      </c>
      <c r="G8" s="5">
        <f t="shared" si="2"/>
        <v>-523.89</v>
      </c>
      <c r="H8" s="5">
        <f t="shared" si="3"/>
        <v>16387.080000000002</v>
      </c>
    </row>
    <row r="9" spans="1:11" x14ac:dyDescent="0.2">
      <c r="A9" s="2">
        <v>8</v>
      </c>
      <c r="B9" s="5">
        <f t="shared" si="0"/>
        <v>16387.080000000002</v>
      </c>
      <c r="C9" s="5">
        <f t="shared" si="1"/>
        <v>-608.44000000000005</v>
      </c>
      <c r="D9" s="5"/>
      <c r="E9" s="5">
        <f>IF($B9 &lt;= 0, 0, -ROUND($B9 * (InterestRate / PaymentsPerYear), 2))</f>
        <v>-81.94</v>
      </c>
      <c r="F9" s="5">
        <f>ROUND(IFERROR(IF($B9&lt;=0,0,
MAX(-$B9, -(-PMT(InterestRate/PaymentsPerYear,LoanTerm*PaymentsPerYear,LoanAmount) + $E9))), 0), 2)</f>
        <v>-526.5</v>
      </c>
      <c r="G9" s="5">
        <f t="shared" si="2"/>
        <v>-526.5</v>
      </c>
      <c r="H9" s="5">
        <f t="shared" si="3"/>
        <v>15860.58</v>
      </c>
    </row>
    <row r="10" spans="1:11" x14ac:dyDescent="0.2">
      <c r="A10" s="2">
        <v>9</v>
      </c>
      <c r="B10" s="5">
        <f t="shared" si="0"/>
        <v>15860.58</v>
      </c>
      <c r="C10" s="5">
        <f t="shared" si="1"/>
        <v>-608.43999999999994</v>
      </c>
      <c r="D10" s="5"/>
      <c r="E10" s="5">
        <f>IF($B10 &lt;= 0, 0, -ROUND($B10 * (InterestRate / PaymentsPerYear), 2))</f>
        <v>-79.3</v>
      </c>
      <c r="F10" s="5">
        <f>ROUND(IFERROR(IF($B10&lt;=0,0,
MAX(-$B10, -(-PMT(InterestRate/PaymentsPerYear,LoanTerm*PaymentsPerYear,LoanAmount) + $E10))), 0), 2)</f>
        <v>-529.14</v>
      </c>
      <c r="G10" s="5">
        <f t="shared" si="2"/>
        <v>-529.14</v>
      </c>
      <c r="H10" s="5">
        <f t="shared" si="3"/>
        <v>15331.44</v>
      </c>
    </row>
    <row r="11" spans="1:11" x14ac:dyDescent="0.2">
      <c r="A11" s="2">
        <v>10</v>
      </c>
      <c r="B11" s="5">
        <f t="shared" si="0"/>
        <v>15331.44</v>
      </c>
      <c r="C11" s="5">
        <f t="shared" si="1"/>
        <v>-608.43999999999994</v>
      </c>
      <c r="D11" s="5"/>
      <c r="E11" s="5">
        <f>IF($B11 &lt;= 0, 0, -ROUND($B11 * (InterestRate / PaymentsPerYear), 2))</f>
        <v>-76.66</v>
      </c>
      <c r="F11" s="5">
        <f>ROUND(IFERROR(IF($B11&lt;=0,0,
MAX(-$B11, -(-PMT(InterestRate/PaymentsPerYear,LoanTerm*PaymentsPerYear,LoanAmount) + $E11))), 0), 2)</f>
        <v>-531.78</v>
      </c>
      <c r="G11" s="5">
        <f t="shared" si="2"/>
        <v>-531.78</v>
      </c>
      <c r="H11" s="5">
        <f t="shared" si="3"/>
        <v>14799.66</v>
      </c>
    </row>
    <row r="12" spans="1:11" x14ac:dyDescent="0.2">
      <c r="A12" s="2">
        <v>11</v>
      </c>
      <c r="B12" s="5">
        <f t="shared" si="0"/>
        <v>14799.66</v>
      </c>
      <c r="C12" s="5">
        <f t="shared" si="1"/>
        <v>-608.44000000000005</v>
      </c>
      <c r="D12" s="5"/>
      <c r="E12" s="5">
        <f>IF($B12 &lt;= 0, 0, -ROUND($B12 * (InterestRate / PaymentsPerYear), 2))</f>
        <v>-74</v>
      </c>
      <c r="F12" s="5">
        <f>ROUND(IFERROR(IF($B12&lt;=0,0,
MAX(-$B12, -(-PMT(InterestRate/PaymentsPerYear,LoanTerm*PaymentsPerYear,LoanAmount) + $E12))), 0), 2)</f>
        <v>-534.44000000000005</v>
      </c>
      <c r="G12" s="5">
        <f t="shared" si="2"/>
        <v>-534.44000000000005</v>
      </c>
      <c r="H12" s="5">
        <f t="shared" si="3"/>
        <v>14265.22</v>
      </c>
    </row>
    <row r="13" spans="1:11" x14ac:dyDescent="0.2">
      <c r="A13" s="2">
        <v>12</v>
      </c>
      <c r="B13" s="5">
        <f t="shared" si="0"/>
        <v>14265.22</v>
      </c>
      <c r="C13" s="5">
        <f t="shared" si="1"/>
        <v>-608.44000000000005</v>
      </c>
      <c r="D13" s="5"/>
      <c r="E13" s="5">
        <f>IF($B13 &lt;= 0, 0, -ROUND($B13 * (InterestRate / PaymentsPerYear), 2))</f>
        <v>-71.33</v>
      </c>
      <c r="F13" s="5">
        <f>ROUND(IFERROR(IF($B13&lt;=0,0,
MAX(-$B13, -(-PMT(InterestRate/PaymentsPerYear,LoanTerm*PaymentsPerYear,LoanAmount) + $E13))), 0), 2)</f>
        <v>-537.11</v>
      </c>
      <c r="G13" s="5">
        <f t="shared" si="2"/>
        <v>-537.11</v>
      </c>
      <c r="H13" s="5">
        <f t="shared" si="3"/>
        <v>13728.11</v>
      </c>
    </row>
    <row r="14" spans="1:11" x14ac:dyDescent="0.2">
      <c r="A14" s="2">
        <v>13</v>
      </c>
      <c r="B14" s="5">
        <f t="shared" si="0"/>
        <v>13728.11</v>
      </c>
      <c r="C14" s="5">
        <f t="shared" si="1"/>
        <v>-608.43999999999994</v>
      </c>
      <c r="D14" s="5"/>
      <c r="E14" s="5">
        <f>IF($B14 &lt;= 0, 0, -ROUND($B14 * (InterestRate / PaymentsPerYear), 2))</f>
        <v>-68.64</v>
      </c>
      <c r="F14" s="5">
        <f>ROUND(IFERROR(IF($B14&lt;=0,0,
MAX(-$B14, -(-PMT(InterestRate/PaymentsPerYear,LoanTerm*PaymentsPerYear,LoanAmount) + $E14))), 0), 2)</f>
        <v>-539.79999999999995</v>
      </c>
      <c r="G14" s="5">
        <f t="shared" si="2"/>
        <v>-539.79999999999995</v>
      </c>
      <c r="H14" s="5">
        <f t="shared" si="3"/>
        <v>13188.31</v>
      </c>
    </row>
    <row r="15" spans="1:11" x14ac:dyDescent="0.2">
      <c r="A15" s="2">
        <v>14</v>
      </c>
      <c r="B15" s="5">
        <f t="shared" si="0"/>
        <v>13188.31</v>
      </c>
      <c r="C15" s="5">
        <f t="shared" si="1"/>
        <v>-608.44000000000005</v>
      </c>
      <c r="D15" s="5"/>
      <c r="E15" s="5">
        <f>IF($B15 &lt;= 0, 0, -ROUND($B15 * (InterestRate / PaymentsPerYear), 2))</f>
        <v>-65.94</v>
      </c>
      <c r="F15" s="5">
        <f>ROUND(IFERROR(IF($B15&lt;=0,0,
MAX(-$B15, -(-PMT(InterestRate/PaymentsPerYear,LoanTerm*PaymentsPerYear,LoanAmount) + $E15))), 0), 2)</f>
        <v>-542.5</v>
      </c>
      <c r="G15" s="5">
        <f t="shared" si="2"/>
        <v>-542.5</v>
      </c>
      <c r="H15" s="5">
        <f t="shared" si="3"/>
        <v>12645.81</v>
      </c>
    </row>
    <row r="16" spans="1:11" x14ac:dyDescent="0.2">
      <c r="A16" s="2">
        <v>15</v>
      </c>
      <c r="B16" s="5">
        <f t="shared" si="0"/>
        <v>12645.81</v>
      </c>
      <c r="C16" s="5">
        <f t="shared" si="1"/>
        <v>-608.44000000000005</v>
      </c>
      <c r="D16" s="5"/>
      <c r="E16" s="5">
        <f>IF($B16 &lt;= 0, 0, -ROUND($B16 * (InterestRate / PaymentsPerYear), 2))</f>
        <v>-63.23</v>
      </c>
      <c r="F16" s="5">
        <f>ROUND(IFERROR(IF($B16&lt;=0,0,
MAX(-$B16, -(-PMT(InterestRate/PaymentsPerYear,LoanTerm*PaymentsPerYear,LoanAmount) + $E16))), 0), 2)</f>
        <v>-545.21</v>
      </c>
      <c r="G16" s="5">
        <f t="shared" si="2"/>
        <v>-545.21</v>
      </c>
      <c r="H16" s="5">
        <f t="shared" si="3"/>
        <v>12100.6</v>
      </c>
    </row>
    <row r="17" spans="1:8" x14ac:dyDescent="0.2">
      <c r="A17" s="2">
        <v>16</v>
      </c>
      <c r="B17" s="5">
        <f t="shared" si="0"/>
        <v>12100.6</v>
      </c>
      <c r="C17" s="5">
        <f t="shared" si="1"/>
        <v>-608.44000000000005</v>
      </c>
      <c r="D17" s="5"/>
      <c r="E17" s="5">
        <f>IF($B17 &lt;= 0, 0, -ROUND($B17 * (InterestRate / PaymentsPerYear), 2))</f>
        <v>-60.5</v>
      </c>
      <c r="F17" s="5">
        <f>ROUND(IFERROR(IF($B17&lt;=0,0,
MAX(-$B17, -(-PMT(InterestRate/PaymentsPerYear,LoanTerm*PaymentsPerYear,LoanAmount) + $E17))), 0), 2)</f>
        <v>-547.94000000000005</v>
      </c>
      <c r="G17" s="5">
        <f t="shared" si="2"/>
        <v>-547.94000000000005</v>
      </c>
      <c r="H17" s="5">
        <f t="shared" si="3"/>
        <v>11552.66</v>
      </c>
    </row>
    <row r="18" spans="1:8" x14ac:dyDescent="0.2">
      <c r="A18" s="2">
        <v>17</v>
      </c>
      <c r="B18" s="5">
        <f t="shared" si="0"/>
        <v>11552.66</v>
      </c>
      <c r="C18" s="5">
        <f t="shared" si="1"/>
        <v>-608.43999999999994</v>
      </c>
      <c r="D18" s="5"/>
      <c r="E18" s="5">
        <f>IF($B18 &lt;= 0, 0, -ROUND($B18 * (InterestRate / PaymentsPerYear), 2))</f>
        <v>-57.76</v>
      </c>
      <c r="F18" s="5">
        <f>ROUND(IFERROR(IF($B18&lt;=0,0,
MAX(-$B18, -(-PMT(InterestRate/PaymentsPerYear,LoanTerm*PaymentsPerYear,LoanAmount) + $E18))), 0), 2)</f>
        <v>-550.67999999999995</v>
      </c>
      <c r="G18" s="5">
        <f t="shared" si="2"/>
        <v>-550.67999999999995</v>
      </c>
      <c r="H18" s="5">
        <f t="shared" si="3"/>
        <v>11001.98</v>
      </c>
    </row>
    <row r="19" spans="1:8" x14ac:dyDescent="0.2">
      <c r="A19" s="2">
        <v>18</v>
      </c>
      <c r="B19" s="5">
        <f t="shared" si="0"/>
        <v>11001.98</v>
      </c>
      <c r="C19" s="5">
        <f t="shared" si="1"/>
        <v>-608.43999999999994</v>
      </c>
      <c r="D19" s="5"/>
      <c r="E19" s="5">
        <f>IF($B19 &lt;= 0, 0, -ROUND($B19 * (InterestRate / PaymentsPerYear), 2))</f>
        <v>-55.01</v>
      </c>
      <c r="F19" s="5">
        <f>ROUND(IFERROR(IF($B19&lt;=0,0,
MAX(-$B19, -(-PMT(InterestRate/PaymentsPerYear,LoanTerm*PaymentsPerYear,LoanAmount) + $E19))), 0), 2)</f>
        <v>-553.42999999999995</v>
      </c>
      <c r="G19" s="5">
        <f t="shared" si="2"/>
        <v>-553.42999999999995</v>
      </c>
      <c r="H19" s="5">
        <f t="shared" si="3"/>
        <v>10448.549999999999</v>
      </c>
    </row>
    <row r="20" spans="1:8" x14ac:dyDescent="0.2">
      <c r="A20" s="2">
        <v>19</v>
      </c>
      <c r="B20" s="5">
        <f t="shared" si="0"/>
        <v>10448.549999999999</v>
      </c>
      <c r="C20" s="5">
        <f t="shared" si="1"/>
        <v>-608.44000000000005</v>
      </c>
      <c r="D20" s="5"/>
      <c r="E20" s="5">
        <f>IF($B20 &lt;= 0, 0, -ROUND($B20 * (InterestRate / PaymentsPerYear), 2))</f>
        <v>-52.24</v>
      </c>
      <c r="F20" s="5">
        <f>ROUND(IFERROR(IF($B20&lt;=0,0,
MAX(-$B20, -(-PMT(InterestRate/PaymentsPerYear,LoanTerm*PaymentsPerYear,LoanAmount) + $E20))), 0), 2)</f>
        <v>-556.20000000000005</v>
      </c>
      <c r="G20" s="5">
        <f t="shared" si="2"/>
        <v>-556.20000000000005</v>
      </c>
      <c r="H20" s="5">
        <f t="shared" si="3"/>
        <v>9892.35</v>
      </c>
    </row>
    <row r="21" spans="1:8" x14ac:dyDescent="0.2">
      <c r="A21" s="2">
        <v>20</v>
      </c>
      <c r="B21" s="5">
        <f t="shared" si="0"/>
        <v>9892.35</v>
      </c>
      <c r="C21" s="5">
        <f t="shared" si="1"/>
        <v>-608.44000000000005</v>
      </c>
      <c r="D21" s="5"/>
      <c r="E21" s="5">
        <f>IF($B21 &lt;= 0, 0, -ROUND($B21 * (InterestRate / PaymentsPerYear), 2))</f>
        <v>-49.46</v>
      </c>
      <c r="F21" s="5">
        <f>ROUND(IFERROR(IF($B21&lt;=0,0,
MAX(-$B21, -(-PMT(InterestRate/PaymentsPerYear,LoanTerm*PaymentsPerYear,LoanAmount) + $E21))), 0), 2)</f>
        <v>-558.98</v>
      </c>
      <c r="G21" s="5">
        <f t="shared" si="2"/>
        <v>-558.98</v>
      </c>
      <c r="H21" s="5">
        <f t="shared" si="3"/>
        <v>9333.3700000000008</v>
      </c>
    </row>
    <row r="22" spans="1:8" x14ac:dyDescent="0.2">
      <c r="A22" s="2">
        <v>21</v>
      </c>
      <c r="B22" s="5">
        <f t="shared" si="0"/>
        <v>9333.3700000000008</v>
      </c>
      <c r="C22" s="5">
        <f t="shared" si="1"/>
        <v>-608.43999999999994</v>
      </c>
      <c r="D22" s="5"/>
      <c r="E22" s="5">
        <f>IF($B22 &lt;= 0, 0, -ROUND($B22 * (InterestRate / PaymentsPerYear), 2))</f>
        <v>-46.67</v>
      </c>
      <c r="F22" s="5">
        <f>ROUND(IFERROR(IF($B22&lt;=0,0,
MAX(-$B22, -(-PMT(InterestRate/PaymentsPerYear,LoanTerm*PaymentsPerYear,LoanAmount) + $E22))), 0), 2)</f>
        <v>-561.77</v>
      </c>
      <c r="G22" s="5">
        <f t="shared" si="2"/>
        <v>-561.77</v>
      </c>
      <c r="H22" s="5">
        <f t="shared" si="3"/>
        <v>8771.6</v>
      </c>
    </row>
    <row r="23" spans="1:8" x14ac:dyDescent="0.2">
      <c r="A23" s="2">
        <v>22</v>
      </c>
      <c r="B23" s="5">
        <f t="shared" si="0"/>
        <v>8771.6</v>
      </c>
      <c r="C23" s="5">
        <f t="shared" si="1"/>
        <v>-608.44000000000005</v>
      </c>
      <c r="D23" s="5"/>
      <c r="E23" s="5">
        <f>IF($B23 &lt;= 0, 0, -ROUND($B23 * (InterestRate / PaymentsPerYear), 2))</f>
        <v>-43.86</v>
      </c>
      <c r="F23" s="5">
        <f>ROUND(IFERROR(IF($B23&lt;=0,0,
MAX(-$B23, -(-PMT(InterestRate/PaymentsPerYear,LoanTerm*PaymentsPerYear,LoanAmount) + $E23))), 0), 2)</f>
        <v>-564.58000000000004</v>
      </c>
      <c r="G23" s="5">
        <f t="shared" si="2"/>
        <v>-564.58000000000004</v>
      </c>
      <c r="H23" s="5">
        <f t="shared" si="3"/>
        <v>8207.02</v>
      </c>
    </row>
    <row r="24" spans="1:8" x14ac:dyDescent="0.2">
      <c r="A24" s="2">
        <v>23</v>
      </c>
      <c r="B24" s="5">
        <f t="shared" si="0"/>
        <v>8207.02</v>
      </c>
      <c r="C24" s="5">
        <f t="shared" si="1"/>
        <v>-608.43999999999994</v>
      </c>
      <c r="D24" s="5"/>
      <c r="E24" s="5">
        <f>IF($B24 &lt;= 0, 0, -ROUND($B24 * (InterestRate / PaymentsPerYear), 2))</f>
        <v>-41.04</v>
      </c>
      <c r="F24" s="5">
        <f>ROUND(IFERROR(IF($B24&lt;=0,0,
MAX(-$B24, -(-PMT(InterestRate/PaymentsPerYear,LoanTerm*PaymentsPerYear,LoanAmount) + $E24))), 0), 2)</f>
        <v>-567.4</v>
      </c>
      <c r="G24" s="5">
        <f t="shared" si="2"/>
        <v>-567.4</v>
      </c>
      <c r="H24" s="5">
        <f t="shared" si="3"/>
        <v>7639.62</v>
      </c>
    </row>
    <row r="25" spans="1:8" x14ac:dyDescent="0.2">
      <c r="A25" s="2">
        <v>24</v>
      </c>
      <c r="B25" s="5">
        <f t="shared" si="0"/>
        <v>7639.62</v>
      </c>
      <c r="C25" s="5">
        <f t="shared" si="1"/>
        <v>-608.44000000000005</v>
      </c>
      <c r="D25" s="5"/>
      <c r="E25" s="5">
        <f>IF($B25 &lt;= 0, 0, -ROUND($B25 * (InterestRate / PaymentsPerYear), 2))</f>
        <v>-38.200000000000003</v>
      </c>
      <c r="F25" s="5">
        <f>ROUND(IFERROR(IF($B25&lt;=0,0,
MAX(-$B25, -(-PMT(InterestRate/PaymentsPerYear,LoanTerm*PaymentsPerYear,LoanAmount) + $E25))), 0), 2)</f>
        <v>-570.24</v>
      </c>
      <c r="G25" s="5">
        <f t="shared" si="2"/>
        <v>-570.24</v>
      </c>
      <c r="H25" s="5">
        <f t="shared" si="3"/>
        <v>7069.38</v>
      </c>
    </row>
    <row r="26" spans="1:8" x14ac:dyDescent="0.2">
      <c r="A26" s="2">
        <v>25</v>
      </c>
      <c r="B26" s="5">
        <f t="shared" si="0"/>
        <v>7069.38</v>
      </c>
      <c r="C26" s="5">
        <f t="shared" si="1"/>
        <v>-608.44000000000005</v>
      </c>
      <c r="D26" s="5"/>
      <c r="E26" s="5">
        <f>IF($B26 &lt;= 0, 0, -ROUND($B26 * (InterestRate / PaymentsPerYear), 2))</f>
        <v>-35.35</v>
      </c>
      <c r="F26" s="5">
        <f>ROUND(IFERROR(IF($B26&lt;=0,0,
MAX(-$B26, -(-PMT(InterestRate/PaymentsPerYear,LoanTerm*PaymentsPerYear,LoanAmount) + $E26))), 0), 2)</f>
        <v>-573.09</v>
      </c>
      <c r="G26" s="5">
        <f t="shared" si="2"/>
        <v>-573.09</v>
      </c>
      <c r="H26" s="5">
        <f t="shared" si="3"/>
        <v>6496.29</v>
      </c>
    </row>
    <row r="27" spans="1:8" x14ac:dyDescent="0.2">
      <c r="A27" s="2">
        <v>26</v>
      </c>
      <c r="B27" s="5">
        <f t="shared" si="0"/>
        <v>6496.29</v>
      </c>
      <c r="C27" s="5">
        <f t="shared" si="1"/>
        <v>-608.44000000000005</v>
      </c>
      <c r="D27" s="5"/>
      <c r="E27" s="5">
        <f>IF($B27 &lt;= 0, 0, -ROUND($B27 * (InterestRate / PaymentsPerYear), 2))</f>
        <v>-32.479999999999997</v>
      </c>
      <c r="F27" s="5">
        <f>ROUND(IFERROR(IF($B27&lt;=0,0,
MAX(-$B27, -(-PMT(InterestRate/PaymentsPerYear,LoanTerm*PaymentsPerYear,LoanAmount) + $E27))), 0), 2)</f>
        <v>-575.96</v>
      </c>
      <c r="G27" s="5">
        <f t="shared" si="2"/>
        <v>-575.96</v>
      </c>
      <c r="H27" s="5">
        <f t="shared" si="3"/>
        <v>5920.33</v>
      </c>
    </row>
    <row r="28" spans="1:8" x14ac:dyDescent="0.2">
      <c r="A28" s="2">
        <v>27</v>
      </c>
      <c r="B28" s="5">
        <f t="shared" si="0"/>
        <v>5920.33</v>
      </c>
      <c r="C28" s="5">
        <f t="shared" si="1"/>
        <v>-608.44000000000005</v>
      </c>
      <c r="D28" s="5"/>
      <c r="E28" s="5">
        <f>IF($B28 &lt;= 0, 0, -ROUND($B28 * (InterestRate / PaymentsPerYear), 2))</f>
        <v>-29.6</v>
      </c>
      <c r="F28" s="5">
        <f>ROUND(IFERROR(IF($B28&lt;=0,0,
MAX(-$B28, -(-PMT(InterestRate/PaymentsPerYear,LoanTerm*PaymentsPerYear,LoanAmount) + $E28))), 0), 2)</f>
        <v>-578.84</v>
      </c>
      <c r="G28" s="5">
        <f t="shared" si="2"/>
        <v>-578.84</v>
      </c>
      <c r="H28" s="5">
        <f t="shared" si="3"/>
        <v>5341.49</v>
      </c>
    </row>
    <row r="29" spans="1:8" x14ac:dyDescent="0.2">
      <c r="A29" s="2">
        <v>28</v>
      </c>
      <c r="B29" s="5">
        <f t="shared" si="0"/>
        <v>5341.49</v>
      </c>
      <c r="C29" s="5">
        <f t="shared" si="1"/>
        <v>-608.44000000000005</v>
      </c>
      <c r="D29" s="5"/>
      <c r="E29" s="5">
        <f>IF($B29 &lt;= 0, 0, -ROUND($B29 * (InterestRate / PaymentsPerYear), 2))</f>
        <v>-26.71</v>
      </c>
      <c r="F29" s="5">
        <f>ROUND(IFERROR(IF($B29&lt;=0,0,
MAX(-$B29, -(-PMT(InterestRate/PaymentsPerYear,LoanTerm*PaymentsPerYear,LoanAmount) + $E29))), 0), 2)</f>
        <v>-581.73</v>
      </c>
      <c r="G29" s="5">
        <f t="shared" si="2"/>
        <v>-581.73</v>
      </c>
      <c r="H29" s="5">
        <f t="shared" si="3"/>
        <v>4759.76</v>
      </c>
    </row>
    <row r="30" spans="1:8" x14ac:dyDescent="0.2">
      <c r="A30" s="2">
        <v>29</v>
      </c>
      <c r="B30" s="5">
        <f t="shared" si="0"/>
        <v>4759.76</v>
      </c>
      <c r="C30" s="5">
        <f t="shared" si="1"/>
        <v>-608.43999999999994</v>
      </c>
      <c r="D30" s="5"/>
      <c r="E30" s="5">
        <f>IF($B30 &lt;= 0, 0, -ROUND($B30 * (InterestRate / PaymentsPerYear), 2))</f>
        <v>-23.8</v>
      </c>
      <c r="F30" s="5">
        <f>ROUND(IFERROR(IF($B30&lt;=0,0,
MAX(-$B30, -(-PMT(InterestRate/PaymentsPerYear,LoanTerm*PaymentsPerYear,LoanAmount) + $E30))), 0), 2)</f>
        <v>-584.64</v>
      </c>
      <c r="G30" s="5">
        <f t="shared" si="2"/>
        <v>-584.64</v>
      </c>
      <c r="H30" s="5">
        <f t="shared" si="3"/>
        <v>4175.12</v>
      </c>
    </row>
    <row r="31" spans="1:8" x14ac:dyDescent="0.2">
      <c r="A31" s="2">
        <v>30</v>
      </c>
      <c r="B31" s="5">
        <f t="shared" si="0"/>
        <v>4175.12</v>
      </c>
      <c r="C31" s="5">
        <f t="shared" si="1"/>
        <v>-608.43999999999994</v>
      </c>
      <c r="D31" s="5"/>
      <c r="E31" s="5">
        <f>IF($B31 &lt;= 0, 0, -ROUND($B31 * (InterestRate / PaymentsPerYear), 2))</f>
        <v>-20.88</v>
      </c>
      <c r="F31" s="5">
        <f>ROUND(IFERROR(IF($B31&lt;=0,0,
MAX(-$B31, -(-PMT(InterestRate/PaymentsPerYear,LoanTerm*PaymentsPerYear,LoanAmount) + $E31))), 0), 2)</f>
        <v>-587.55999999999995</v>
      </c>
      <c r="G31" s="5">
        <f t="shared" si="2"/>
        <v>-587.55999999999995</v>
      </c>
      <c r="H31" s="5">
        <f t="shared" si="3"/>
        <v>3587.56</v>
      </c>
    </row>
    <row r="32" spans="1:8" x14ac:dyDescent="0.2">
      <c r="A32" s="2">
        <v>31</v>
      </c>
      <c r="B32" s="5">
        <f t="shared" si="0"/>
        <v>3587.56</v>
      </c>
      <c r="C32" s="5">
        <f t="shared" si="1"/>
        <v>-608.44000000000005</v>
      </c>
      <c r="D32" s="5"/>
      <c r="E32" s="5">
        <f>IF($B32 &lt;= 0, 0, -ROUND($B32 * (InterestRate / PaymentsPerYear), 2))</f>
        <v>-17.940000000000001</v>
      </c>
      <c r="F32" s="5">
        <f>ROUND(IFERROR(IF($B32&lt;=0,0,
MAX(-$B32, -(-PMT(InterestRate/PaymentsPerYear,LoanTerm*PaymentsPerYear,LoanAmount) + $E32))), 0), 2)</f>
        <v>-590.5</v>
      </c>
      <c r="G32" s="5">
        <f t="shared" si="2"/>
        <v>-590.5</v>
      </c>
      <c r="H32" s="5">
        <f t="shared" si="3"/>
        <v>2997.06</v>
      </c>
    </row>
    <row r="33" spans="1:8" x14ac:dyDescent="0.2">
      <c r="A33" s="2">
        <v>32</v>
      </c>
      <c r="B33" s="5">
        <f t="shared" si="0"/>
        <v>2997.06</v>
      </c>
      <c r="C33" s="5">
        <f t="shared" si="1"/>
        <v>-608.44000000000005</v>
      </c>
      <c r="D33" s="5"/>
      <c r="E33" s="5">
        <f>IF($B33 &lt;= 0, 0, -ROUND($B33 * (InterestRate / PaymentsPerYear), 2))</f>
        <v>-14.99</v>
      </c>
      <c r="F33" s="5">
        <f>ROUND(IFERROR(IF($B33&lt;=0,0,
MAX(-$B33, -(-PMT(InterestRate/PaymentsPerYear,LoanTerm*PaymentsPerYear,LoanAmount) + $E33))), 0), 2)</f>
        <v>-593.45000000000005</v>
      </c>
      <c r="G33" s="5">
        <f t="shared" si="2"/>
        <v>-593.45000000000005</v>
      </c>
      <c r="H33" s="5">
        <f t="shared" si="3"/>
        <v>2403.61</v>
      </c>
    </row>
    <row r="34" spans="1:8" x14ac:dyDescent="0.2">
      <c r="A34" s="2">
        <v>33</v>
      </c>
      <c r="B34" s="5">
        <f t="shared" si="0"/>
        <v>2403.61</v>
      </c>
      <c r="C34" s="5">
        <f t="shared" si="1"/>
        <v>-608.43999999999994</v>
      </c>
      <c r="D34" s="5"/>
      <c r="E34" s="5">
        <f>IF($B34 &lt;= 0, 0, -ROUND($B34 * (InterestRate / PaymentsPerYear), 2))</f>
        <v>-12.02</v>
      </c>
      <c r="F34" s="5">
        <f>ROUND(IFERROR(IF($B34&lt;=0,0,
MAX(-$B34, -(-PMT(InterestRate/PaymentsPerYear,LoanTerm*PaymentsPerYear,LoanAmount) + $E34))), 0), 2)</f>
        <v>-596.41999999999996</v>
      </c>
      <c r="G34" s="5">
        <f t="shared" si="2"/>
        <v>-596.41999999999996</v>
      </c>
      <c r="H34" s="5">
        <f t="shared" si="3"/>
        <v>1807.19</v>
      </c>
    </row>
    <row r="35" spans="1:8" x14ac:dyDescent="0.2">
      <c r="A35" s="2">
        <v>34</v>
      </c>
      <c r="B35" s="5">
        <f t="shared" si="0"/>
        <v>1807.19</v>
      </c>
      <c r="C35" s="5">
        <f t="shared" si="1"/>
        <v>-608.43999999999994</v>
      </c>
      <c r="D35" s="5"/>
      <c r="E35" s="5">
        <f>IF($B35 &lt;= 0, 0, -ROUND($B35 * (InterestRate / PaymentsPerYear), 2))</f>
        <v>-9.0399999999999991</v>
      </c>
      <c r="F35" s="5">
        <f>ROUND(IFERROR(IF($B35&lt;=0,0,
MAX(-$B35, -(-PMT(InterestRate/PaymentsPerYear,LoanTerm*PaymentsPerYear,LoanAmount) + $E35))), 0), 2)</f>
        <v>-599.4</v>
      </c>
      <c r="G35" s="5">
        <f t="shared" si="2"/>
        <v>-599.4</v>
      </c>
      <c r="H35" s="5">
        <f t="shared" si="3"/>
        <v>1207.79</v>
      </c>
    </row>
    <row r="36" spans="1:8" x14ac:dyDescent="0.2">
      <c r="A36" s="2">
        <v>35</v>
      </c>
      <c r="B36" s="5">
        <f t="shared" si="0"/>
        <v>1207.79</v>
      </c>
      <c r="C36" s="5">
        <f t="shared" si="1"/>
        <v>-608.43999999999994</v>
      </c>
      <c r="D36" s="5"/>
      <c r="E36" s="5">
        <f>IF($B36 &lt;= 0, 0, -ROUND($B36 * (InterestRate / PaymentsPerYear), 2))</f>
        <v>-6.04</v>
      </c>
      <c r="F36" s="5">
        <f>ROUND(IFERROR(IF($B36&lt;=0,0,
MAX(-$B36, -(-PMT(InterestRate/PaymentsPerYear,LoanTerm*PaymentsPerYear,LoanAmount) + $E36))), 0), 2)</f>
        <v>-602.4</v>
      </c>
      <c r="G36" s="5">
        <f t="shared" si="2"/>
        <v>-602.4</v>
      </c>
      <c r="H36" s="5">
        <f t="shared" si="3"/>
        <v>605.39</v>
      </c>
    </row>
    <row r="37" spans="1:8" x14ac:dyDescent="0.2">
      <c r="A37" s="2">
        <v>36</v>
      </c>
      <c r="B37" s="5">
        <f t="shared" si="0"/>
        <v>605.39</v>
      </c>
      <c r="C37" s="5">
        <f t="shared" si="1"/>
        <v>-608.41999999999996</v>
      </c>
      <c r="D37" s="5"/>
      <c r="E37" s="5">
        <f>IF($B37 &lt;= 0, 0, -ROUND($B37 * (InterestRate / PaymentsPerYear), 2))</f>
        <v>-3.03</v>
      </c>
      <c r="F37" s="5">
        <f>ROUND(IFERROR(IF($B37&lt;=0,0,
MAX(-$B37, -(-PMT(InterestRate/PaymentsPerYear,LoanTerm*PaymentsPerYear,LoanAmount) + $E37))), 0), 2)</f>
        <v>-605.39</v>
      </c>
      <c r="G37" s="5">
        <f t="shared" si="2"/>
        <v>-605.39</v>
      </c>
      <c r="H37" s="5">
        <f t="shared" si="3"/>
        <v>0</v>
      </c>
    </row>
    <row r="38" spans="1:8" x14ac:dyDescent="0.2">
      <c r="A38" s="2">
        <v>37</v>
      </c>
      <c r="B38" s="5">
        <f t="shared" si="0"/>
        <v>0</v>
      </c>
      <c r="C38" s="5">
        <f t="shared" si="1"/>
        <v>0</v>
      </c>
      <c r="D38" s="5"/>
      <c r="E38" s="5">
        <f>IF($B38 &lt;= 0, 0, -ROUND($B38 * (InterestRate / PaymentsPerYear), 2))</f>
        <v>0</v>
      </c>
      <c r="F38" s="5">
        <f>ROUND(IFERROR(IF($B38&lt;=0,0,
MAX(-$B38, -(-PMT(InterestRate/PaymentsPerYear,LoanTerm*PaymentsPerYear,LoanAmount) + $E38))), 0), 2)</f>
        <v>0</v>
      </c>
      <c r="G38" s="5">
        <f t="shared" si="2"/>
        <v>0</v>
      </c>
      <c r="H38" s="5">
        <f t="shared" si="3"/>
        <v>0</v>
      </c>
    </row>
    <row r="39" spans="1:8" x14ac:dyDescent="0.2">
      <c r="A39" s="2">
        <v>38</v>
      </c>
      <c r="B39" s="5">
        <f t="shared" si="0"/>
        <v>0</v>
      </c>
      <c r="C39" s="5">
        <f t="shared" si="1"/>
        <v>0</v>
      </c>
      <c r="D39" s="5"/>
      <c r="E39" s="5">
        <f>IF($B39 &lt;= 0, 0, -ROUND($B39 * (InterestRate / PaymentsPerYear), 2))</f>
        <v>0</v>
      </c>
      <c r="F39" s="5">
        <f>ROUND(IFERROR(IF($B39&lt;=0,0,
MAX(-$B39, -(-PMT(InterestRate/PaymentsPerYear,LoanTerm*PaymentsPerYear,LoanAmount) + $E39))), 0), 2)</f>
        <v>0</v>
      </c>
      <c r="G39" s="5">
        <f t="shared" si="2"/>
        <v>0</v>
      </c>
      <c r="H39" s="5">
        <f t="shared" si="3"/>
        <v>0</v>
      </c>
    </row>
    <row r="40" spans="1:8" x14ac:dyDescent="0.2">
      <c r="A40" s="2">
        <v>39</v>
      </c>
      <c r="B40" s="5">
        <f t="shared" si="0"/>
        <v>0</v>
      </c>
      <c r="C40" s="5">
        <f t="shared" si="1"/>
        <v>0</v>
      </c>
      <c r="D40" s="5"/>
      <c r="E40" s="5">
        <f>IF($B40 &lt;= 0, 0, -ROUND($B40 * (InterestRate / PaymentsPerYear), 2))</f>
        <v>0</v>
      </c>
      <c r="F40" s="5">
        <f>ROUND(IFERROR(IF($B40&lt;=0,0,
MAX(-$B40, -(-PMT(InterestRate/PaymentsPerYear,LoanTerm*PaymentsPerYear,LoanAmount) + $E40))), 0), 2)</f>
        <v>0</v>
      </c>
      <c r="G40" s="5">
        <f t="shared" si="2"/>
        <v>0</v>
      </c>
      <c r="H40" s="5">
        <f t="shared" si="3"/>
        <v>0</v>
      </c>
    </row>
    <row r="41" spans="1:8" x14ac:dyDescent="0.2">
      <c r="A41" s="2">
        <v>40</v>
      </c>
      <c r="B41" s="5">
        <f t="shared" si="0"/>
        <v>0</v>
      </c>
      <c r="C41" s="5">
        <f t="shared" si="1"/>
        <v>0</v>
      </c>
      <c r="D41" s="5"/>
      <c r="E41" s="5">
        <f>IF($B41 &lt;= 0, 0, -ROUND($B41 * (InterestRate / PaymentsPerYear), 2))</f>
        <v>0</v>
      </c>
      <c r="F41" s="5">
        <f>ROUND(IFERROR(IF($B41&lt;=0,0,
MAX(-$B41, -(-PMT(InterestRate/PaymentsPerYear,LoanTerm*PaymentsPerYear,LoanAmount) + $E41))), 0), 2)</f>
        <v>0</v>
      </c>
      <c r="G41" s="5">
        <f t="shared" si="2"/>
        <v>0</v>
      </c>
      <c r="H41" s="5">
        <f t="shared" si="3"/>
        <v>0</v>
      </c>
    </row>
    <row r="42" spans="1:8" x14ac:dyDescent="0.2">
      <c r="A42" s="2">
        <v>41</v>
      </c>
      <c r="B42" s="5">
        <f t="shared" si="0"/>
        <v>0</v>
      </c>
      <c r="C42" s="5">
        <f t="shared" si="1"/>
        <v>0</v>
      </c>
      <c r="D42" s="5"/>
      <c r="E42" s="5">
        <f>IF($B42 &lt;= 0, 0, -ROUND($B42 * (InterestRate / PaymentsPerYear), 2))</f>
        <v>0</v>
      </c>
      <c r="F42" s="5">
        <f>ROUND(IFERROR(IF($B42&lt;=0,0,
MAX(-$B42, -(-PMT(InterestRate/PaymentsPerYear,LoanTerm*PaymentsPerYear,LoanAmount) + $E42))), 0), 2)</f>
        <v>0</v>
      </c>
      <c r="G42" s="5">
        <f t="shared" si="2"/>
        <v>0</v>
      </c>
      <c r="H42" s="5">
        <f t="shared" si="3"/>
        <v>0</v>
      </c>
    </row>
    <row r="43" spans="1:8" x14ac:dyDescent="0.2">
      <c r="A43" s="2">
        <v>42</v>
      </c>
      <c r="B43" s="5">
        <f t="shared" si="0"/>
        <v>0</v>
      </c>
      <c r="C43" s="5">
        <f t="shared" si="1"/>
        <v>0</v>
      </c>
      <c r="D43" s="5"/>
      <c r="E43" s="5">
        <f>IF($B43 &lt;= 0, 0, -ROUND($B43 * (InterestRate / PaymentsPerYear), 2))</f>
        <v>0</v>
      </c>
      <c r="F43" s="5">
        <f>ROUND(IFERROR(IF($B43&lt;=0,0,
MAX(-$B43, -(-PMT(InterestRate/PaymentsPerYear,LoanTerm*PaymentsPerYear,LoanAmount) + $E43))), 0), 2)</f>
        <v>0</v>
      </c>
      <c r="G43" s="5">
        <f t="shared" si="2"/>
        <v>0</v>
      </c>
      <c r="H43" s="5">
        <f t="shared" si="3"/>
        <v>0</v>
      </c>
    </row>
    <row r="44" spans="1:8" x14ac:dyDescent="0.2">
      <c r="A44" s="2">
        <v>43</v>
      </c>
      <c r="B44" s="5">
        <f t="shared" si="0"/>
        <v>0</v>
      </c>
      <c r="C44" s="5">
        <f t="shared" si="1"/>
        <v>0</v>
      </c>
      <c r="D44" s="5"/>
      <c r="E44" s="5">
        <f>IF($B44 &lt;= 0, 0, -ROUND($B44 * (InterestRate / PaymentsPerYear), 2))</f>
        <v>0</v>
      </c>
      <c r="F44" s="5">
        <f>ROUND(IFERROR(IF($B44&lt;=0,0,
MAX(-$B44, -(-PMT(InterestRate/PaymentsPerYear,LoanTerm*PaymentsPerYear,LoanAmount) + $E44))), 0), 2)</f>
        <v>0</v>
      </c>
      <c r="G44" s="5">
        <f t="shared" si="2"/>
        <v>0</v>
      </c>
      <c r="H44" s="5">
        <f t="shared" si="3"/>
        <v>0</v>
      </c>
    </row>
    <row r="45" spans="1:8" x14ac:dyDescent="0.2">
      <c r="A45" s="2">
        <v>44</v>
      </c>
      <c r="B45" s="5">
        <f t="shared" si="0"/>
        <v>0</v>
      </c>
      <c r="C45" s="5">
        <f t="shared" si="1"/>
        <v>0</v>
      </c>
      <c r="D45" s="5"/>
      <c r="E45" s="5">
        <f>IF($B45 &lt;= 0, 0, -ROUND($B45 * (InterestRate / PaymentsPerYear), 2))</f>
        <v>0</v>
      </c>
      <c r="F45" s="5">
        <f>ROUND(IFERROR(IF($B45&lt;=0,0,
MAX(-$B45, -(-PMT(InterestRate/PaymentsPerYear,LoanTerm*PaymentsPerYear,LoanAmount) + $E45))), 0), 2)</f>
        <v>0</v>
      </c>
      <c r="G45" s="5">
        <f t="shared" si="2"/>
        <v>0</v>
      </c>
      <c r="H45" s="5">
        <f t="shared" si="3"/>
        <v>0</v>
      </c>
    </row>
    <row r="46" spans="1:8" x14ac:dyDescent="0.2">
      <c r="A46" s="2">
        <v>45</v>
      </c>
      <c r="B46" s="5">
        <f t="shared" si="0"/>
        <v>0</v>
      </c>
      <c r="C46" s="5">
        <f t="shared" si="1"/>
        <v>0</v>
      </c>
      <c r="D46" s="5"/>
      <c r="E46" s="5">
        <f>IF($B46 &lt;= 0, 0, -ROUND($B46 * (InterestRate / PaymentsPerYear), 2))</f>
        <v>0</v>
      </c>
      <c r="F46" s="5">
        <f>ROUND(IFERROR(IF($B46&lt;=0,0,
MAX(-$B46, -(-PMT(InterestRate/PaymentsPerYear,LoanTerm*PaymentsPerYear,LoanAmount) + $E46))), 0), 2)</f>
        <v>0</v>
      </c>
      <c r="G46" s="5">
        <f t="shared" si="2"/>
        <v>0</v>
      </c>
      <c r="H46" s="5">
        <f t="shared" si="3"/>
        <v>0</v>
      </c>
    </row>
    <row r="47" spans="1:8" x14ac:dyDescent="0.2">
      <c r="A47" s="2">
        <v>46</v>
      </c>
      <c r="B47" s="5">
        <f t="shared" si="0"/>
        <v>0</v>
      </c>
      <c r="C47" s="5">
        <f t="shared" si="1"/>
        <v>0</v>
      </c>
      <c r="D47" s="5"/>
      <c r="E47" s="5">
        <f>IF($B47 &lt;= 0, 0, -ROUND($B47 * (InterestRate / PaymentsPerYear), 2))</f>
        <v>0</v>
      </c>
      <c r="F47" s="5">
        <f>ROUND(IFERROR(IF($B47&lt;=0,0,
MAX(-$B47, -(-PMT(InterestRate/PaymentsPerYear,LoanTerm*PaymentsPerYear,LoanAmount) + $E47))), 0), 2)</f>
        <v>0</v>
      </c>
      <c r="G47" s="5">
        <f t="shared" si="2"/>
        <v>0</v>
      </c>
      <c r="H47" s="5">
        <f t="shared" si="3"/>
        <v>0</v>
      </c>
    </row>
    <row r="48" spans="1:8" x14ac:dyDescent="0.2">
      <c r="A48" s="2">
        <v>47</v>
      </c>
      <c r="B48" s="5">
        <f t="shared" si="0"/>
        <v>0</v>
      </c>
      <c r="C48" s="5">
        <f t="shared" si="1"/>
        <v>0</v>
      </c>
      <c r="D48" s="5"/>
      <c r="E48" s="5">
        <f>IF($B48 &lt;= 0, 0, -ROUND($B48 * (InterestRate / PaymentsPerYear), 2))</f>
        <v>0</v>
      </c>
      <c r="F48" s="5">
        <f>ROUND(IFERROR(IF($B48&lt;=0,0,
MAX(-$B48, -(-PMT(InterestRate/PaymentsPerYear,LoanTerm*PaymentsPerYear,LoanAmount) + $E48))), 0), 2)</f>
        <v>0</v>
      </c>
      <c r="G48" s="5">
        <f t="shared" si="2"/>
        <v>0</v>
      </c>
      <c r="H48" s="5">
        <f t="shared" si="3"/>
        <v>0</v>
      </c>
    </row>
    <row r="49" spans="1:8" x14ac:dyDescent="0.2">
      <c r="A49" s="2">
        <v>48</v>
      </c>
      <c r="B49" s="5">
        <f t="shared" si="0"/>
        <v>0</v>
      </c>
      <c r="C49" s="5">
        <f t="shared" si="1"/>
        <v>0</v>
      </c>
      <c r="D49" s="5"/>
      <c r="E49" s="5">
        <f>IF($B49 &lt;= 0, 0, -ROUND($B49 * (InterestRate / PaymentsPerYear), 2))</f>
        <v>0</v>
      </c>
      <c r="F49" s="5">
        <f>ROUND(IFERROR(IF($B49&lt;=0,0,
MAX(-$B49, -(-PMT(InterestRate/PaymentsPerYear,LoanTerm*PaymentsPerYear,LoanAmount) + $E49))), 0), 2)</f>
        <v>0</v>
      </c>
      <c r="G49" s="5">
        <f t="shared" si="2"/>
        <v>0</v>
      </c>
      <c r="H49" s="5">
        <f t="shared" si="3"/>
        <v>0</v>
      </c>
    </row>
    <row r="50" spans="1:8" x14ac:dyDescent="0.2">
      <c r="A50" s="2">
        <v>49</v>
      </c>
      <c r="B50" s="5">
        <f t="shared" si="0"/>
        <v>0</v>
      </c>
      <c r="C50" s="5">
        <f t="shared" si="1"/>
        <v>0</v>
      </c>
      <c r="D50" s="5"/>
      <c r="E50" s="5">
        <f>IF($B50 &lt;= 0, 0, -ROUND($B50 * (InterestRate / PaymentsPerYear), 2))</f>
        <v>0</v>
      </c>
      <c r="F50" s="5">
        <f>ROUND(IFERROR(IF($B50&lt;=0,0,
MAX(-$B50, -(-PMT(InterestRate/PaymentsPerYear,LoanTerm*PaymentsPerYear,LoanAmount) + $E50))), 0), 2)</f>
        <v>0</v>
      </c>
      <c r="G50" s="5">
        <f t="shared" si="2"/>
        <v>0</v>
      </c>
      <c r="H50" s="5">
        <f t="shared" si="3"/>
        <v>0</v>
      </c>
    </row>
    <row r="51" spans="1:8" x14ac:dyDescent="0.2">
      <c r="A51" s="2">
        <v>50</v>
      </c>
      <c r="B51" s="5">
        <f t="shared" si="0"/>
        <v>0</v>
      </c>
      <c r="C51" s="5">
        <f t="shared" si="1"/>
        <v>0</v>
      </c>
      <c r="D51" s="5"/>
      <c r="E51" s="5">
        <f>IF($B51 &lt;= 0, 0, -ROUND($B51 * (InterestRate / PaymentsPerYear), 2))</f>
        <v>0</v>
      </c>
      <c r="F51" s="5">
        <f>ROUND(IFERROR(IF($B51&lt;=0,0,
MAX(-$B51, -(-PMT(InterestRate/PaymentsPerYear,LoanTerm*PaymentsPerYear,LoanAmount) + $E51))), 0), 2)</f>
        <v>0</v>
      </c>
      <c r="G51" s="5">
        <f t="shared" si="2"/>
        <v>0</v>
      </c>
      <c r="H51" s="5">
        <f t="shared" si="3"/>
        <v>0</v>
      </c>
    </row>
    <row r="52" spans="1:8" x14ac:dyDescent="0.2">
      <c r="A52" s="2">
        <v>51</v>
      </c>
      <c r="B52" s="5">
        <f t="shared" si="0"/>
        <v>0</v>
      </c>
      <c r="C52" s="5">
        <f t="shared" si="1"/>
        <v>0</v>
      </c>
      <c r="D52" s="5"/>
      <c r="E52" s="5">
        <f>IF($B52 &lt;= 0, 0, -ROUND($B52 * (InterestRate / PaymentsPerYear), 2))</f>
        <v>0</v>
      </c>
      <c r="F52" s="5">
        <f>ROUND(IFERROR(IF($B52&lt;=0,0,
MAX(-$B52, -(-PMT(InterestRate/PaymentsPerYear,LoanTerm*PaymentsPerYear,LoanAmount) + $E52))), 0), 2)</f>
        <v>0</v>
      </c>
      <c r="G52" s="5">
        <f t="shared" si="2"/>
        <v>0</v>
      </c>
      <c r="H52" s="5">
        <f t="shared" si="3"/>
        <v>0</v>
      </c>
    </row>
    <row r="53" spans="1:8" x14ac:dyDescent="0.2">
      <c r="A53" s="2">
        <v>52</v>
      </c>
      <c r="B53" s="5">
        <f t="shared" si="0"/>
        <v>0</v>
      </c>
      <c r="C53" s="5">
        <f t="shared" si="1"/>
        <v>0</v>
      </c>
      <c r="D53" s="5"/>
      <c r="E53" s="5">
        <f>IF($B53 &lt;= 0, 0, -ROUND($B53 * (InterestRate / PaymentsPerYear), 2))</f>
        <v>0</v>
      </c>
      <c r="F53" s="5">
        <f>ROUND(IFERROR(IF($B53&lt;=0,0,
MAX(-$B53, -(-PMT(InterestRate/PaymentsPerYear,LoanTerm*PaymentsPerYear,LoanAmount) + $E53))), 0), 2)</f>
        <v>0</v>
      </c>
      <c r="G53" s="5">
        <f t="shared" si="2"/>
        <v>0</v>
      </c>
      <c r="H53" s="5">
        <f t="shared" si="3"/>
        <v>0</v>
      </c>
    </row>
    <row r="54" spans="1:8" x14ac:dyDescent="0.2">
      <c r="A54" s="2">
        <v>53</v>
      </c>
      <c r="B54" s="5">
        <f t="shared" si="0"/>
        <v>0</v>
      </c>
      <c r="C54" s="5">
        <f t="shared" si="1"/>
        <v>0</v>
      </c>
      <c r="D54" s="5"/>
      <c r="E54" s="5">
        <f>IF($B54 &lt;= 0, 0, -ROUND($B54 * (InterestRate / PaymentsPerYear), 2))</f>
        <v>0</v>
      </c>
      <c r="F54" s="5">
        <f>ROUND(IFERROR(IF($B54&lt;=0,0,
MAX(-$B54, -(-PMT(InterestRate/PaymentsPerYear,LoanTerm*PaymentsPerYear,LoanAmount) + $E54))), 0), 2)</f>
        <v>0</v>
      </c>
      <c r="G54" s="5">
        <f t="shared" si="2"/>
        <v>0</v>
      </c>
      <c r="H54" s="5">
        <f t="shared" si="3"/>
        <v>0</v>
      </c>
    </row>
    <row r="55" spans="1:8" x14ac:dyDescent="0.2">
      <c r="A55" s="2">
        <v>54</v>
      </c>
      <c r="B55" s="5">
        <f t="shared" si="0"/>
        <v>0</v>
      </c>
      <c r="C55" s="5">
        <f t="shared" si="1"/>
        <v>0</v>
      </c>
      <c r="D55" s="5"/>
      <c r="E55" s="5">
        <f>IF($B55 &lt;= 0, 0, -ROUND($B55 * (InterestRate / PaymentsPerYear), 2))</f>
        <v>0</v>
      </c>
      <c r="F55" s="5">
        <f>ROUND(IFERROR(IF($B55&lt;=0,0,
MAX(-$B55, -(-PMT(InterestRate/PaymentsPerYear,LoanTerm*PaymentsPerYear,LoanAmount) + $E55))), 0), 2)</f>
        <v>0</v>
      </c>
      <c r="G55" s="5">
        <f t="shared" si="2"/>
        <v>0</v>
      </c>
      <c r="H55" s="5">
        <f t="shared" si="3"/>
        <v>0</v>
      </c>
    </row>
    <row r="56" spans="1:8" x14ac:dyDescent="0.2">
      <c r="A56" s="2">
        <v>55</v>
      </c>
      <c r="B56" s="5">
        <f t="shared" si="0"/>
        <v>0</v>
      </c>
      <c r="C56" s="5">
        <f t="shared" si="1"/>
        <v>0</v>
      </c>
      <c r="D56" s="5"/>
      <c r="E56" s="5">
        <f>IF($B56 &lt;= 0, 0, -ROUND($B56 * (InterestRate / PaymentsPerYear), 2))</f>
        <v>0</v>
      </c>
      <c r="F56" s="5">
        <f>ROUND(IFERROR(IF($B56&lt;=0,0,
MAX(-$B56, -(-PMT(InterestRate/PaymentsPerYear,LoanTerm*PaymentsPerYear,LoanAmount) + $E56))), 0), 2)</f>
        <v>0</v>
      </c>
      <c r="G56" s="5">
        <f t="shared" si="2"/>
        <v>0</v>
      </c>
      <c r="H56" s="5">
        <f t="shared" si="3"/>
        <v>0</v>
      </c>
    </row>
    <row r="57" spans="1:8" x14ac:dyDescent="0.2">
      <c r="A57" s="2">
        <v>56</v>
      </c>
      <c r="B57" s="5">
        <f t="shared" si="0"/>
        <v>0</v>
      </c>
      <c r="C57" s="5">
        <f t="shared" si="1"/>
        <v>0</v>
      </c>
      <c r="D57" s="5"/>
      <c r="E57" s="5">
        <f>IF($B57 &lt;= 0, 0, -ROUND($B57 * (InterestRate / PaymentsPerYear), 2))</f>
        <v>0</v>
      </c>
      <c r="F57" s="5">
        <f>ROUND(IFERROR(IF($B57&lt;=0,0,
MAX(-$B57, -(-PMT(InterestRate/PaymentsPerYear,LoanTerm*PaymentsPerYear,LoanAmount) + $E57))), 0), 2)</f>
        <v>0</v>
      </c>
      <c r="G57" s="5">
        <f t="shared" si="2"/>
        <v>0</v>
      </c>
      <c r="H57" s="5">
        <f t="shared" si="3"/>
        <v>0</v>
      </c>
    </row>
    <row r="58" spans="1:8" x14ac:dyDescent="0.2">
      <c r="A58" s="2">
        <v>57</v>
      </c>
      <c r="B58" s="5">
        <f t="shared" si="0"/>
        <v>0</v>
      </c>
      <c r="C58" s="5">
        <f t="shared" si="1"/>
        <v>0</v>
      </c>
      <c r="D58" s="5"/>
      <c r="E58" s="5">
        <f>IF($B58 &lt;= 0, 0, -ROUND($B58 * (InterestRate / PaymentsPerYear), 2))</f>
        <v>0</v>
      </c>
      <c r="F58" s="5">
        <f>ROUND(IFERROR(IF($B58&lt;=0,0,
MAX(-$B58, -(-PMT(InterestRate/PaymentsPerYear,LoanTerm*PaymentsPerYear,LoanAmount) + $E58))), 0), 2)</f>
        <v>0</v>
      </c>
      <c r="G58" s="5">
        <f t="shared" si="2"/>
        <v>0</v>
      </c>
      <c r="H58" s="5">
        <f t="shared" si="3"/>
        <v>0</v>
      </c>
    </row>
    <row r="59" spans="1:8" x14ac:dyDescent="0.2">
      <c r="A59" s="2">
        <v>58</v>
      </c>
      <c r="B59" s="5">
        <f t="shared" si="0"/>
        <v>0</v>
      </c>
      <c r="C59" s="5">
        <f t="shared" si="1"/>
        <v>0</v>
      </c>
      <c r="D59" s="5"/>
      <c r="E59" s="5">
        <f>IF($B59 &lt;= 0, 0, -ROUND($B59 * (InterestRate / PaymentsPerYear), 2))</f>
        <v>0</v>
      </c>
      <c r="F59" s="5">
        <f>ROUND(IFERROR(IF($B59&lt;=0,0,
MAX(-$B59, -(-PMT(InterestRate/PaymentsPerYear,LoanTerm*PaymentsPerYear,LoanAmount) + $E59))), 0), 2)</f>
        <v>0</v>
      </c>
      <c r="G59" s="5">
        <f t="shared" si="2"/>
        <v>0</v>
      </c>
      <c r="H59" s="5">
        <f t="shared" si="3"/>
        <v>0</v>
      </c>
    </row>
    <row r="60" spans="1:8" x14ac:dyDescent="0.2">
      <c r="A60" s="2">
        <v>59</v>
      </c>
      <c r="B60" s="5">
        <f t="shared" si="0"/>
        <v>0</v>
      </c>
      <c r="C60" s="5">
        <f t="shared" si="1"/>
        <v>0</v>
      </c>
      <c r="D60" s="5"/>
      <c r="E60" s="5">
        <f>IF($B60 &lt;= 0, 0, -ROUND($B60 * (InterestRate / PaymentsPerYear), 2))</f>
        <v>0</v>
      </c>
      <c r="F60" s="5">
        <f>ROUND(IFERROR(IF($B60&lt;=0,0,
MAX(-$B60, -(-PMT(InterestRate/PaymentsPerYear,LoanTerm*PaymentsPerYear,LoanAmount) + $E60))), 0), 2)</f>
        <v>0</v>
      </c>
      <c r="G60" s="5">
        <f t="shared" si="2"/>
        <v>0</v>
      </c>
      <c r="H60" s="5">
        <f t="shared" si="3"/>
        <v>0</v>
      </c>
    </row>
    <row r="61" spans="1:8" x14ac:dyDescent="0.2">
      <c r="A61" s="2">
        <v>60</v>
      </c>
      <c r="B61" s="5">
        <f t="shared" si="0"/>
        <v>0</v>
      </c>
      <c r="C61" s="5">
        <f t="shared" si="1"/>
        <v>0</v>
      </c>
      <c r="D61" s="5"/>
      <c r="E61" s="5">
        <f>IF($B61 &lt;= 0, 0, -ROUND($B61 * (InterestRate / PaymentsPerYear), 2))</f>
        <v>0</v>
      </c>
      <c r="F61" s="5">
        <f>ROUND(IFERROR(IF($B61&lt;=0,0,
MAX(-$B61, -(-PMT(InterestRate/PaymentsPerYear,LoanTerm*PaymentsPerYear,LoanAmount) + $E61))), 0), 2)</f>
        <v>0</v>
      </c>
      <c r="G61" s="5">
        <f t="shared" si="2"/>
        <v>0</v>
      </c>
      <c r="H61" s="5">
        <f t="shared" si="3"/>
        <v>0</v>
      </c>
    </row>
    <row r="62" spans="1:8" x14ac:dyDescent="0.2">
      <c r="A62" s="2">
        <v>61</v>
      </c>
      <c r="B62" s="5">
        <f t="shared" si="0"/>
        <v>0</v>
      </c>
      <c r="C62" s="5">
        <f t="shared" si="1"/>
        <v>0</v>
      </c>
      <c r="D62" s="5"/>
      <c r="E62" s="5">
        <f>IF($B62 &lt;= 0, 0, -ROUND($B62 * (InterestRate / PaymentsPerYear), 2))</f>
        <v>0</v>
      </c>
      <c r="F62" s="5">
        <f>ROUND(IFERROR(IF($B62&lt;=0,0,
MAX(-$B62, -(-PMT(InterestRate/PaymentsPerYear,LoanTerm*PaymentsPerYear,LoanAmount) + $E62))), 0), 2)</f>
        <v>0</v>
      </c>
      <c r="G62" s="5">
        <f t="shared" si="2"/>
        <v>0</v>
      </c>
      <c r="H62" s="5">
        <f t="shared" si="3"/>
        <v>0</v>
      </c>
    </row>
    <row r="63" spans="1:8" x14ac:dyDescent="0.2">
      <c r="A63" s="2">
        <v>62</v>
      </c>
      <c r="B63" s="5">
        <f t="shared" si="0"/>
        <v>0</v>
      </c>
      <c r="C63" s="5">
        <f t="shared" si="1"/>
        <v>0</v>
      </c>
      <c r="D63" s="5"/>
      <c r="E63" s="5">
        <f>IF($B63 &lt;= 0, 0, -ROUND($B63 * (InterestRate / PaymentsPerYear), 2))</f>
        <v>0</v>
      </c>
      <c r="F63" s="5">
        <f>ROUND(IFERROR(IF($B63&lt;=0,0,
MAX(-$B63, -(-PMT(InterestRate/PaymentsPerYear,LoanTerm*PaymentsPerYear,LoanAmount) + $E63))), 0), 2)</f>
        <v>0</v>
      </c>
      <c r="G63" s="5">
        <f t="shared" si="2"/>
        <v>0</v>
      </c>
      <c r="H63" s="5">
        <f t="shared" si="3"/>
        <v>0</v>
      </c>
    </row>
    <row r="64" spans="1:8" x14ac:dyDescent="0.2">
      <c r="A64" s="2">
        <v>63</v>
      </c>
      <c r="B64" s="5">
        <f t="shared" si="0"/>
        <v>0</v>
      </c>
      <c r="C64" s="5">
        <f t="shared" si="1"/>
        <v>0</v>
      </c>
      <c r="D64" s="5"/>
      <c r="E64" s="5">
        <f>IF($B64 &lt;= 0, 0, -ROUND($B64 * (InterestRate / PaymentsPerYear), 2))</f>
        <v>0</v>
      </c>
      <c r="F64" s="5">
        <f>ROUND(IFERROR(IF($B64&lt;=0,0,
MAX(-$B64, -(-PMT(InterestRate/PaymentsPerYear,LoanTerm*PaymentsPerYear,LoanAmount) + $E64))), 0), 2)</f>
        <v>0</v>
      </c>
      <c r="G64" s="5">
        <f t="shared" si="2"/>
        <v>0</v>
      </c>
      <c r="H64" s="5">
        <f t="shared" si="3"/>
        <v>0</v>
      </c>
    </row>
    <row r="65" spans="1:8" x14ac:dyDescent="0.2">
      <c r="A65" s="2">
        <v>64</v>
      </c>
      <c r="B65" s="5">
        <f t="shared" si="0"/>
        <v>0</v>
      </c>
      <c r="C65" s="5">
        <f t="shared" si="1"/>
        <v>0</v>
      </c>
      <c r="D65" s="5"/>
      <c r="E65" s="5">
        <f>IF($B65 &lt;= 0, 0, -ROUND($B65 * (InterestRate / PaymentsPerYear), 2))</f>
        <v>0</v>
      </c>
      <c r="F65" s="5">
        <f>ROUND(IFERROR(IF($B65&lt;=0,0,
MAX(-$B65, -(-PMT(InterestRate/PaymentsPerYear,LoanTerm*PaymentsPerYear,LoanAmount) + $E65))), 0), 2)</f>
        <v>0</v>
      </c>
      <c r="G65" s="5">
        <f t="shared" si="2"/>
        <v>0</v>
      </c>
      <c r="H65" s="5">
        <f t="shared" si="3"/>
        <v>0</v>
      </c>
    </row>
    <row r="66" spans="1:8" x14ac:dyDescent="0.2">
      <c r="A66" s="2">
        <v>65</v>
      </c>
      <c r="B66" s="5">
        <f t="shared" si="0"/>
        <v>0</v>
      </c>
      <c r="C66" s="5">
        <f t="shared" si="1"/>
        <v>0</v>
      </c>
      <c r="D66" s="5"/>
      <c r="E66" s="5">
        <f>IF($B66 &lt;= 0, 0, -ROUND($B66 * (InterestRate / PaymentsPerYear), 2))</f>
        <v>0</v>
      </c>
      <c r="F66" s="5">
        <f>ROUND(IFERROR(IF($B66&lt;=0,0,
MAX(-$B66, -(-PMT(InterestRate/PaymentsPerYear,LoanTerm*PaymentsPerYear,LoanAmount) + $E66))), 0), 2)</f>
        <v>0</v>
      </c>
      <c r="G66" s="5">
        <f t="shared" si="2"/>
        <v>0</v>
      </c>
      <c r="H66" s="5">
        <f t="shared" si="3"/>
        <v>0</v>
      </c>
    </row>
    <row r="67" spans="1:8" x14ac:dyDescent="0.2">
      <c r="A67" s="2">
        <v>66</v>
      </c>
      <c r="B67" s="5">
        <f t="shared" si="0"/>
        <v>0</v>
      </c>
      <c r="C67" s="5">
        <f t="shared" si="1"/>
        <v>0</v>
      </c>
      <c r="D67" s="5"/>
      <c r="E67" s="5">
        <f>IF($B67 &lt;= 0, 0, -ROUND($B67 * (InterestRate / PaymentsPerYear), 2))</f>
        <v>0</v>
      </c>
      <c r="F67" s="5">
        <f>ROUND(IFERROR(IF($B67&lt;=0,0,
MAX(-$B67, -(-PMT(InterestRate/PaymentsPerYear,LoanTerm*PaymentsPerYear,LoanAmount) + $E67))), 0), 2)</f>
        <v>0</v>
      </c>
      <c r="G67" s="5">
        <f t="shared" si="2"/>
        <v>0</v>
      </c>
      <c r="H67" s="5">
        <f t="shared" si="3"/>
        <v>0</v>
      </c>
    </row>
    <row r="68" spans="1:8" x14ac:dyDescent="0.2">
      <c r="A68" s="2">
        <v>67</v>
      </c>
      <c r="B68" s="5">
        <f t="shared" ref="B68:B131" si="4">ROUND(IF($H67 &gt;= 0, MAX($H67, $F67), 0), 2)</f>
        <v>0</v>
      </c>
      <c r="C68" s="5">
        <f t="shared" ref="C68:C131" si="5">IF($B68 &lt;= 0, 0, $E68+$F68)</f>
        <v>0</v>
      </c>
      <c r="D68" s="5"/>
      <c r="E68" s="5">
        <f>IF($B68 &lt;= 0, 0, -ROUND($B68 * (InterestRate / PaymentsPerYear), 2))</f>
        <v>0</v>
      </c>
      <c r="F68" s="5">
        <f>ROUND(IFERROR(IF($B68&lt;=0,0,
MAX(-$B68, -(-PMT(InterestRate/PaymentsPerYear,LoanTerm*PaymentsPerYear,LoanAmount) + $E68))), 0), 2)</f>
        <v>0</v>
      </c>
      <c r="G68" s="5">
        <f t="shared" ref="G68:G131" si="6">$F68</f>
        <v>0</v>
      </c>
      <c r="H68" s="5">
        <f t="shared" ref="H68:H131" si="7">ROUND(IF($B68 &lt;= 0, 0,MAX(0, $B68 + $G68)), 2)</f>
        <v>0</v>
      </c>
    </row>
    <row r="69" spans="1:8" x14ac:dyDescent="0.2">
      <c r="A69" s="2">
        <v>68</v>
      </c>
      <c r="B69" s="5">
        <f t="shared" si="4"/>
        <v>0</v>
      </c>
      <c r="C69" s="5">
        <f t="shared" si="5"/>
        <v>0</v>
      </c>
      <c r="D69" s="5"/>
      <c r="E69" s="5">
        <f>IF($B69 &lt;= 0, 0, -ROUND($B69 * (InterestRate / PaymentsPerYear), 2))</f>
        <v>0</v>
      </c>
      <c r="F69" s="5">
        <f>ROUND(IFERROR(IF($B69&lt;=0,0,
MAX(-$B69, -(-PMT(InterestRate/PaymentsPerYear,LoanTerm*PaymentsPerYear,LoanAmount) + $E69))), 0), 2)</f>
        <v>0</v>
      </c>
      <c r="G69" s="5">
        <f t="shared" si="6"/>
        <v>0</v>
      </c>
      <c r="H69" s="5">
        <f t="shared" si="7"/>
        <v>0</v>
      </c>
    </row>
    <row r="70" spans="1:8" x14ac:dyDescent="0.2">
      <c r="A70" s="2">
        <v>69</v>
      </c>
      <c r="B70" s="5">
        <f t="shared" si="4"/>
        <v>0</v>
      </c>
      <c r="C70" s="5">
        <f t="shared" si="5"/>
        <v>0</v>
      </c>
      <c r="D70" s="5"/>
      <c r="E70" s="5">
        <f>IF($B70 &lt;= 0, 0, -ROUND($B70 * (InterestRate / PaymentsPerYear), 2))</f>
        <v>0</v>
      </c>
      <c r="F70" s="5">
        <f>ROUND(IFERROR(IF($B70&lt;=0,0,
MAX(-$B70, -(-PMT(InterestRate/PaymentsPerYear,LoanTerm*PaymentsPerYear,LoanAmount) + $E70))), 0), 2)</f>
        <v>0</v>
      </c>
      <c r="G70" s="5">
        <f t="shared" si="6"/>
        <v>0</v>
      </c>
      <c r="H70" s="5">
        <f t="shared" si="7"/>
        <v>0</v>
      </c>
    </row>
    <row r="71" spans="1:8" x14ac:dyDescent="0.2">
      <c r="A71" s="2">
        <v>70</v>
      </c>
      <c r="B71" s="5">
        <f t="shared" si="4"/>
        <v>0</v>
      </c>
      <c r="C71" s="5">
        <f t="shared" si="5"/>
        <v>0</v>
      </c>
      <c r="D71" s="5"/>
      <c r="E71" s="5">
        <f>IF($B71 &lt;= 0, 0, -ROUND($B71 * (InterestRate / PaymentsPerYear), 2))</f>
        <v>0</v>
      </c>
      <c r="F71" s="5">
        <f>ROUND(IFERROR(IF($B71&lt;=0,0,
MAX(-$B71, -(-PMT(InterestRate/PaymentsPerYear,LoanTerm*PaymentsPerYear,LoanAmount) + $E71))), 0), 2)</f>
        <v>0</v>
      </c>
      <c r="G71" s="5">
        <f t="shared" si="6"/>
        <v>0</v>
      </c>
      <c r="H71" s="5">
        <f t="shared" si="7"/>
        <v>0</v>
      </c>
    </row>
    <row r="72" spans="1:8" x14ac:dyDescent="0.2">
      <c r="A72" s="2">
        <v>71</v>
      </c>
      <c r="B72" s="5">
        <f t="shared" si="4"/>
        <v>0</v>
      </c>
      <c r="C72" s="5">
        <f t="shared" si="5"/>
        <v>0</v>
      </c>
      <c r="D72" s="5"/>
      <c r="E72" s="5">
        <f>IF($B72 &lt;= 0, 0, -ROUND($B72 * (InterestRate / PaymentsPerYear), 2))</f>
        <v>0</v>
      </c>
      <c r="F72" s="5">
        <f>ROUND(IFERROR(IF($B72&lt;=0,0,
MAX(-$B72, -(-PMT(InterestRate/PaymentsPerYear,LoanTerm*PaymentsPerYear,LoanAmount) + $E72))), 0), 2)</f>
        <v>0</v>
      </c>
      <c r="G72" s="5">
        <f t="shared" si="6"/>
        <v>0</v>
      </c>
      <c r="H72" s="5">
        <f t="shared" si="7"/>
        <v>0</v>
      </c>
    </row>
    <row r="73" spans="1:8" x14ac:dyDescent="0.2">
      <c r="A73" s="2">
        <v>72</v>
      </c>
      <c r="B73" s="5">
        <f t="shared" si="4"/>
        <v>0</v>
      </c>
      <c r="C73" s="5">
        <f t="shared" si="5"/>
        <v>0</v>
      </c>
      <c r="D73" s="5"/>
      <c r="E73" s="5">
        <f>IF($B73 &lt;= 0, 0, -ROUND($B73 * (InterestRate / PaymentsPerYear), 2))</f>
        <v>0</v>
      </c>
      <c r="F73" s="5">
        <f>ROUND(IFERROR(IF($B73&lt;=0,0,
MAX(-$B73, -(-PMT(InterestRate/PaymentsPerYear,LoanTerm*PaymentsPerYear,LoanAmount) + $E73))), 0), 2)</f>
        <v>0</v>
      </c>
      <c r="G73" s="5">
        <f t="shared" si="6"/>
        <v>0</v>
      </c>
      <c r="H73" s="5">
        <f t="shared" si="7"/>
        <v>0</v>
      </c>
    </row>
    <row r="74" spans="1:8" x14ac:dyDescent="0.2">
      <c r="A74" s="2">
        <v>73</v>
      </c>
      <c r="B74" s="5">
        <f t="shared" si="4"/>
        <v>0</v>
      </c>
      <c r="C74" s="5">
        <f t="shared" si="5"/>
        <v>0</v>
      </c>
      <c r="D74" s="5"/>
      <c r="E74" s="5">
        <f>IF($B74 &lt;= 0, 0, -ROUND($B74 * (InterestRate / PaymentsPerYear), 2))</f>
        <v>0</v>
      </c>
      <c r="F74" s="5">
        <f>ROUND(IFERROR(IF($B74&lt;=0,0,
MAX(-$B74, -(-PMT(InterestRate/PaymentsPerYear,LoanTerm*PaymentsPerYear,LoanAmount) + $E74))), 0), 2)</f>
        <v>0</v>
      </c>
      <c r="G74" s="5">
        <f t="shared" si="6"/>
        <v>0</v>
      </c>
      <c r="H74" s="5">
        <f t="shared" si="7"/>
        <v>0</v>
      </c>
    </row>
    <row r="75" spans="1:8" x14ac:dyDescent="0.2">
      <c r="A75" s="2">
        <v>74</v>
      </c>
      <c r="B75" s="5">
        <f t="shared" si="4"/>
        <v>0</v>
      </c>
      <c r="C75" s="5">
        <f t="shared" si="5"/>
        <v>0</v>
      </c>
      <c r="D75" s="5"/>
      <c r="E75" s="5">
        <f>IF($B75 &lt;= 0, 0, -ROUND($B75 * (InterestRate / PaymentsPerYear), 2))</f>
        <v>0</v>
      </c>
      <c r="F75" s="5">
        <f>ROUND(IFERROR(IF($B75&lt;=0,0,
MAX(-$B75, -(-PMT(InterestRate/PaymentsPerYear,LoanTerm*PaymentsPerYear,LoanAmount) + $E75))), 0), 2)</f>
        <v>0</v>
      </c>
      <c r="G75" s="5">
        <f t="shared" si="6"/>
        <v>0</v>
      </c>
      <c r="H75" s="5">
        <f t="shared" si="7"/>
        <v>0</v>
      </c>
    </row>
    <row r="76" spans="1:8" x14ac:dyDescent="0.2">
      <c r="A76" s="2">
        <v>75</v>
      </c>
      <c r="B76" s="5">
        <f t="shared" si="4"/>
        <v>0</v>
      </c>
      <c r="C76" s="5">
        <f t="shared" si="5"/>
        <v>0</v>
      </c>
      <c r="D76" s="5"/>
      <c r="E76" s="5">
        <f>IF($B76 &lt;= 0, 0, -ROUND($B76 * (InterestRate / PaymentsPerYear), 2))</f>
        <v>0</v>
      </c>
      <c r="F76" s="5">
        <f>ROUND(IFERROR(IF($B76&lt;=0,0,
MAX(-$B76, -(-PMT(InterestRate/PaymentsPerYear,LoanTerm*PaymentsPerYear,LoanAmount) + $E76))), 0), 2)</f>
        <v>0</v>
      </c>
      <c r="G76" s="5">
        <f t="shared" si="6"/>
        <v>0</v>
      </c>
      <c r="H76" s="5">
        <f t="shared" si="7"/>
        <v>0</v>
      </c>
    </row>
    <row r="77" spans="1:8" x14ac:dyDescent="0.2">
      <c r="A77" s="2">
        <v>76</v>
      </c>
      <c r="B77" s="5">
        <f t="shared" si="4"/>
        <v>0</v>
      </c>
      <c r="C77" s="5">
        <f t="shared" si="5"/>
        <v>0</v>
      </c>
      <c r="D77" s="5"/>
      <c r="E77" s="5">
        <f>IF($B77 &lt;= 0, 0, -ROUND($B77 * (InterestRate / PaymentsPerYear), 2))</f>
        <v>0</v>
      </c>
      <c r="F77" s="5">
        <f>ROUND(IFERROR(IF($B77&lt;=0,0,
MAX(-$B77, -(-PMT(InterestRate/PaymentsPerYear,LoanTerm*PaymentsPerYear,LoanAmount) + $E77))), 0), 2)</f>
        <v>0</v>
      </c>
      <c r="G77" s="5">
        <f t="shared" si="6"/>
        <v>0</v>
      </c>
      <c r="H77" s="5">
        <f t="shared" si="7"/>
        <v>0</v>
      </c>
    </row>
    <row r="78" spans="1:8" x14ac:dyDescent="0.2">
      <c r="A78" s="2">
        <v>77</v>
      </c>
      <c r="B78" s="5">
        <f t="shared" si="4"/>
        <v>0</v>
      </c>
      <c r="C78" s="5">
        <f t="shared" si="5"/>
        <v>0</v>
      </c>
      <c r="D78" s="5"/>
      <c r="E78" s="5">
        <f>IF($B78 &lt;= 0, 0, -ROUND($B78 * (InterestRate / PaymentsPerYear), 2))</f>
        <v>0</v>
      </c>
      <c r="F78" s="5">
        <f>ROUND(IFERROR(IF($B78&lt;=0,0,
MAX(-$B78, -(-PMT(InterestRate/PaymentsPerYear,LoanTerm*PaymentsPerYear,LoanAmount) + $E78))), 0), 2)</f>
        <v>0</v>
      </c>
      <c r="G78" s="5">
        <f t="shared" si="6"/>
        <v>0</v>
      </c>
      <c r="H78" s="5">
        <f t="shared" si="7"/>
        <v>0</v>
      </c>
    </row>
    <row r="79" spans="1:8" x14ac:dyDescent="0.2">
      <c r="A79" s="2">
        <v>78</v>
      </c>
      <c r="B79" s="5">
        <f t="shared" si="4"/>
        <v>0</v>
      </c>
      <c r="C79" s="5">
        <f t="shared" si="5"/>
        <v>0</v>
      </c>
      <c r="D79" s="5"/>
      <c r="E79" s="5">
        <f>IF($B79 &lt;= 0, 0, -ROUND($B79 * (InterestRate / PaymentsPerYear), 2))</f>
        <v>0</v>
      </c>
      <c r="F79" s="5">
        <f>ROUND(IFERROR(IF($B79&lt;=0,0,
MAX(-$B79, -(-PMT(InterestRate/PaymentsPerYear,LoanTerm*PaymentsPerYear,LoanAmount) + $E79))), 0), 2)</f>
        <v>0</v>
      </c>
      <c r="G79" s="5">
        <f t="shared" si="6"/>
        <v>0</v>
      </c>
      <c r="H79" s="5">
        <f t="shared" si="7"/>
        <v>0</v>
      </c>
    </row>
    <row r="80" spans="1:8" x14ac:dyDescent="0.2">
      <c r="A80" s="2">
        <v>79</v>
      </c>
      <c r="B80" s="5">
        <f t="shared" si="4"/>
        <v>0</v>
      </c>
      <c r="C80" s="5">
        <f t="shared" si="5"/>
        <v>0</v>
      </c>
      <c r="D80" s="5"/>
      <c r="E80" s="5">
        <f>IF($B80 &lt;= 0, 0, -ROUND($B80 * (InterestRate / PaymentsPerYear), 2))</f>
        <v>0</v>
      </c>
      <c r="F80" s="5">
        <f>ROUND(IFERROR(IF($B80&lt;=0,0,
MAX(-$B80, -(-PMT(InterestRate/PaymentsPerYear,LoanTerm*PaymentsPerYear,LoanAmount) + $E80))), 0), 2)</f>
        <v>0</v>
      </c>
      <c r="G80" s="5">
        <f t="shared" si="6"/>
        <v>0</v>
      </c>
      <c r="H80" s="5">
        <f t="shared" si="7"/>
        <v>0</v>
      </c>
    </row>
    <row r="81" spans="1:8" x14ac:dyDescent="0.2">
      <c r="A81" s="2">
        <v>80</v>
      </c>
      <c r="B81" s="5">
        <f t="shared" si="4"/>
        <v>0</v>
      </c>
      <c r="C81" s="5">
        <f t="shared" si="5"/>
        <v>0</v>
      </c>
      <c r="D81" s="5"/>
      <c r="E81" s="5">
        <f>IF($B81 &lt;= 0, 0, -ROUND($B81 * (InterestRate / PaymentsPerYear), 2))</f>
        <v>0</v>
      </c>
      <c r="F81" s="5">
        <f>ROUND(IFERROR(IF($B81&lt;=0,0,
MAX(-$B81, -(-PMT(InterestRate/PaymentsPerYear,LoanTerm*PaymentsPerYear,LoanAmount) + $E81))), 0), 2)</f>
        <v>0</v>
      </c>
      <c r="G81" s="5">
        <f t="shared" si="6"/>
        <v>0</v>
      </c>
      <c r="H81" s="5">
        <f t="shared" si="7"/>
        <v>0</v>
      </c>
    </row>
    <row r="82" spans="1:8" x14ac:dyDescent="0.2">
      <c r="A82" s="2">
        <v>81</v>
      </c>
      <c r="B82" s="5">
        <f t="shared" si="4"/>
        <v>0</v>
      </c>
      <c r="C82" s="5">
        <f t="shared" si="5"/>
        <v>0</v>
      </c>
      <c r="D82" s="5"/>
      <c r="E82" s="5">
        <f>IF($B82 &lt;= 0, 0, -ROUND($B82 * (InterestRate / PaymentsPerYear), 2))</f>
        <v>0</v>
      </c>
      <c r="F82" s="5">
        <f>ROUND(IFERROR(IF($B82&lt;=0,0,
MAX(-$B82, -(-PMT(InterestRate/PaymentsPerYear,LoanTerm*PaymentsPerYear,LoanAmount) + $E82))), 0), 2)</f>
        <v>0</v>
      </c>
      <c r="G82" s="5">
        <f t="shared" si="6"/>
        <v>0</v>
      </c>
      <c r="H82" s="5">
        <f t="shared" si="7"/>
        <v>0</v>
      </c>
    </row>
    <row r="83" spans="1:8" x14ac:dyDescent="0.2">
      <c r="A83" s="2">
        <v>82</v>
      </c>
      <c r="B83" s="5">
        <f t="shared" si="4"/>
        <v>0</v>
      </c>
      <c r="C83" s="5">
        <f t="shared" si="5"/>
        <v>0</v>
      </c>
      <c r="D83" s="5"/>
      <c r="E83" s="5">
        <f>IF($B83 &lt;= 0, 0, -ROUND($B83 * (InterestRate / PaymentsPerYear), 2))</f>
        <v>0</v>
      </c>
      <c r="F83" s="5">
        <f>ROUND(IFERROR(IF($B83&lt;=0,0,
MAX(-$B83, -(-PMT(InterestRate/PaymentsPerYear,LoanTerm*PaymentsPerYear,LoanAmount) + $E83))), 0), 2)</f>
        <v>0</v>
      </c>
      <c r="G83" s="5">
        <f t="shared" si="6"/>
        <v>0</v>
      </c>
      <c r="H83" s="5">
        <f t="shared" si="7"/>
        <v>0</v>
      </c>
    </row>
    <row r="84" spans="1:8" x14ac:dyDescent="0.2">
      <c r="A84" s="2">
        <v>83</v>
      </c>
      <c r="B84" s="5">
        <f t="shared" si="4"/>
        <v>0</v>
      </c>
      <c r="C84" s="5">
        <f t="shared" si="5"/>
        <v>0</v>
      </c>
      <c r="D84" s="5"/>
      <c r="E84" s="5">
        <f>IF($B84 &lt;= 0, 0, -ROUND($B84 * (InterestRate / PaymentsPerYear), 2))</f>
        <v>0</v>
      </c>
      <c r="F84" s="5">
        <f>ROUND(IFERROR(IF($B84&lt;=0,0,
MAX(-$B84, -(-PMT(InterestRate/PaymentsPerYear,LoanTerm*PaymentsPerYear,LoanAmount) + $E84))), 0), 2)</f>
        <v>0</v>
      </c>
      <c r="G84" s="5">
        <f t="shared" si="6"/>
        <v>0</v>
      </c>
      <c r="H84" s="5">
        <f t="shared" si="7"/>
        <v>0</v>
      </c>
    </row>
    <row r="85" spans="1:8" x14ac:dyDescent="0.2">
      <c r="A85" s="2">
        <v>84</v>
      </c>
      <c r="B85" s="5">
        <f t="shared" si="4"/>
        <v>0</v>
      </c>
      <c r="C85" s="5">
        <f t="shared" si="5"/>
        <v>0</v>
      </c>
      <c r="D85" s="5"/>
      <c r="E85" s="5">
        <f>IF($B85 &lt;= 0, 0, -ROUND($B85 * (InterestRate / PaymentsPerYear), 2))</f>
        <v>0</v>
      </c>
      <c r="F85" s="5">
        <f>ROUND(IFERROR(IF($B85&lt;=0,0,
MAX(-$B85, -(-PMT(InterestRate/PaymentsPerYear,LoanTerm*PaymentsPerYear,LoanAmount) + $E85))), 0), 2)</f>
        <v>0</v>
      </c>
      <c r="G85" s="5">
        <f t="shared" si="6"/>
        <v>0</v>
      </c>
      <c r="H85" s="5">
        <f t="shared" si="7"/>
        <v>0</v>
      </c>
    </row>
    <row r="86" spans="1:8" x14ac:dyDescent="0.2">
      <c r="A86" s="2">
        <v>85</v>
      </c>
      <c r="B86" s="5">
        <f t="shared" si="4"/>
        <v>0</v>
      </c>
      <c r="C86" s="5">
        <f t="shared" si="5"/>
        <v>0</v>
      </c>
      <c r="D86" s="5"/>
      <c r="E86" s="5">
        <f>IF($B86 &lt;= 0, 0, -ROUND($B86 * (InterestRate / PaymentsPerYear), 2))</f>
        <v>0</v>
      </c>
      <c r="F86" s="5">
        <f>ROUND(IFERROR(IF($B86&lt;=0,0,
MAX(-$B86, -(-PMT(InterestRate/PaymentsPerYear,LoanTerm*PaymentsPerYear,LoanAmount) + $E86))), 0), 2)</f>
        <v>0</v>
      </c>
      <c r="G86" s="5">
        <f t="shared" si="6"/>
        <v>0</v>
      </c>
      <c r="H86" s="5">
        <f t="shared" si="7"/>
        <v>0</v>
      </c>
    </row>
    <row r="87" spans="1:8" x14ac:dyDescent="0.2">
      <c r="A87" s="2">
        <v>86</v>
      </c>
      <c r="B87" s="5">
        <f t="shared" si="4"/>
        <v>0</v>
      </c>
      <c r="C87" s="5">
        <f t="shared" si="5"/>
        <v>0</v>
      </c>
      <c r="D87" s="5"/>
      <c r="E87" s="5">
        <f>IF($B87 &lt;= 0, 0, -ROUND($B87 * (InterestRate / PaymentsPerYear), 2))</f>
        <v>0</v>
      </c>
      <c r="F87" s="5">
        <f>ROUND(IFERROR(IF($B87&lt;=0,0,
MAX(-$B87, -(-PMT(InterestRate/PaymentsPerYear,LoanTerm*PaymentsPerYear,LoanAmount) + $E87))), 0), 2)</f>
        <v>0</v>
      </c>
      <c r="G87" s="5">
        <f t="shared" si="6"/>
        <v>0</v>
      </c>
      <c r="H87" s="5">
        <f t="shared" si="7"/>
        <v>0</v>
      </c>
    </row>
    <row r="88" spans="1:8" x14ac:dyDescent="0.2">
      <c r="A88" s="2">
        <v>87</v>
      </c>
      <c r="B88" s="5">
        <f t="shared" si="4"/>
        <v>0</v>
      </c>
      <c r="C88" s="5">
        <f t="shared" si="5"/>
        <v>0</v>
      </c>
      <c r="D88" s="5"/>
      <c r="E88" s="5">
        <f>IF($B88 &lt;= 0, 0, -ROUND($B88 * (InterestRate / PaymentsPerYear), 2))</f>
        <v>0</v>
      </c>
      <c r="F88" s="5">
        <f>ROUND(IFERROR(IF($B88&lt;=0,0,
MAX(-$B88, -(-PMT(InterestRate/PaymentsPerYear,LoanTerm*PaymentsPerYear,LoanAmount) + $E88))), 0), 2)</f>
        <v>0</v>
      </c>
      <c r="G88" s="5">
        <f t="shared" si="6"/>
        <v>0</v>
      </c>
      <c r="H88" s="5">
        <f t="shared" si="7"/>
        <v>0</v>
      </c>
    </row>
    <row r="89" spans="1:8" x14ac:dyDescent="0.2">
      <c r="A89" s="2">
        <v>88</v>
      </c>
      <c r="B89" s="5">
        <f t="shared" si="4"/>
        <v>0</v>
      </c>
      <c r="C89" s="5">
        <f t="shared" si="5"/>
        <v>0</v>
      </c>
      <c r="D89" s="5"/>
      <c r="E89" s="5">
        <f>IF($B89 &lt;= 0, 0, -ROUND($B89 * (InterestRate / PaymentsPerYear), 2))</f>
        <v>0</v>
      </c>
      <c r="F89" s="5">
        <f>ROUND(IFERROR(IF($B89&lt;=0,0,
MAX(-$B89, -(-PMT(InterestRate/PaymentsPerYear,LoanTerm*PaymentsPerYear,LoanAmount) + $E89))), 0), 2)</f>
        <v>0</v>
      </c>
      <c r="G89" s="5">
        <f t="shared" si="6"/>
        <v>0</v>
      </c>
      <c r="H89" s="5">
        <f t="shared" si="7"/>
        <v>0</v>
      </c>
    </row>
    <row r="90" spans="1:8" x14ac:dyDescent="0.2">
      <c r="A90" s="2">
        <v>89</v>
      </c>
      <c r="B90" s="5">
        <f t="shared" si="4"/>
        <v>0</v>
      </c>
      <c r="C90" s="5">
        <f t="shared" si="5"/>
        <v>0</v>
      </c>
      <c r="D90" s="5"/>
      <c r="E90" s="5">
        <f>IF($B90 &lt;= 0, 0, -ROUND($B90 * (InterestRate / PaymentsPerYear), 2))</f>
        <v>0</v>
      </c>
      <c r="F90" s="5">
        <f>ROUND(IFERROR(IF($B90&lt;=0,0,
MAX(-$B90, -(-PMT(InterestRate/PaymentsPerYear,LoanTerm*PaymentsPerYear,LoanAmount) + $E90))), 0), 2)</f>
        <v>0</v>
      </c>
      <c r="G90" s="5">
        <f t="shared" si="6"/>
        <v>0</v>
      </c>
      <c r="H90" s="5">
        <f t="shared" si="7"/>
        <v>0</v>
      </c>
    </row>
    <row r="91" spans="1:8" x14ac:dyDescent="0.2">
      <c r="A91" s="2">
        <v>90</v>
      </c>
      <c r="B91" s="5">
        <f t="shared" si="4"/>
        <v>0</v>
      </c>
      <c r="C91" s="5">
        <f t="shared" si="5"/>
        <v>0</v>
      </c>
      <c r="D91" s="5"/>
      <c r="E91" s="5">
        <f>IF($B91 &lt;= 0, 0, -ROUND($B91 * (InterestRate / PaymentsPerYear), 2))</f>
        <v>0</v>
      </c>
      <c r="F91" s="5">
        <f>ROUND(IFERROR(IF($B91&lt;=0,0,
MAX(-$B91, -(-PMT(InterestRate/PaymentsPerYear,LoanTerm*PaymentsPerYear,LoanAmount) + $E91))), 0), 2)</f>
        <v>0</v>
      </c>
      <c r="G91" s="5">
        <f t="shared" si="6"/>
        <v>0</v>
      </c>
      <c r="H91" s="5">
        <f t="shared" si="7"/>
        <v>0</v>
      </c>
    </row>
    <row r="92" spans="1:8" x14ac:dyDescent="0.2">
      <c r="A92" s="2">
        <v>91</v>
      </c>
      <c r="B92" s="5">
        <f t="shared" si="4"/>
        <v>0</v>
      </c>
      <c r="C92" s="5">
        <f t="shared" si="5"/>
        <v>0</v>
      </c>
      <c r="D92" s="5"/>
      <c r="E92" s="5">
        <f>IF($B92 &lt;= 0, 0, -ROUND($B92 * (InterestRate / PaymentsPerYear), 2))</f>
        <v>0</v>
      </c>
      <c r="F92" s="5">
        <f>ROUND(IFERROR(IF($B92&lt;=0,0,
MAX(-$B92, -(-PMT(InterestRate/PaymentsPerYear,LoanTerm*PaymentsPerYear,LoanAmount) + $E92))), 0), 2)</f>
        <v>0</v>
      </c>
      <c r="G92" s="5">
        <f t="shared" si="6"/>
        <v>0</v>
      </c>
      <c r="H92" s="5">
        <f t="shared" si="7"/>
        <v>0</v>
      </c>
    </row>
    <row r="93" spans="1:8" x14ac:dyDescent="0.2">
      <c r="A93" s="2">
        <v>92</v>
      </c>
      <c r="B93" s="5">
        <f t="shared" si="4"/>
        <v>0</v>
      </c>
      <c r="C93" s="5">
        <f t="shared" si="5"/>
        <v>0</v>
      </c>
      <c r="D93" s="5"/>
      <c r="E93" s="5">
        <f>IF($B93 &lt;= 0, 0, -ROUND($B93 * (InterestRate / PaymentsPerYear), 2))</f>
        <v>0</v>
      </c>
      <c r="F93" s="5">
        <f>ROUND(IFERROR(IF($B93&lt;=0,0,
MAX(-$B93, -(-PMT(InterestRate/PaymentsPerYear,LoanTerm*PaymentsPerYear,LoanAmount) + $E93))), 0), 2)</f>
        <v>0</v>
      </c>
      <c r="G93" s="5">
        <f t="shared" si="6"/>
        <v>0</v>
      </c>
      <c r="H93" s="5">
        <f t="shared" si="7"/>
        <v>0</v>
      </c>
    </row>
    <row r="94" spans="1:8" x14ac:dyDescent="0.2">
      <c r="A94" s="2">
        <v>93</v>
      </c>
      <c r="B94" s="5">
        <f t="shared" si="4"/>
        <v>0</v>
      </c>
      <c r="C94" s="5">
        <f t="shared" si="5"/>
        <v>0</v>
      </c>
      <c r="D94" s="5"/>
      <c r="E94" s="5">
        <f>IF($B94 &lt;= 0, 0, -ROUND($B94 * (InterestRate / PaymentsPerYear), 2))</f>
        <v>0</v>
      </c>
      <c r="F94" s="5">
        <f>ROUND(IFERROR(IF($B94&lt;=0,0,
MAX(-$B94, -(-PMT(InterestRate/PaymentsPerYear,LoanTerm*PaymentsPerYear,LoanAmount) + $E94))), 0), 2)</f>
        <v>0</v>
      </c>
      <c r="G94" s="5">
        <f t="shared" si="6"/>
        <v>0</v>
      </c>
      <c r="H94" s="5">
        <f t="shared" si="7"/>
        <v>0</v>
      </c>
    </row>
    <row r="95" spans="1:8" x14ac:dyDescent="0.2">
      <c r="A95" s="2">
        <v>94</v>
      </c>
      <c r="B95" s="5">
        <f t="shared" si="4"/>
        <v>0</v>
      </c>
      <c r="C95" s="5">
        <f t="shared" si="5"/>
        <v>0</v>
      </c>
      <c r="D95" s="5"/>
      <c r="E95" s="5">
        <f>IF($B95 &lt;= 0, 0, -ROUND($B95 * (InterestRate / PaymentsPerYear), 2))</f>
        <v>0</v>
      </c>
      <c r="F95" s="5">
        <f>ROUND(IFERROR(IF($B95&lt;=0,0,
MAX(-$B95, -(-PMT(InterestRate/PaymentsPerYear,LoanTerm*PaymentsPerYear,LoanAmount) + $E95))), 0), 2)</f>
        <v>0</v>
      </c>
      <c r="G95" s="5">
        <f t="shared" si="6"/>
        <v>0</v>
      </c>
      <c r="H95" s="5">
        <f t="shared" si="7"/>
        <v>0</v>
      </c>
    </row>
    <row r="96" spans="1:8" x14ac:dyDescent="0.2">
      <c r="A96" s="2">
        <v>95</v>
      </c>
      <c r="B96" s="5">
        <f t="shared" si="4"/>
        <v>0</v>
      </c>
      <c r="C96" s="5">
        <f t="shared" si="5"/>
        <v>0</v>
      </c>
      <c r="D96" s="5"/>
      <c r="E96" s="5">
        <f>IF($B96 &lt;= 0, 0, -ROUND($B96 * (InterestRate / PaymentsPerYear), 2))</f>
        <v>0</v>
      </c>
      <c r="F96" s="5">
        <f>ROUND(IFERROR(IF($B96&lt;=0,0,
MAX(-$B96, -(-PMT(InterestRate/PaymentsPerYear,LoanTerm*PaymentsPerYear,LoanAmount) + $E96))), 0), 2)</f>
        <v>0</v>
      </c>
      <c r="G96" s="5">
        <f t="shared" si="6"/>
        <v>0</v>
      </c>
      <c r="H96" s="5">
        <f t="shared" si="7"/>
        <v>0</v>
      </c>
    </row>
    <row r="97" spans="1:8" x14ac:dyDescent="0.2">
      <c r="A97" s="2">
        <v>96</v>
      </c>
      <c r="B97" s="5">
        <f t="shared" si="4"/>
        <v>0</v>
      </c>
      <c r="C97" s="5">
        <f t="shared" si="5"/>
        <v>0</v>
      </c>
      <c r="D97" s="5"/>
      <c r="E97" s="5">
        <f>IF($B97 &lt;= 0, 0, -ROUND($B97 * (InterestRate / PaymentsPerYear), 2))</f>
        <v>0</v>
      </c>
      <c r="F97" s="5">
        <f>ROUND(IFERROR(IF($B97&lt;=0,0,
MAX(-$B97, -(-PMT(InterestRate/PaymentsPerYear,LoanTerm*PaymentsPerYear,LoanAmount) + $E97))), 0), 2)</f>
        <v>0</v>
      </c>
      <c r="G97" s="5">
        <f t="shared" si="6"/>
        <v>0</v>
      </c>
      <c r="H97" s="5">
        <f t="shared" si="7"/>
        <v>0</v>
      </c>
    </row>
    <row r="98" spans="1:8" x14ac:dyDescent="0.2">
      <c r="A98" s="2">
        <v>97</v>
      </c>
      <c r="B98" s="5">
        <f t="shared" si="4"/>
        <v>0</v>
      </c>
      <c r="C98" s="5">
        <f t="shared" si="5"/>
        <v>0</v>
      </c>
      <c r="D98" s="5"/>
      <c r="E98" s="5">
        <f>IF($B98 &lt;= 0, 0, -ROUND($B98 * (InterestRate / PaymentsPerYear), 2))</f>
        <v>0</v>
      </c>
      <c r="F98" s="5">
        <f>ROUND(IFERROR(IF($B98&lt;=0,0,
MAX(-$B98, -(-PMT(InterestRate/PaymentsPerYear,LoanTerm*PaymentsPerYear,LoanAmount) + $E98))), 0), 2)</f>
        <v>0</v>
      </c>
      <c r="G98" s="5">
        <f t="shared" si="6"/>
        <v>0</v>
      </c>
      <c r="H98" s="5">
        <f t="shared" si="7"/>
        <v>0</v>
      </c>
    </row>
    <row r="99" spans="1:8" x14ac:dyDescent="0.2">
      <c r="A99" s="2">
        <v>98</v>
      </c>
      <c r="B99" s="5">
        <f t="shared" si="4"/>
        <v>0</v>
      </c>
      <c r="C99" s="5">
        <f t="shared" si="5"/>
        <v>0</v>
      </c>
      <c r="D99" s="5"/>
      <c r="E99" s="5">
        <f>IF($B99 &lt;= 0, 0, -ROUND($B99 * (InterestRate / PaymentsPerYear), 2))</f>
        <v>0</v>
      </c>
      <c r="F99" s="5">
        <f>ROUND(IFERROR(IF($B99&lt;=0,0,
MAX(-$B99, -(-PMT(InterestRate/PaymentsPerYear,LoanTerm*PaymentsPerYear,LoanAmount) + $E99))), 0), 2)</f>
        <v>0</v>
      </c>
      <c r="G99" s="5">
        <f t="shared" si="6"/>
        <v>0</v>
      </c>
      <c r="H99" s="5">
        <f t="shared" si="7"/>
        <v>0</v>
      </c>
    </row>
    <row r="100" spans="1:8" x14ac:dyDescent="0.2">
      <c r="A100" s="2">
        <v>99</v>
      </c>
      <c r="B100" s="5">
        <f t="shared" si="4"/>
        <v>0</v>
      </c>
      <c r="C100" s="5">
        <f t="shared" si="5"/>
        <v>0</v>
      </c>
      <c r="D100" s="5"/>
      <c r="E100" s="5">
        <f>IF($B100 &lt;= 0, 0, -ROUND($B100 * (InterestRate / PaymentsPerYear), 2))</f>
        <v>0</v>
      </c>
      <c r="F100" s="5">
        <f>ROUND(IFERROR(IF($B100&lt;=0,0,
MAX(-$B100, -(-PMT(InterestRate/PaymentsPerYear,LoanTerm*PaymentsPerYear,LoanAmount) + $E100))), 0), 2)</f>
        <v>0</v>
      </c>
      <c r="G100" s="5">
        <f t="shared" si="6"/>
        <v>0</v>
      </c>
      <c r="H100" s="5">
        <f t="shared" si="7"/>
        <v>0</v>
      </c>
    </row>
    <row r="101" spans="1:8" x14ac:dyDescent="0.2">
      <c r="A101" s="2">
        <v>100</v>
      </c>
      <c r="B101" s="5">
        <f t="shared" si="4"/>
        <v>0</v>
      </c>
      <c r="C101" s="5">
        <f t="shared" si="5"/>
        <v>0</v>
      </c>
      <c r="D101" s="5"/>
      <c r="E101" s="5">
        <f>IF($B101 &lt;= 0, 0, -ROUND($B101 * (InterestRate / PaymentsPerYear), 2))</f>
        <v>0</v>
      </c>
      <c r="F101" s="5">
        <f>ROUND(IFERROR(IF($B101&lt;=0,0,
MAX(-$B101, -(-PMT(InterestRate/PaymentsPerYear,LoanTerm*PaymentsPerYear,LoanAmount) + $E101))), 0), 2)</f>
        <v>0</v>
      </c>
      <c r="G101" s="5">
        <f t="shared" si="6"/>
        <v>0</v>
      </c>
      <c r="H101" s="5">
        <f t="shared" si="7"/>
        <v>0</v>
      </c>
    </row>
    <row r="102" spans="1:8" x14ac:dyDescent="0.2">
      <c r="A102" s="2">
        <v>101</v>
      </c>
      <c r="B102" s="5">
        <f t="shared" si="4"/>
        <v>0</v>
      </c>
      <c r="C102" s="5">
        <f t="shared" si="5"/>
        <v>0</v>
      </c>
      <c r="D102" s="5"/>
      <c r="E102" s="5">
        <f>IF($B102 &lt;= 0, 0, -ROUND($B102 * (InterestRate / PaymentsPerYear), 2))</f>
        <v>0</v>
      </c>
      <c r="F102" s="5">
        <f>ROUND(IFERROR(IF($B102&lt;=0,0,
MAX(-$B102, -(-PMT(InterestRate/PaymentsPerYear,LoanTerm*PaymentsPerYear,LoanAmount) + $E102))), 0), 2)</f>
        <v>0</v>
      </c>
      <c r="G102" s="5">
        <f t="shared" si="6"/>
        <v>0</v>
      </c>
      <c r="H102" s="5">
        <f t="shared" si="7"/>
        <v>0</v>
      </c>
    </row>
    <row r="103" spans="1:8" x14ac:dyDescent="0.2">
      <c r="A103" s="2">
        <v>102</v>
      </c>
      <c r="B103" s="5">
        <f t="shared" si="4"/>
        <v>0</v>
      </c>
      <c r="C103" s="5">
        <f t="shared" si="5"/>
        <v>0</v>
      </c>
      <c r="D103" s="5"/>
      <c r="E103" s="5">
        <f>IF($B103 &lt;= 0, 0, -ROUND($B103 * (InterestRate / PaymentsPerYear), 2))</f>
        <v>0</v>
      </c>
      <c r="F103" s="5">
        <f>ROUND(IFERROR(IF($B103&lt;=0,0,
MAX(-$B103, -(-PMT(InterestRate/PaymentsPerYear,LoanTerm*PaymentsPerYear,LoanAmount) + $E103))), 0), 2)</f>
        <v>0</v>
      </c>
      <c r="G103" s="5">
        <f t="shared" si="6"/>
        <v>0</v>
      </c>
      <c r="H103" s="5">
        <f t="shared" si="7"/>
        <v>0</v>
      </c>
    </row>
    <row r="104" spans="1:8" x14ac:dyDescent="0.2">
      <c r="A104" s="2">
        <v>103</v>
      </c>
      <c r="B104" s="5">
        <f t="shared" si="4"/>
        <v>0</v>
      </c>
      <c r="C104" s="5">
        <f t="shared" si="5"/>
        <v>0</v>
      </c>
      <c r="D104" s="5"/>
      <c r="E104" s="5">
        <f>IF($B104 &lt;= 0, 0, -ROUND($B104 * (InterestRate / PaymentsPerYear), 2))</f>
        <v>0</v>
      </c>
      <c r="F104" s="5">
        <f>ROUND(IFERROR(IF($B104&lt;=0,0,
MAX(-$B104, -(-PMT(InterestRate/PaymentsPerYear,LoanTerm*PaymentsPerYear,LoanAmount) + $E104))), 0), 2)</f>
        <v>0</v>
      </c>
      <c r="G104" s="5">
        <f t="shared" si="6"/>
        <v>0</v>
      </c>
      <c r="H104" s="5">
        <f t="shared" si="7"/>
        <v>0</v>
      </c>
    </row>
    <row r="105" spans="1:8" x14ac:dyDescent="0.2">
      <c r="A105" s="2">
        <v>104</v>
      </c>
      <c r="B105" s="5">
        <f t="shared" si="4"/>
        <v>0</v>
      </c>
      <c r="C105" s="5">
        <f t="shared" si="5"/>
        <v>0</v>
      </c>
      <c r="D105" s="5"/>
      <c r="E105" s="5">
        <f>IF($B105 &lt;= 0, 0, -ROUND($B105 * (InterestRate / PaymentsPerYear), 2))</f>
        <v>0</v>
      </c>
      <c r="F105" s="5">
        <f>ROUND(IFERROR(IF($B105&lt;=0,0,
MAX(-$B105, -(-PMT(InterestRate/PaymentsPerYear,LoanTerm*PaymentsPerYear,LoanAmount) + $E105))), 0), 2)</f>
        <v>0</v>
      </c>
      <c r="G105" s="5">
        <f t="shared" si="6"/>
        <v>0</v>
      </c>
      <c r="H105" s="5">
        <f t="shared" si="7"/>
        <v>0</v>
      </c>
    </row>
    <row r="106" spans="1:8" x14ac:dyDescent="0.2">
      <c r="A106" s="2">
        <v>105</v>
      </c>
      <c r="B106" s="5">
        <f t="shared" si="4"/>
        <v>0</v>
      </c>
      <c r="C106" s="5">
        <f t="shared" si="5"/>
        <v>0</v>
      </c>
      <c r="D106" s="5"/>
      <c r="E106" s="5">
        <f>IF($B106 &lt;= 0, 0, -ROUND($B106 * (InterestRate / PaymentsPerYear), 2))</f>
        <v>0</v>
      </c>
      <c r="F106" s="5">
        <f>ROUND(IFERROR(IF($B106&lt;=0,0,
MAX(-$B106, -(-PMT(InterestRate/PaymentsPerYear,LoanTerm*PaymentsPerYear,LoanAmount) + $E106))), 0), 2)</f>
        <v>0</v>
      </c>
      <c r="G106" s="5">
        <f t="shared" si="6"/>
        <v>0</v>
      </c>
      <c r="H106" s="5">
        <f t="shared" si="7"/>
        <v>0</v>
      </c>
    </row>
    <row r="107" spans="1:8" x14ac:dyDescent="0.2">
      <c r="A107" s="2">
        <v>106</v>
      </c>
      <c r="B107" s="5">
        <f t="shared" si="4"/>
        <v>0</v>
      </c>
      <c r="C107" s="5">
        <f t="shared" si="5"/>
        <v>0</v>
      </c>
      <c r="D107" s="5"/>
      <c r="E107" s="5">
        <f>IF($B107 &lt;= 0, 0, -ROUND($B107 * (InterestRate / PaymentsPerYear), 2))</f>
        <v>0</v>
      </c>
      <c r="F107" s="5">
        <f>ROUND(IFERROR(IF($B107&lt;=0,0,
MAX(-$B107, -(-PMT(InterestRate/PaymentsPerYear,LoanTerm*PaymentsPerYear,LoanAmount) + $E107))), 0), 2)</f>
        <v>0</v>
      </c>
      <c r="G107" s="5">
        <f t="shared" si="6"/>
        <v>0</v>
      </c>
      <c r="H107" s="5">
        <f t="shared" si="7"/>
        <v>0</v>
      </c>
    </row>
    <row r="108" spans="1:8" x14ac:dyDescent="0.2">
      <c r="A108" s="2">
        <v>107</v>
      </c>
      <c r="B108" s="5">
        <f t="shared" si="4"/>
        <v>0</v>
      </c>
      <c r="C108" s="5">
        <f t="shared" si="5"/>
        <v>0</v>
      </c>
      <c r="D108" s="5"/>
      <c r="E108" s="5">
        <f>IF($B108 &lt;= 0, 0, -ROUND($B108 * (InterestRate / PaymentsPerYear), 2))</f>
        <v>0</v>
      </c>
      <c r="F108" s="5">
        <f>ROUND(IFERROR(IF($B108&lt;=0,0,
MAX(-$B108, -(-PMT(InterestRate/PaymentsPerYear,LoanTerm*PaymentsPerYear,LoanAmount) + $E108))), 0), 2)</f>
        <v>0</v>
      </c>
      <c r="G108" s="5">
        <f t="shared" si="6"/>
        <v>0</v>
      </c>
      <c r="H108" s="5">
        <f t="shared" si="7"/>
        <v>0</v>
      </c>
    </row>
    <row r="109" spans="1:8" x14ac:dyDescent="0.2">
      <c r="A109" s="2">
        <v>108</v>
      </c>
      <c r="B109" s="5">
        <f t="shared" si="4"/>
        <v>0</v>
      </c>
      <c r="C109" s="5">
        <f t="shared" si="5"/>
        <v>0</v>
      </c>
      <c r="D109" s="5"/>
      <c r="E109" s="5">
        <f>IF($B109 &lt;= 0, 0, -ROUND($B109 * (InterestRate / PaymentsPerYear), 2))</f>
        <v>0</v>
      </c>
      <c r="F109" s="5">
        <f>ROUND(IFERROR(IF($B109&lt;=0,0,
MAX(-$B109, -(-PMT(InterestRate/PaymentsPerYear,LoanTerm*PaymentsPerYear,LoanAmount) + $E109))), 0), 2)</f>
        <v>0</v>
      </c>
      <c r="G109" s="5">
        <f t="shared" si="6"/>
        <v>0</v>
      </c>
      <c r="H109" s="5">
        <f t="shared" si="7"/>
        <v>0</v>
      </c>
    </row>
    <row r="110" spans="1:8" x14ac:dyDescent="0.2">
      <c r="A110" s="2">
        <v>109</v>
      </c>
      <c r="B110" s="5">
        <f t="shared" si="4"/>
        <v>0</v>
      </c>
      <c r="C110" s="5">
        <f t="shared" si="5"/>
        <v>0</v>
      </c>
      <c r="D110" s="5"/>
      <c r="E110" s="5">
        <f>IF($B110 &lt;= 0, 0, -ROUND($B110 * (InterestRate / PaymentsPerYear), 2))</f>
        <v>0</v>
      </c>
      <c r="F110" s="5">
        <f>ROUND(IFERROR(IF($B110&lt;=0,0,
MAX(-$B110, -(-PMT(InterestRate/PaymentsPerYear,LoanTerm*PaymentsPerYear,LoanAmount) + $E110))), 0), 2)</f>
        <v>0</v>
      </c>
      <c r="G110" s="5">
        <f t="shared" si="6"/>
        <v>0</v>
      </c>
      <c r="H110" s="5">
        <f t="shared" si="7"/>
        <v>0</v>
      </c>
    </row>
    <row r="111" spans="1:8" x14ac:dyDescent="0.2">
      <c r="A111" s="2">
        <v>110</v>
      </c>
      <c r="B111" s="5">
        <f t="shared" si="4"/>
        <v>0</v>
      </c>
      <c r="C111" s="5">
        <f t="shared" si="5"/>
        <v>0</v>
      </c>
      <c r="D111" s="5"/>
      <c r="E111" s="5">
        <f>IF($B111 &lt;= 0, 0, -ROUND($B111 * (InterestRate / PaymentsPerYear), 2))</f>
        <v>0</v>
      </c>
      <c r="F111" s="5">
        <f>ROUND(IFERROR(IF($B111&lt;=0,0,
MAX(-$B111, -(-PMT(InterestRate/PaymentsPerYear,LoanTerm*PaymentsPerYear,LoanAmount) + $E111))), 0), 2)</f>
        <v>0</v>
      </c>
      <c r="G111" s="5">
        <f t="shared" si="6"/>
        <v>0</v>
      </c>
      <c r="H111" s="5">
        <f t="shared" si="7"/>
        <v>0</v>
      </c>
    </row>
    <row r="112" spans="1:8" x14ac:dyDescent="0.2">
      <c r="A112" s="2">
        <v>111</v>
      </c>
      <c r="B112" s="5">
        <f t="shared" si="4"/>
        <v>0</v>
      </c>
      <c r="C112" s="5">
        <f t="shared" si="5"/>
        <v>0</v>
      </c>
      <c r="D112" s="5"/>
      <c r="E112" s="5">
        <f>IF($B112 &lt;= 0, 0, -ROUND($B112 * (InterestRate / PaymentsPerYear), 2))</f>
        <v>0</v>
      </c>
      <c r="F112" s="5">
        <f>ROUND(IFERROR(IF($B112&lt;=0,0,
MAX(-$B112, -(-PMT(InterestRate/PaymentsPerYear,LoanTerm*PaymentsPerYear,LoanAmount) + $E112))), 0), 2)</f>
        <v>0</v>
      </c>
      <c r="G112" s="5">
        <f t="shared" si="6"/>
        <v>0</v>
      </c>
      <c r="H112" s="5">
        <f t="shared" si="7"/>
        <v>0</v>
      </c>
    </row>
    <row r="113" spans="1:8" x14ac:dyDescent="0.2">
      <c r="A113" s="2">
        <v>112</v>
      </c>
      <c r="B113" s="5">
        <f t="shared" si="4"/>
        <v>0</v>
      </c>
      <c r="C113" s="5">
        <f t="shared" si="5"/>
        <v>0</v>
      </c>
      <c r="D113" s="5"/>
      <c r="E113" s="5">
        <f>IF($B113 &lt;= 0, 0, -ROUND($B113 * (InterestRate / PaymentsPerYear), 2))</f>
        <v>0</v>
      </c>
      <c r="F113" s="5">
        <f>ROUND(IFERROR(IF($B113&lt;=0,0,
MAX(-$B113, -(-PMT(InterestRate/PaymentsPerYear,LoanTerm*PaymentsPerYear,LoanAmount) + $E113))), 0), 2)</f>
        <v>0</v>
      </c>
      <c r="G113" s="5">
        <f t="shared" si="6"/>
        <v>0</v>
      </c>
      <c r="H113" s="5">
        <f t="shared" si="7"/>
        <v>0</v>
      </c>
    </row>
    <row r="114" spans="1:8" x14ac:dyDescent="0.2">
      <c r="A114" s="2">
        <v>113</v>
      </c>
      <c r="B114" s="5">
        <f t="shared" si="4"/>
        <v>0</v>
      </c>
      <c r="C114" s="5">
        <f t="shared" si="5"/>
        <v>0</v>
      </c>
      <c r="D114" s="5"/>
      <c r="E114" s="5">
        <f>IF($B114 &lt;= 0, 0, -ROUND($B114 * (InterestRate / PaymentsPerYear), 2))</f>
        <v>0</v>
      </c>
      <c r="F114" s="5">
        <f>ROUND(IFERROR(IF($B114&lt;=0,0,
MAX(-$B114, -(-PMT(InterestRate/PaymentsPerYear,LoanTerm*PaymentsPerYear,LoanAmount) + $E114))), 0), 2)</f>
        <v>0</v>
      </c>
      <c r="G114" s="5">
        <f t="shared" si="6"/>
        <v>0</v>
      </c>
      <c r="H114" s="5">
        <f t="shared" si="7"/>
        <v>0</v>
      </c>
    </row>
    <row r="115" spans="1:8" x14ac:dyDescent="0.2">
      <c r="A115" s="2">
        <v>114</v>
      </c>
      <c r="B115" s="5">
        <f t="shared" si="4"/>
        <v>0</v>
      </c>
      <c r="C115" s="5">
        <f t="shared" si="5"/>
        <v>0</v>
      </c>
      <c r="D115" s="5"/>
      <c r="E115" s="5">
        <f>IF($B115 &lt;= 0, 0, -ROUND($B115 * (InterestRate / PaymentsPerYear), 2))</f>
        <v>0</v>
      </c>
      <c r="F115" s="5">
        <f>ROUND(IFERROR(IF($B115&lt;=0,0,
MAX(-$B115, -(-PMT(InterestRate/PaymentsPerYear,LoanTerm*PaymentsPerYear,LoanAmount) + $E115))), 0), 2)</f>
        <v>0</v>
      </c>
      <c r="G115" s="5">
        <f t="shared" si="6"/>
        <v>0</v>
      </c>
      <c r="H115" s="5">
        <f t="shared" si="7"/>
        <v>0</v>
      </c>
    </row>
    <row r="116" spans="1:8" x14ac:dyDescent="0.2">
      <c r="A116" s="2">
        <v>115</v>
      </c>
      <c r="B116" s="5">
        <f t="shared" si="4"/>
        <v>0</v>
      </c>
      <c r="C116" s="5">
        <f t="shared" si="5"/>
        <v>0</v>
      </c>
      <c r="D116" s="5"/>
      <c r="E116" s="5">
        <f>IF($B116 &lt;= 0, 0, -ROUND($B116 * (InterestRate / PaymentsPerYear), 2))</f>
        <v>0</v>
      </c>
      <c r="F116" s="5">
        <f>ROUND(IFERROR(IF($B116&lt;=0,0,
MAX(-$B116, -(-PMT(InterestRate/PaymentsPerYear,LoanTerm*PaymentsPerYear,LoanAmount) + $E116))), 0), 2)</f>
        <v>0</v>
      </c>
      <c r="G116" s="5">
        <f t="shared" si="6"/>
        <v>0</v>
      </c>
      <c r="H116" s="5">
        <f t="shared" si="7"/>
        <v>0</v>
      </c>
    </row>
    <row r="117" spans="1:8" x14ac:dyDescent="0.2">
      <c r="A117" s="2">
        <v>116</v>
      </c>
      <c r="B117" s="5">
        <f t="shared" si="4"/>
        <v>0</v>
      </c>
      <c r="C117" s="5">
        <f t="shared" si="5"/>
        <v>0</v>
      </c>
      <c r="D117" s="5"/>
      <c r="E117" s="5">
        <f>IF($B117 &lt;= 0, 0, -ROUND($B117 * (InterestRate / PaymentsPerYear), 2))</f>
        <v>0</v>
      </c>
      <c r="F117" s="5">
        <f>ROUND(IFERROR(IF($B117&lt;=0,0,
MAX(-$B117, -(-PMT(InterestRate/PaymentsPerYear,LoanTerm*PaymentsPerYear,LoanAmount) + $E117))), 0), 2)</f>
        <v>0</v>
      </c>
      <c r="G117" s="5">
        <f t="shared" si="6"/>
        <v>0</v>
      </c>
      <c r="H117" s="5">
        <f t="shared" si="7"/>
        <v>0</v>
      </c>
    </row>
    <row r="118" spans="1:8" x14ac:dyDescent="0.2">
      <c r="A118" s="2">
        <v>117</v>
      </c>
      <c r="B118" s="5">
        <f t="shared" si="4"/>
        <v>0</v>
      </c>
      <c r="C118" s="5">
        <f t="shared" si="5"/>
        <v>0</v>
      </c>
      <c r="D118" s="5"/>
      <c r="E118" s="5">
        <f>IF($B118 &lt;= 0, 0, -ROUND($B118 * (InterestRate / PaymentsPerYear), 2))</f>
        <v>0</v>
      </c>
      <c r="F118" s="5">
        <f>ROUND(IFERROR(IF($B118&lt;=0,0,
MAX(-$B118, -(-PMT(InterestRate/PaymentsPerYear,LoanTerm*PaymentsPerYear,LoanAmount) + $E118))), 0), 2)</f>
        <v>0</v>
      </c>
      <c r="G118" s="5">
        <f t="shared" si="6"/>
        <v>0</v>
      </c>
      <c r="H118" s="5">
        <f t="shared" si="7"/>
        <v>0</v>
      </c>
    </row>
    <row r="119" spans="1:8" x14ac:dyDescent="0.2">
      <c r="A119" s="2">
        <v>118</v>
      </c>
      <c r="B119" s="5">
        <f t="shared" si="4"/>
        <v>0</v>
      </c>
      <c r="C119" s="5">
        <f t="shared" si="5"/>
        <v>0</v>
      </c>
      <c r="D119" s="5"/>
      <c r="E119" s="5">
        <f>IF($B119 &lt;= 0, 0, -ROUND($B119 * (InterestRate / PaymentsPerYear), 2))</f>
        <v>0</v>
      </c>
      <c r="F119" s="5">
        <f>ROUND(IFERROR(IF($B119&lt;=0,0,
MAX(-$B119, -(-PMT(InterestRate/PaymentsPerYear,LoanTerm*PaymentsPerYear,LoanAmount) + $E119))), 0), 2)</f>
        <v>0</v>
      </c>
      <c r="G119" s="5">
        <f t="shared" si="6"/>
        <v>0</v>
      </c>
      <c r="H119" s="5">
        <f t="shared" si="7"/>
        <v>0</v>
      </c>
    </row>
    <row r="120" spans="1:8" x14ac:dyDescent="0.2">
      <c r="A120" s="2">
        <v>119</v>
      </c>
      <c r="B120" s="5">
        <f t="shared" si="4"/>
        <v>0</v>
      </c>
      <c r="C120" s="5">
        <f t="shared" si="5"/>
        <v>0</v>
      </c>
      <c r="D120" s="5"/>
      <c r="E120" s="5">
        <f>IF($B120 &lt;= 0, 0, -ROUND($B120 * (InterestRate / PaymentsPerYear), 2))</f>
        <v>0</v>
      </c>
      <c r="F120" s="5">
        <f>ROUND(IFERROR(IF($B120&lt;=0,0,
MAX(-$B120, -(-PMT(InterestRate/PaymentsPerYear,LoanTerm*PaymentsPerYear,LoanAmount) + $E120))), 0), 2)</f>
        <v>0</v>
      </c>
      <c r="G120" s="5">
        <f t="shared" si="6"/>
        <v>0</v>
      </c>
      <c r="H120" s="5">
        <f t="shared" si="7"/>
        <v>0</v>
      </c>
    </row>
    <row r="121" spans="1:8" x14ac:dyDescent="0.2">
      <c r="A121" s="2">
        <v>120</v>
      </c>
      <c r="B121" s="5">
        <f t="shared" si="4"/>
        <v>0</v>
      </c>
      <c r="C121" s="5">
        <f t="shared" si="5"/>
        <v>0</v>
      </c>
      <c r="D121" s="5"/>
      <c r="E121" s="5">
        <f>IF($B121 &lt;= 0, 0, -ROUND($B121 * (InterestRate / PaymentsPerYear), 2))</f>
        <v>0</v>
      </c>
      <c r="F121" s="5">
        <f>ROUND(IFERROR(IF($B121&lt;=0,0,
MAX(-$B121, -(-PMT(InterestRate/PaymentsPerYear,LoanTerm*PaymentsPerYear,LoanAmount) + $E121))), 0), 2)</f>
        <v>0</v>
      </c>
      <c r="G121" s="5">
        <f t="shared" si="6"/>
        <v>0</v>
      </c>
      <c r="H121" s="5">
        <f t="shared" si="7"/>
        <v>0</v>
      </c>
    </row>
    <row r="122" spans="1:8" x14ac:dyDescent="0.2">
      <c r="A122" s="2">
        <v>121</v>
      </c>
      <c r="B122" s="5">
        <f t="shared" si="4"/>
        <v>0</v>
      </c>
      <c r="C122" s="5">
        <f t="shared" si="5"/>
        <v>0</v>
      </c>
      <c r="D122" s="5"/>
      <c r="E122" s="5">
        <f>IF($B122 &lt;= 0, 0, -ROUND($B122 * (InterestRate / PaymentsPerYear), 2))</f>
        <v>0</v>
      </c>
      <c r="F122" s="5">
        <f>ROUND(IFERROR(IF($B122&lt;=0,0,
MAX(-$B122, -(-PMT(InterestRate/PaymentsPerYear,LoanTerm*PaymentsPerYear,LoanAmount) + $E122))), 0), 2)</f>
        <v>0</v>
      </c>
      <c r="G122" s="5">
        <f t="shared" si="6"/>
        <v>0</v>
      </c>
      <c r="H122" s="5">
        <f t="shared" si="7"/>
        <v>0</v>
      </c>
    </row>
    <row r="123" spans="1:8" x14ac:dyDescent="0.2">
      <c r="A123" s="2">
        <v>122</v>
      </c>
      <c r="B123" s="5">
        <f t="shared" si="4"/>
        <v>0</v>
      </c>
      <c r="C123" s="5">
        <f t="shared" si="5"/>
        <v>0</v>
      </c>
      <c r="D123" s="5"/>
      <c r="E123" s="5">
        <f>IF($B123 &lt;= 0, 0, -ROUND($B123 * (InterestRate / PaymentsPerYear), 2))</f>
        <v>0</v>
      </c>
      <c r="F123" s="5">
        <f>ROUND(IFERROR(IF($B123&lt;=0,0,
MAX(-$B123, -(-PMT(InterestRate/PaymentsPerYear,LoanTerm*PaymentsPerYear,LoanAmount) + $E123))), 0), 2)</f>
        <v>0</v>
      </c>
      <c r="G123" s="5">
        <f t="shared" si="6"/>
        <v>0</v>
      </c>
      <c r="H123" s="5">
        <f t="shared" si="7"/>
        <v>0</v>
      </c>
    </row>
    <row r="124" spans="1:8" x14ac:dyDescent="0.2">
      <c r="A124" s="2">
        <v>123</v>
      </c>
      <c r="B124" s="5">
        <f t="shared" si="4"/>
        <v>0</v>
      </c>
      <c r="C124" s="5">
        <f t="shared" si="5"/>
        <v>0</v>
      </c>
      <c r="D124" s="5"/>
      <c r="E124" s="5">
        <f>IF($B124 &lt;= 0, 0, -ROUND($B124 * (InterestRate / PaymentsPerYear), 2))</f>
        <v>0</v>
      </c>
      <c r="F124" s="5">
        <f>ROUND(IFERROR(IF($B124&lt;=0,0,
MAX(-$B124, -(-PMT(InterestRate/PaymentsPerYear,LoanTerm*PaymentsPerYear,LoanAmount) + $E124))), 0), 2)</f>
        <v>0</v>
      </c>
      <c r="G124" s="5">
        <f t="shared" si="6"/>
        <v>0</v>
      </c>
      <c r="H124" s="5">
        <f t="shared" si="7"/>
        <v>0</v>
      </c>
    </row>
    <row r="125" spans="1:8" x14ac:dyDescent="0.2">
      <c r="A125" s="2">
        <v>124</v>
      </c>
      <c r="B125" s="5">
        <f t="shared" si="4"/>
        <v>0</v>
      </c>
      <c r="C125" s="5">
        <f t="shared" si="5"/>
        <v>0</v>
      </c>
      <c r="D125" s="5"/>
      <c r="E125" s="5">
        <f>IF($B125 &lt;= 0, 0, -ROUND($B125 * (InterestRate / PaymentsPerYear), 2))</f>
        <v>0</v>
      </c>
      <c r="F125" s="5">
        <f>ROUND(IFERROR(IF($B125&lt;=0,0,
MAX(-$B125, -(-PMT(InterestRate/PaymentsPerYear,LoanTerm*PaymentsPerYear,LoanAmount) + $E125))), 0), 2)</f>
        <v>0</v>
      </c>
      <c r="G125" s="5">
        <f t="shared" si="6"/>
        <v>0</v>
      </c>
      <c r="H125" s="5">
        <f t="shared" si="7"/>
        <v>0</v>
      </c>
    </row>
    <row r="126" spans="1:8" x14ac:dyDescent="0.2">
      <c r="A126" s="2">
        <v>125</v>
      </c>
      <c r="B126" s="5">
        <f t="shared" si="4"/>
        <v>0</v>
      </c>
      <c r="C126" s="5">
        <f t="shared" si="5"/>
        <v>0</v>
      </c>
      <c r="D126" s="5"/>
      <c r="E126" s="5">
        <f>IF($B126 &lt;= 0, 0, -ROUND($B126 * (InterestRate / PaymentsPerYear), 2))</f>
        <v>0</v>
      </c>
      <c r="F126" s="5">
        <f>ROUND(IFERROR(IF($B126&lt;=0,0,
MAX(-$B126, -(-PMT(InterestRate/PaymentsPerYear,LoanTerm*PaymentsPerYear,LoanAmount) + $E126))), 0), 2)</f>
        <v>0</v>
      </c>
      <c r="G126" s="5">
        <f t="shared" si="6"/>
        <v>0</v>
      </c>
      <c r="H126" s="5">
        <f t="shared" si="7"/>
        <v>0</v>
      </c>
    </row>
    <row r="127" spans="1:8" x14ac:dyDescent="0.2">
      <c r="A127" s="2">
        <v>126</v>
      </c>
      <c r="B127" s="5">
        <f t="shared" si="4"/>
        <v>0</v>
      </c>
      <c r="C127" s="5">
        <f t="shared" si="5"/>
        <v>0</v>
      </c>
      <c r="D127" s="5"/>
      <c r="E127" s="5">
        <f>IF($B127 &lt;= 0, 0, -ROUND($B127 * (InterestRate / PaymentsPerYear), 2))</f>
        <v>0</v>
      </c>
      <c r="F127" s="5">
        <f>ROUND(IFERROR(IF($B127&lt;=0,0,
MAX(-$B127, -(-PMT(InterestRate/PaymentsPerYear,LoanTerm*PaymentsPerYear,LoanAmount) + $E127))), 0), 2)</f>
        <v>0</v>
      </c>
      <c r="G127" s="5">
        <f t="shared" si="6"/>
        <v>0</v>
      </c>
      <c r="H127" s="5">
        <f t="shared" si="7"/>
        <v>0</v>
      </c>
    </row>
    <row r="128" spans="1:8" x14ac:dyDescent="0.2">
      <c r="A128" s="2">
        <v>127</v>
      </c>
      <c r="B128" s="5">
        <f t="shared" si="4"/>
        <v>0</v>
      </c>
      <c r="C128" s="5">
        <f t="shared" si="5"/>
        <v>0</v>
      </c>
      <c r="D128" s="5"/>
      <c r="E128" s="5">
        <f>IF($B128 &lt;= 0, 0, -ROUND($B128 * (InterestRate / PaymentsPerYear), 2))</f>
        <v>0</v>
      </c>
      <c r="F128" s="5">
        <f>ROUND(IFERROR(IF($B128&lt;=0,0,
MAX(-$B128, -(-PMT(InterestRate/PaymentsPerYear,LoanTerm*PaymentsPerYear,LoanAmount) + $E128))), 0), 2)</f>
        <v>0</v>
      </c>
      <c r="G128" s="5">
        <f t="shared" si="6"/>
        <v>0</v>
      </c>
      <c r="H128" s="5">
        <f t="shared" si="7"/>
        <v>0</v>
      </c>
    </row>
    <row r="129" spans="1:8" x14ac:dyDescent="0.2">
      <c r="A129" s="2">
        <v>128</v>
      </c>
      <c r="B129" s="5">
        <f t="shared" si="4"/>
        <v>0</v>
      </c>
      <c r="C129" s="5">
        <f t="shared" si="5"/>
        <v>0</v>
      </c>
      <c r="D129" s="5"/>
      <c r="E129" s="5">
        <f>IF($B129 &lt;= 0, 0, -ROUND($B129 * (InterestRate / PaymentsPerYear), 2))</f>
        <v>0</v>
      </c>
      <c r="F129" s="5">
        <f>ROUND(IFERROR(IF($B129&lt;=0,0,
MAX(-$B129, -(-PMT(InterestRate/PaymentsPerYear,LoanTerm*PaymentsPerYear,LoanAmount) + $E129))), 0), 2)</f>
        <v>0</v>
      </c>
      <c r="G129" s="5">
        <f t="shared" si="6"/>
        <v>0</v>
      </c>
      <c r="H129" s="5">
        <f t="shared" si="7"/>
        <v>0</v>
      </c>
    </row>
    <row r="130" spans="1:8" x14ac:dyDescent="0.2">
      <c r="A130" s="2">
        <v>129</v>
      </c>
      <c r="B130" s="5">
        <f t="shared" si="4"/>
        <v>0</v>
      </c>
      <c r="C130" s="5">
        <f t="shared" si="5"/>
        <v>0</v>
      </c>
      <c r="D130" s="5"/>
      <c r="E130" s="5">
        <f>IF($B130 &lt;= 0, 0, -ROUND($B130 * (InterestRate / PaymentsPerYear), 2))</f>
        <v>0</v>
      </c>
      <c r="F130" s="5">
        <f>ROUND(IFERROR(IF($B130&lt;=0,0,
MAX(-$B130, -(-PMT(InterestRate/PaymentsPerYear,LoanTerm*PaymentsPerYear,LoanAmount) + $E130))), 0), 2)</f>
        <v>0</v>
      </c>
      <c r="G130" s="5">
        <f t="shared" si="6"/>
        <v>0</v>
      </c>
      <c r="H130" s="5">
        <f t="shared" si="7"/>
        <v>0</v>
      </c>
    </row>
    <row r="131" spans="1:8" x14ac:dyDescent="0.2">
      <c r="A131" s="2">
        <v>130</v>
      </c>
      <c r="B131" s="5">
        <f t="shared" si="4"/>
        <v>0</v>
      </c>
      <c r="C131" s="5">
        <f t="shared" si="5"/>
        <v>0</v>
      </c>
      <c r="D131" s="5"/>
      <c r="E131" s="5">
        <f>IF($B131 &lt;= 0, 0, -ROUND($B131 * (InterestRate / PaymentsPerYear), 2))</f>
        <v>0</v>
      </c>
      <c r="F131" s="5">
        <f>ROUND(IFERROR(IF($B131&lt;=0,0,
MAX(-$B131, -(-PMT(InterestRate/PaymentsPerYear,LoanTerm*PaymentsPerYear,LoanAmount) + $E131))), 0), 2)</f>
        <v>0</v>
      </c>
      <c r="G131" s="5">
        <f t="shared" si="6"/>
        <v>0</v>
      </c>
      <c r="H131" s="5">
        <f t="shared" si="7"/>
        <v>0</v>
      </c>
    </row>
    <row r="132" spans="1:8" x14ac:dyDescent="0.2">
      <c r="A132" s="2">
        <v>131</v>
      </c>
      <c r="B132" s="5">
        <f t="shared" ref="B132:B195" si="8">ROUND(IF($H131 &gt;= 0, MAX($H131, $F131), 0), 2)</f>
        <v>0</v>
      </c>
      <c r="C132" s="5">
        <f t="shared" ref="C132:C195" si="9">IF($B132 &lt;= 0, 0, $E132+$F132)</f>
        <v>0</v>
      </c>
      <c r="D132" s="5"/>
      <c r="E132" s="5">
        <f>IF($B132 &lt;= 0, 0, -ROUND($B132 * (InterestRate / PaymentsPerYear), 2))</f>
        <v>0</v>
      </c>
      <c r="F132" s="5">
        <f>ROUND(IFERROR(IF($B132&lt;=0,0,
MAX(-$B132, -(-PMT(InterestRate/PaymentsPerYear,LoanTerm*PaymentsPerYear,LoanAmount) + $E132))), 0), 2)</f>
        <v>0</v>
      </c>
      <c r="G132" s="5">
        <f t="shared" ref="G132:G195" si="10">$F132</f>
        <v>0</v>
      </c>
      <c r="H132" s="5">
        <f t="shared" ref="H132:H195" si="11">ROUND(IF($B132 &lt;= 0, 0,MAX(0, $B132 + $G132)), 2)</f>
        <v>0</v>
      </c>
    </row>
    <row r="133" spans="1:8" x14ac:dyDescent="0.2">
      <c r="A133" s="2">
        <v>132</v>
      </c>
      <c r="B133" s="5">
        <f t="shared" si="8"/>
        <v>0</v>
      </c>
      <c r="C133" s="5">
        <f t="shared" si="9"/>
        <v>0</v>
      </c>
      <c r="D133" s="5"/>
      <c r="E133" s="5">
        <f>IF($B133 &lt;= 0, 0, -ROUND($B133 * (InterestRate / PaymentsPerYear), 2))</f>
        <v>0</v>
      </c>
      <c r="F133" s="5">
        <f>ROUND(IFERROR(IF($B133&lt;=0,0,
MAX(-$B133, -(-PMT(InterestRate/PaymentsPerYear,LoanTerm*PaymentsPerYear,LoanAmount) + $E133))), 0), 2)</f>
        <v>0</v>
      </c>
      <c r="G133" s="5">
        <f t="shared" si="10"/>
        <v>0</v>
      </c>
      <c r="H133" s="5">
        <f t="shared" si="11"/>
        <v>0</v>
      </c>
    </row>
    <row r="134" spans="1:8" x14ac:dyDescent="0.2">
      <c r="A134" s="2">
        <v>133</v>
      </c>
      <c r="B134" s="5">
        <f t="shared" si="8"/>
        <v>0</v>
      </c>
      <c r="C134" s="5">
        <f t="shared" si="9"/>
        <v>0</v>
      </c>
      <c r="D134" s="5"/>
      <c r="E134" s="5">
        <f>IF($B134 &lt;= 0, 0, -ROUND($B134 * (InterestRate / PaymentsPerYear), 2))</f>
        <v>0</v>
      </c>
      <c r="F134" s="5">
        <f>ROUND(IFERROR(IF($B134&lt;=0,0,
MAX(-$B134, -(-PMT(InterestRate/PaymentsPerYear,LoanTerm*PaymentsPerYear,LoanAmount) + $E134))), 0), 2)</f>
        <v>0</v>
      </c>
      <c r="G134" s="5">
        <f t="shared" si="10"/>
        <v>0</v>
      </c>
      <c r="H134" s="5">
        <f t="shared" si="11"/>
        <v>0</v>
      </c>
    </row>
    <row r="135" spans="1:8" x14ac:dyDescent="0.2">
      <c r="A135" s="2">
        <v>134</v>
      </c>
      <c r="B135" s="5">
        <f t="shared" si="8"/>
        <v>0</v>
      </c>
      <c r="C135" s="5">
        <f t="shared" si="9"/>
        <v>0</v>
      </c>
      <c r="D135" s="5"/>
      <c r="E135" s="5">
        <f>IF($B135 &lt;= 0, 0, -ROUND($B135 * (InterestRate / PaymentsPerYear), 2))</f>
        <v>0</v>
      </c>
      <c r="F135" s="5">
        <f>ROUND(IFERROR(IF($B135&lt;=0,0,
MAX(-$B135, -(-PMT(InterestRate/PaymentsPerYear,LoanTerm*PaymentsPerYear,LoanAmount) + $E135))), 0), 2)</f>
        <v>0</v>
      </c>
      <c r="G135" s="5">
        <f t="shared" si="10"/>
        <v>0</v>
      </c>
      <c r="H135" s="5">
        <f t="shared" si="11"/>
        <v>0</v>
      </c>
    </row>
    <row r="136" spans="1:8" x14ac:dyDescent="0.2">
      <c r="A136" s="2">
        <v>135</v>
      </c>
      <c r="B136" s="5">
        <f t="shared" si="8"/>
        <v>0</v>
      </c>
      <c r="C136" s="5">
        <f t="shared" si="9"/>
        <v>0</v>
      </c>
      <c r="D136" s="5"/>
      <c r="E136" s="5">
        <f>IF($B136 &lt;= 0, 0, -ROUND($B136 * (InterestRate / PaymentsPerYear), 2))</f>
        <v>0</v>
      </c>
      <c r="F136" s="5">
        <f>ROUND(IFERROR(IF($B136&lt;=0,0,
MAX(-$B136, -(-PMT(InterestRate/PaymentsPerYear,LoanTerm*PaymentsPerYear,LoanAmount) + $E136))), 0), 2)</f>
        <v>0</v>
      </c>
      <c r="G136" s="5">
        <f t="shared" si="10"/>
        <v>0</v>
      </c>
      <c r="H136" s="5">
        <f t="shared" si="11"/>
        <v>0</v>
      </c>
    </row>
    <row r="137" spans="1:8" x14ac:dyDescent="0.2">
      <c r="A137" s="2">
        <v>136</v>
      </c>
      <c r="B137" s="5">
        <f t="shared" si="8"/>
        <v>0</v>
      </c>
      <c r="C137" s="5">
        <f t="shared" si="9"/>
        <v>0</v>
      </c>
      <c r="D137" s="5"/>
      <c r="E137" s="5">
        <f>IF($B137 &lt;= 0, 0, -ROUND($B137 * (InterestRate / PaymentsPerYear), 2))</f>
        <v>0</v>
      </c>
      <c r="F137" s="5">
        <f>ROUND(IFERROR(IF($B137&lt;=0,0,
MAX(-$B137, -(-PMT(InterestRate/PaymentsPerYear,LoanTerm*PaymentsPerYear,LoanAmount) + $E137))), 0), 2)</f>
        <v>0</v>
      </c>
      <c r="G137" s="5">
        <f t="shared" si="10"/>
        <v>0</v>
      </c>
      <c r="H137" s="5">
        <f t="shared" si="11"/>
        <v>0</v>
      </c>
    </row>
    <row r="138" spans="1:8" x14ac:dyDescent="0.2">
      <c r="A138" s="2">
        <v>137</v>
      </c>
      <c r="B138" s="5">
        <f t="shared" si="8"/>
        <v>0</v>
      </c>
      <c r="C138" s="5">
        <f t="shared" si="9"/>
        <v>0</v>
      </c>
      <c r="D138" s="5"/>
      <c r="E138" s="5">
        <f>IF($B138 &lt;= 0, 0, -ROUND($B138 * (InterestRate / PaymentsPerYear), 2))</f>
        <v>0</v>
      </c>
      <c r="F138" s="5">
        <f>ROUND(IFERROR(IF($B138&lt;=0,0,
MAX(-$B138, -(-PMT(InterestRate/PaymentsPerYear,LoanTerm*PaymentsPerYear,LoanAmount) + $E138))), 0), 2)</f>
        <v>0</v>
      </c>
      <c r="G138" s="5">
        <f t="shared" si="10"/>
        <v>0</v>
      </c>
      <c r="H138" s="5">
        <f t="shared" si="11"/>
        <v>0</v>
      </c>
    </row>
    <row r="139" spans="1:8" x14ac:dyDescent="0.2">
      <c r="A139" s="2">
        <v>138</v>
      </c>
      <c r="B139" s="5">
        <f t="shared" si="8"/>
        <v>0</v>
      </c>
      <c r="C139" s="5">
        <f t="shared" si="9"/>
        <v>0</v>
      </c>
      <c r="D139" s="5"/>
      <c r="E139" s="5">
        <f>IF($B139 &lt;= 0, 0, -ROUND($B139 * (InterestRate / PaymentsPerYear), 2))</f>
        <v>0</v>
      </c>
      <c r="F139" s="5">
        <f>ROUND(IFERROR(IF($B139&lt;=0,0,
MAX(-$B139, -(-PMT(InterestRate/PaymentsPerYear,LoanTerm*PaymentsPerYear,LoanAmount) + $E139))), 0), 2)</f>
        <v>0</v>
      </c>
      <c r="G139" s="5">
        <f t="shared" si="10"/>
        <v>0</v>
      </c>
      <c r="H139" s="5">
        <f t="shared" si="11"/>
        <v>0</v>
      </c>
    </row>
    <row r="140" spans="1:8" x14ac:dyDescent="0.2">
      <c r="A140" s="2">
        <v>139</v>
      </c>
      <c r="B140" s="5">
        <f t="shared" si="8"/>
        <v>0</v>
      </c>
      <c r="C140" s="5">
        <f t="shared" si="9"/>
        <v>0</v>
      </c>
      <c r="D140" s="5"/>
      <c r="E140" s="5">
        <f>IF($B140 &lt;= 0, 0, -ROUND($B140 * (InterestRate / PaymentsPerYear), 2))</f>
        <v>0</v>
      </c>
      <c r="F140" s="5">
        <f>ROUND(IFERROR(IF($B140&lt;=0,0,
MAX(-$B140, -(-PMT(InterestRate/PaymentsPerYear,LoanTerm*PaymentsPerYear,LoanAmount) + $E140))), 0), 2)</f>
        <v>0</v>
      </c>
      <c r="G140" s="5">
        <f t="shared" si="10"/>
        <v>0</v>
      </c>
      <c r="H140" s="5">
        <f t="shared" si="11"/>
        <v>0</v>
      </c>
    </row>
    <row r="141" spans="1:8" x14ac:dyDescent="0.2">
      <c r="A141" s="2">
        <v>140</v>
      </c>
      <c r="B141" s="5">
        <f t="shared" si="8"/>
        <v>0</v>
      </c>
      <c r="C141" s="5">
        <f t="shared" si="9"/>
        <v>0</v>
      </c>
      <c r="D141" s="5"/>
      <c r="E141" s="5">
        <f>IF($B141 &lt;= 0, 0, -ROUND($B141 * (InterestRate / PaymentsPerYear), 2))</f>
        <v>0</v>
      </c>
      <c r="F141" s="5">
        <f>ROUND(IFERROR(IF($B141&lt;=0,0,
MAX(-$B141, -(-PMT(InterestRate/PaymentsPerYear,LoanTerm*PaymentsPerYear,LoanAmount) + $E141))), 0), 2)</f>
        <v>0</v>
      </c>
      <c r="G141" s="5">
        <f t="shared" si="10"/>
        <v>0</v>
      </c>
      <c r="H141" s="5">
        <f t="shared" si="11"/>
        <v>0</v>
      </c>
    </row>
    <row r="142" spans="1:8" x14ac:dyDescent="0.2">
      <c r="A142" s="2">
        <v>141</v>
      </c>
      <c r="B142" s="5">
        <f t="shared" si="8"/>
        <v>0</v>
      </c>
      <c r="C142" s="5">
        <f t="shared" si="9"/>
        <v>0</v>
      </c>
      <c r="D142" s="5"/>
      <c r="E142" s="5">
        <f>IF($B142 &lt;= 0, 0, -ROUND($B142 * (InterestRate / PaymentsPerYear), 2))</f>
        <v>0</v>
      </c>
      <c r="F142" s="5">
        <f>ROUND(IFERROR(IF($B142&lt;=0,0,
MAX(-$B142, -(-PMT(InterestRate/PaymentsPerYear,LoanTerm*PaymentsPerYear,LoanAmount) + $E142))), 0), 2)</f>
        <v>0</v>
      </c>
      <c r="G142" s="5">
        <f t="shared" si="10"/>
        <v>0</v>
      </c>
      <c r="H142" s="5">
        <f t="shared" si="11"/>
        <v>0</v>
      </c>
    </row>
    <row r="143" spans="1:8" x14ac:dyDescent="0.2">
      <c r="A143" s="2">
        <v>142</v>
      </c>
      <c r="B143" s="5">
        <f t="shared" si="8"/>
        <v>0</v>
      </c>
      <c r="C143" s="5">
        <f t="shared" si="9"/>
        <v>0</v>
      </c>
      <c r="D143" s="5"/>
      <c r="E143" s="5">
        <f>IF($B143 &lt;= 0, 0, -ROUND($B143 * (InterestRate / PaymentsPerYear), 2))</f>
        <v>0</v>
      </c>
      <c r="F143" s="5">
        <f>ROUND(IFERROR(IF($B143&lt;=0,0,
MAX(-$B143, -(-PMT(InterestRate/PaymentsPerYear,LoanTerm*PaymentsPerYear,LoanAmount) + $E143))), 0), 2)</f>
        <v>0</v>
      </c>
      <c r="G143" s="5">
        <f t="shared" si="10"/>
        <v>0</v>
      </c>
      <c r="H143" s="5">
        <f t="shared" si="11"/>
        <v>0</v>
      </c>
    </row>
    <row r="144" spans="1:8" x14ac:dyDescent="0.2">
      <c r="A144" s="2">
        <v>143</v>
      </c>
      <c r="B144" s="5">
        <f t="shared" si="8"/>
        <v>0</v>
      </c>
      <c r="C144" s="5">
        <f t="shared" si="9"/>
        <v>0</v>
      </c>
      <c r="D144" s="5"/>
      <c r="E144" s="5">
        <f>IF($B144 &lt;= 0, 0, -ROUND($B144 * (InterestRate / PaymentsPerYear), 2))</f>
        <v>0</v>
      </c>
      <c r="F144" s="5">
        <f>ROUND(IFERROR(IF($B144&lt;=0,0,
MAX(-$B144, -(-PMT(InterestRate/PaymentsPerYear,LoanTerm*PaymentsPerYear,LoanAmount) + $E144))), 0), 2)</f>
        <v>0</v>
      </c>
      <c r="G144" s="5">
        <f t="shared" si="10"/>
        <v>0</v>
      </c>
      <c r="H144" s="5">
        <f t="shared" si="11"/>
        <v>0</v>
      </c>
    </row>
    <row r="145" spans="1:8" x14ac:dyDescent="0.2">
      <c r="A145" s="2">
        <v>144</v>
      </c>
      <c r="B145" s="5">
        <f t="shared" si="8"/>
        <v>0</v>
      </c>
      <c r="C145" s="5">
        <f t="shared" si="9"/>
        <v>0</v>
      </c>
      <c r="D145" s="5"/>
      <c r="E145" s="5">
        <f>IF($B145 &lt;= 0, 0, -ROUND($B145 * (InterestRate / PaymentsPerYear), 2))</f>
        <v>0</v>
      </c>
      <c r="F145" s="5">
        <f>ROUND(IFERROR(IF($B145&lt;=0,0,
MAX(-$B145, -(-PMT(InterestRate/PaymentsPerYear,LoanTerm*PaymentsPerYear,LoanAmount) + $E145))), 0), 2)</f>
        <v>0</v>
      </c>
      <c r="G145" s="5">
        <f t="shared" si="10"/>
        <v>0</v>
      </c>
      <c r="H145" s="5">
        <f t="shared" si="11"/>
        <v>0</v>
      </c>
    </row>
    <row r="146" spans="1:8" x14ac:dyDescent="0.2">
      <c r="A146" s="2">
        <v>145</v>
      </c>
      <c r="B146" s="5">
        <f t="shared" si="8"/>
        <v>0</v>
      </c>
      <c r="C146" s="5">
        <f t="shared" si="9"/>
        <v>0</v>
      </c>
      <c r="D146" s="5"/>
      <c r="E146" s="5">
        <f>IF($B146 &lt;= 0, 0, -ROUND($B146 * (InterestRate / PaymentsPerYear), 2))</f>
        <v>0</v>
      </c>
      <c r="F146" s="5">
        <f>ROUND(IFERROR(IF($B146&lt;=0,0,
MAX(-$B146, -(-PMT(InterestRate/PaymentsPerYear,LoanTerm*PaymentsPerYear,LoanAmount) + $E146))), 0), 2)</f>
        <v>0</v>
      </c>
      <c r="G146" s="5">
        <f t="shared" si="10"/>
        <v>0</v>
      </c>
      <c r="H146" s="5">
        <f t="shared" si="11"/>
        <v>0</v>
      </c>
    </row>
    <row r="147" spans="1:8" x14ac:dyDescent="0.2">
      <c r="A147" s="2">
        <v>146</v>
      </c>
      <c r="B147" s="5">
        <f t="shared" si="8"/>
        <v>0</v>
      </c>
      <c r="C147" s="5">
        <f t="shared" si="9"/>
        <v>0</v>
      </c>
      <c r="D147" s="5"/>
      <c r="E147" s="5">
        <f>IF($B147 &lt;= 0, 0, -ROUND($B147 * (InterestRate / PaymentsPerYear), 2))</f>
        <v>0</v>
      </c>
      <c r="F147" s="5">
        <f>ROUND(IFERROR(IF($B147&lt;=0,0,
MAX(-$B147, -(-PMT(InterestRate/PaymentsPerYear,LoanTerm*PaymentsPerYear,LoanAmount) + $E147))), 0), 2)</f>
        <v>0</v>
      </c>
      <c r="G147" s="5">
        <f t="shared" si="10"/>
        <v>0</v>
      </c>
      <c r="H147" s="5">
        <f t="shared" si="11"/>
        <v>0</v>
      </c>
    </row>
    <row r="148" spans="1:8" x14ac:dyDescent="0.2">
      <c r="A148" s="2">
        <v>147</v>
      </c>
      <c r="B148" s="5">
        <f t="shared" si="8"/>
        <v>0</v>
      </c>
      <c r="C148" s="5">
        <f t="shared" si="9"/>
        <v>0</v>
      </c>
      <c r="D148" s="5"/>
      <c r="E148" s="5">
        <f>IF($B148 &lt;= 0, 0, -ROUND($B148 * (InterestRate / PaymentsPerYear), 2))</f>
        <v>0</v>
      </c>
      <c r="F148" s="5">
        <f>ROUND(IFERROR(IF($B148&lt;=0,0,
MAX(-$B148, -(-PMT(InterestRate/PaymentsPerYear,LoanTerm*PaymentsPerYear,LoanAmount) + $E148))), 0), 2)</f>
        <v>0</v>
      </c>
      <c r="G148" s="5">
        <f t="shared" si="10"/>
        <v>0</v>
      </c>
      <c r="H148" s="5">
        <f t="shared" si="11"/>
        <v>0</v>
      </c>
    </row>
    <row r="149" spans="1:8" x14ac:dyDescent="0.2">
      <c r="A149" s="2">
        <v>148</v>
      </c>
      <c r="B149" s="5">
        <f t="shared" si="8"/>
        <v>0</v>
      </c>
      <c r="C149" s="5">
        <f t="shared" si="9"/>
        <v>0</v>
      </c>
      <c r="D149" s="5"/>
      <c r="E149" s="5">
        <f>IF($B149 &lt;= 0, 0, -ROUND($B149 * (InterestRate / PaymentsPerYear), 2))</f>
        <v>0</v>
      </c>
      <c r="F149" s="5">
        <f>ROUND(IFERROR(IF($B149&lt;=0,0,
MAX(-$B149, -(-PMT(InterestRate/PaymentsPerYear,LoanTerm*PaymentsPerYear,LoanAmount) + $E149))), 0), 2)</f>
        <v>0</v>
      </c>
      <c r="G149" s="5">
        <f t="shared" si="10"/>
        <v>0</v>
      </c>
      <c r="H149" s="5">
        <f t="shared" si="11"/>
        <v>0</v>
      </c>
    </row>
    <row r="150" spans="1:8" x14ac:dyDescent="0.2">
      <c r="A150" s="2">
        <v>149</v>
      </c>
      <c r="B150" s="5">
        <f t="shared" si="8"/>
        <v>0</v>
      </c>
      <c r="C150" s="5">
        <f t="shared" si="9"/>
        <v>0</v>
      </c>
      <c r="D150" s="5"/>
      <c r="E150" s="5">
        <f>IF($B150 &lt;= 0, 0, -ROUND($B150 * (InterestRate / PaymentsPerYear), 2))</f>
        <v>0</v>
      </c>
      <c r="F150" s="5">
        <f>ROUND(IFERROR(IF($B150&lt;=0,0,
MAX(-$B150, -(-PMT(InterestRate/PaymentsPerYear,LoanTerm*PaymentsPerYear,LoanAmount) + $E150))), 0), 2)</f>
        <v>0</v>
      </c>
      <c r="G150" s="5">
        <f t="shared" si="10"/>
        <v>0</v>
      </c>
      <c r="H150" s="5">
        <f t="shared" si="11"/>
        <v>0</v>
      </c>
    </row>
    <row r="151" spans="1:8" x14ac:dyDescent="0.2">
      <c r="A151" s="2">
        <v>150</v>
      </c>
      <c r="B151" s="5">
        <f t="shared" si="8"/>
        <v>0</v>
      </c>
      <c r="C151" s="5">
        <f t="shared" si="9"/>
        <v>0</v>
      </c>
      <c r="D151" s="5"/>
      <c r="E151" s="5">
        <f>IF($B151 &lt;= 0, 0, -ROUND($B151 * (InterestRate / PaymentsPerYear), 2))</f>
        <v>0</v>
      </c>
      <c r="F151" s="5">
        <f>ROUND(IFERROR(IF($B151&lt;=0,0,
MAX(-$B151, -(-PMT(InterestRate/PaymentsPerYear,LoanTerm*PaymentsPerYear,LoanAmount) + $E151))), 0), 2)</f>
        <v>0</v>
      </c>
      <c r="G151" s="5">
        <f t="shared" si="10"/>
        <v>0</v>
      </c>
      <c r="H151" s="5">
        <f t="shared" si="11"/>
        <v>0</v>
      </c>
    </row>
    <row r="152" spans="1:8" x14ac:dyDescent="0.2">
      <c r="A152" s="2">
        <v>151</v>
      </c>
      <c r="B152" s="5">
        <f t="shared" si="8"/>
        <v>0</v>
      </c>
      <c r="C152" s="5">
        <f t="shared" si="9"/>
        <v>0</v>
      </c>
      <c r="D152" s="5"/>
      <c r="E152" s="5">
        <f>IF($B152 &lt;= 0, 0, -ROUND($B152 * (InterestRate / PaymentsPerYear), 2))</f>
        <v>0</v>
      </c>
      <c r="F152" s="5">
        <f>ROUND(IFERROR(IF($B152&lt;=0,0,
MAX(-$B152, -(-PMT(InterestRate/PaymentsPerYear,LoanTerm*PaymentsPerYear,LoanAmount) + $E152))), 0), 2)</f>
        <v>0</v>
      </c>
      <c r="G152" s="5">
        <f t="shared" si="10"/>
        <v>0</v>
      </c>
      <c r="H152" s="5">
        <f t="shared" si="11"/>
        <v>0</v>
      </c>
    </row>
    <row r="153" spans="1:8" x14ac:dyDescent="0.2">
      <c r="A153" s="2">
        <v>152</v>
      </c>
      <c r="B153" s="5">
        <f t="shared" si="8"/>
        <v>0</v>
      </c>
      <c r="C153" s="5">
        <f t="shared" si="9"/>
        <v>0</v>
      </c>
      <c r="D153" s="5"/>
      <c r="E153" s="5">
        <f>IF($B153 &lt;= 0, 0, -ROUND($B153 * (InterestRate / PaymentsPerYear), 2))</f>
        <v>0</v>
      </c>
      <c r="F153" s="5">
        <f>ROUND(IFERROR(IF($B153&lt;=0,0,
MAX(-$B153, -(-PMT(InterestRate/PaymentsPerYear,LoanTerm*PaymentsPerYear,LoanAmount) + $E153))), 0), 2)</f>
        <v>0</v>
      </c>
      <c r="G153" s="5">
        <f t="shared" si="10"/>
        <v>0</v>
      </c>
      <c r="H153" s="5">
        <f t="shared" si="11"/>
        <v>0</v>
      </c>
    </row>
    <row r="154" spans="1:8" x14ac:dyDescent="0.2">
      <c r="A154" s="2">
        <v>153</v>
      </c>
      <c r="B154" s="5">
        <f t="shared" si="8"/>
        <v>0</v>
      </c>
      <c r="C154" s="5">
        <f t="shared" si="9"/>
        <v>0</v>
      </c>
      <c r="D154" s="5"/>
      <c r="E154" s="5">
        <f>IF($B154 &lt;= 0, 0, -ROUND($B154 * (InterestRate / PaymentsPerYear), 2))</f>
        <v>0</v>
      </c>
      <c r="F154" s="5">
        <f>ROUND(IFERROR(IF($B154&lt;=0,0,
MAX(-$B154, -(-PMT(InterestRate/PaymentsPerYear,LoanTerm*PaymentsPerYear,LoanAmount) + $E154))), 0), 2)</f>
        <v>0</v>
      </c>
      <c r="G154" s="5">
        <f t="shared" si="10"/>
        <v>0</v>
      </c>
      <c r="H154" s="5">
        <f t="shared" si="11"/>
        <v>0</v>
      </c>
    </row>
    <row r="155" spans="1:8" x14ac:dyDescent="0.2">
      <c r="A155" s="2">
        <v>154</v>
      </c>
      <c r="B155" s="5">
        <f t="shared" si="8"/>
        <v>0</v>
      </c>
      <c r="C155" s="5">
        <f t="shared" si="9"/>
        <v>0</v>
      </c>
      <c r="D155" s="5"/>
      <c r="E155" s="5">
        <f>IF($B155 &lt;= 0, 0, -ROUND($B155 * (InterestRate / PaymentsPerYear), 2))</f>
        <v>0</v>
      </c>
      <c r="F155" s="5">
        <f>ROUND(IFERROR(IF($B155&lt;=0,0,
MAX(-$B155, -(-PMT(InterestRate/PaymentsPerYear,LoanTerm*PaymentsPerYear,LoanAmount) + $E155))), 0), 2)</f>
        <v>0</v>
      </c>
      <c r="G155" s="5">
        <f t="shared" si="10"/>
        <v>0</v>
      </c>
      <c r="H155" s="5">
        <f t="shared" si="11"/>
        <v>0</v>
      </c>
    </row>
    <row r="156" spans="1:8" x14ac:dyDescent="0.2">
      <c r="A156" s="2">
        <v>155</v>
      </c>
      <c r="B156" s="5">
        <f t="shared" si="8"/>
        <v>0</v>
      </c>
      <c r="C156" s="5">
        <f t="shared" si="9"/>
        <v>0</v>
      </c>
      <c r="D156" s="5"/>
      <c r="E156" s="5">
        <f>IF($B156 &lt;= 0, 0, -ROUND($B156 * (InterestRate / PaymentsPerYear), 2))</f>
        <v>0</v>
      </c>
      <c r="F156" s="5">
        <f>ROUND(IFERROR(IF($B156&lt;=0,0,
MAX(-$B156, -(-PMT(InterestRate/PaymentsPerYear,LoanTerm*PaymentsPerYear,LoanAmount) + $E156))), 0), 2)</f>
        <v>0</v>
      </c>
      <c r="G156" s="5">
        <f t="shared" si="10"/>
        <v>0</v>
      </c>
      <c r="H156" s="5">
        <f t="shared" si="11"/>
        <v>0</v>
      </c>
    </row>
    <row r="157" spans="1:8" x14ac:dyDescent="0.2">
      <c r="A157" s="2">
        <v>156</v>
      </c>
      <c r="B157" s="5">
        <f t="shared" si="8"/>
        <v>0</v>
      </c>
      <c r="C157" s="5">
        <f t="shared" si="9"/>
        <v>0</v>
      </c>
      <c r="D157" s="5"/>
      <c r="E157" s="5">
        <f>IF($B157 &lt;= 0, 0, -ROUND($B157 * (InterestRate / PaymentsPerYear), 2))</f>
        <v>0</v>
      </c>
      <c r="F157" s="5">
        <f>ROUND(IFERROR(IF($B157&lt;=0,0,
MAX(-$B157, -(-PMT(InterestRate/PaymentsPerYear,LoanTerm*PaymentsPerYear,LoanAmount) + $E157))), 0), 2)</f>
        <v>0</v>
      </c>
      <c r="G157" s="5">
        <f t="shared" si="10"/>
        <v>0</v>
      </c>
      <c r="H157" s="5">
        <f t="shared" si="11"/>
        <v>0</v>
      </c>
    </row>
    <row r="158" spans="1:8" x14ac:dyDescent="0.2">
      <c r="A158" s="2">
        <v>157</v>
      </c>
      <c r="B158" s="5">
        <f t="shared" si="8"/>
        <v>0</v>
      </c>
      <c r="C158" s="5">
        <f t="shared" si="9"/>
        <v>0</v>
      </c>
      <c r="D158" s="5"/>
      <c r="E158" s="5">
        <f>IF($B158 &lt;= 0, 0, -ROUND($B158 * (InterestRate / PaymentsPerYear), 2))</f>
        <v>0</v>
      </c>
      <c r="F158" s="5">
        <f>ROUND(IFERROR(IF($B158&lt;=0,0,
MAX(-$B158, -(-PMT(InterestRate/PaymentsPerYear,LoanTerm*PaymentsPerYear,LoanAmount) + $E158))), 0), 2)</f>
        <v>0</v>
      </c>
      <c r="G158" s="5">
        <f t="shared" si="10"/>
        <v>0</v>
      </c>
      <c r="H158" s="5">
        <f t="shared" si="11"/>
        <v>0</v>
      </c>
    </row>
    <row r="159" spans="1:8" x14ac:dyDescent="0.2">
      <c r="A159" s="2">
        <v>158</v>
      </c>
      <c r="B159" s="5">
        <f t="shared" si="8"/>
        <v>0</v>
      </c>
      <c r="C159" s="5">
        <f t="shared" si="9"/>
        <v>0</v>
      </c>
      <c r="D159" s="5"/>
      <c r="E159" s="5">
        <f>IF($B159 &lt;= 0, 0, -ROUND($B159 * (InterestRate / PaymentsPerYear), 2))</f>
        <v>0</v>
      </c>
      <c r="F159" s="5">
        <f>ROUND(IFERROR(IF($B159&lt;=0,0,
MAX(-$B159, -(-PMT(InterestRate/PaymentsPerYear,LoanTerm*PaymentsPerYear,LoanAmount) + $E159))), 0), 2)</f>
        <v>0</v>
      </c>
      <c r="G159" s="5">
        <f t="shared" si="10"/>
        <v>0</v>
      </c>
      <c r="H159" s="5">
        <f t="shared" si="11"/>
        <v>0</v>
      </c>
    </row>
    <row r="160" spans="1:8" x14ac:dyDescent="0.2">
      <c r="A160" s="2">
        <v>159</v>
      </c>
      <c r="B160" s="5">
        <f t="shared" si="8"/>
        <v>0</v>
      </c>
      <c r="C160" s="5">
        <f t="shared" si="9"/>
        <v>0</v>
      </c>
      <c r="D160" s="5"/>
      <c r="E160" s="5">
        <f>IF($B160 &lt;= 0, 0, -ROUND($B160 * (InterestRate / PaymentsPerYear), 2))</f>
        <v>0</v>
      </c>
      <c r="F160" s="5">
        <f>ROUND(IFERROR(IF($B160&lt;=0,0,
MAX(-$B160, -(-PMT(InterestRate/PaymentsPerYear,LoanTerm*PaymentsPerYear,LoanAmount) + $E160))), 0), 2)</f>
        <v>0</v>
      </c>
      <c r="G160" s="5">
        <f t="shared" si="10"/>
        <v>0</v>
      </c>
      <c r="H160" s="5">
        <f t="shared" si="11"/>
        <v>0</v>
      </c>
    </row>
    <row r="161" spans="1:8" x14ac:dyDescent="0.2">
      <c r="A161" s="2">
        <v>160</v>
      </c>
      <c r="B161" s="5">
        <f t="shared" si="8"/>
        <v>0</v>
      </c>
      <c r="C161" s="5">
        <f t="shared" si="9"/>
        <v>0</v>
      </c>
      <c r="D161" s="5"/>
      <c r="E161" s="5">
        <f>IF($B161 &lt;= 0, 0, -ROUND($B161 * (InterestRate / PaymentsPerYear), 2))</f>
        <v>0</v>
      </c>
      <c r="F161" s="5">
        <f>ROUND(IFERROR(IF($B161&lt;=0,0,
MAX(-$B161, -(-PMT(InterestRate/PaymentsPerYear,LoanTerm*PaymentsPerYear,LoanAmount) + $E161))), 0), 2)</f>
        <v>0</v>
      </c>
      <c r="G161" s="5">
        <f t="shared" si="10"/>
        <v>0</v>
      </c>
      <c r="H161" s="5">
        <f t="shared" si="11"/>
        <v>0</v>
      </c>
    </row>
    <row r="162" spans="1:8" x14ac:dyDescent="0.2">
      <c r="A162" s="2">
        <v>161</v>
      </c>
      <c r="B162" s="5">
        <f t="shared" si="8"/>
        <v>0</v>
      </c>
      <c r="C162" s="5">
        <f t="shared" si="9"/>
        <v>0</v>
      </c>
      <c r="D162" s="5"/>
      <c r="E162" s="5">
        <f>IF($B162 &lt;= 0, 0, -ROUND($B162 * (InterestRate / PaymentsPerYear), 2))</f>
        <v>0</v>
      </c>
      <c r="F162" s="5">
        <f>ROUND(IFERROR(IF($B162&lt;=0,0,
MAX(-$B162, -(-PMT(InterestRate/PaymentsPerYear,LoanTerm*PaymentsPerYear,LoanAmount) + $E162))), 0), 2)</f>
        <v>0</v>
      </c>
      <c r="G162" s="5">
        <f t="shared" si="10"/>
        <v>0</v>
      </c>
      <c r="H162" s="5">
        <f t="shared" si="11"/>
        <v>0</v>
      </c>
    </row>
    <row r="163" spans="1:8" x14ac:dyDescent="0.2">
      <c r="A163" s="2">
        <v>162</v>
      </c>
      <c r="B163" s="5">
        <f t="shared" si="8"/>
        <v>0</v>
      </c>
      <c r="C163" s="5">
        <f t="shared" si="9"/>
        <v>0</v>
      </c>
      <c r="D163" s="5"/>
      <c r="E163" s="5">
        <f>IF($B163 &lt;= 0, 0, -ROUND($B163 * (InterestRate / PaymentsPerYear), 2))</f>
        <v>0</v>
      </c>
      <c r="F163" s="5">
        <f>ROUND(IFERROR(IF($B163&lt;=0,0,
MAX(-$B163, -(-PMT(InterestRate/PaymentsPerYear,LoanTerm*PaymentsPerYear,LoanAmount) + $E163))), 0), 2)</f>
        <v>0</v>
      </c>
      <c r="G163" s="5">
        <f t="shared" si="10"/>
        <v>0</v>
      </c>
      <c r="H163" s="5">
        <f t="shared" si="11"/>
        <v>0</v>
      </c>
    </row>
    <row r="164" spans="1:8" x14ac:dyDescent="0.2">
      <c r="A164" s="2">
        <v>163</v>
      </c>
      <c r="B164" s="5">
        <f t="shared" si="8"/>
        <v>0</v>
      </c>
      <c r="C164" s="5">
        <f t="shared" si="9"/>
        <v>0</v>
      </c>
      <c r="D164" s="5"/>
      <c r="E164" s="5">
        <f>IF($B164 &lt;= 0, 0, -ROUND($B164 * (InterestRate / PaymentsPerYear), 2))</f>
        <v>0</v>
      </c>
      <c r="F164" s="5">
        <f>ROUND(IFERROR(IF($B164&lt;=0,0,
MAX(-$B164, -(-PMT(InterestRate/PaymentsPerYear,LoanTerm*PaymentsPerYear,LoanAmount) + $E164))), 0), 2)</f>
        <v>0</v>
      </c>
      <c r="G164" s="5">
        <f t="shared" si="10"/>
        <v>0</v>
      </c>
      <c r="H164" s="5">
        <f t="shared" si="11"/>
        <v>0</v>
      </c>
    </row>
    <row r="165" spans="1:8" x14ac:dyDescent="0.2">
      <c r="A165" s="2">
        <v>164</v>
      </c>
      <c r="B165" s="5">
        <f t="shared" si="8"/>
        <v>0</v>
      </c>
      <c r="C165" s="5">
        <f t="shared" si="9"/>
        <v>0</v>
      </c>
      <c r="D165" s="5"/>
      <c r="E165" s="5">
        <f>IF($B165 &lt;= 0, 0, -ROUND($B165 * (InterestRate / PaymentsPerYear), 2))</f>
        <v>0</v>
      </c>
      <c r="F165" s="5">
        <f>ROUND(IFERROR(IF($B165&lt;=0,0,
MAX(-$B165, -(-PMT(InterestRate/PaymentsPerYear,LoanTerm*PaymentsPerYear,LoanAmount) + $E165))), 0), 2)</f>
        <v>0</v>
      </c>
      <c r="G165" s="5">
        <f t="shared" si="10"/>
        <v>0</v>
      </c>
      <c r="H165" s="5">
        <f t="shared" si="11"/>
        <v>0</v>
      </c>
    </row>
    <row r="166" spans="1:8" x14ac:dyDescent="0.2">
      <c r="A166" s="2">
        <v>165</v>
      </c>
      <c r="B166" s="5">
        <f t="shared" si="8"/>
        <v>0</v>
      </c>
      <c r="C166" s="5">
        <f t="shared" si="9"/>
        <v>0</v>
      </c>
      <c r="D166" s="5"/>
      <c r="E166" s="5">
        <f>IF($B166 &lt;= 0, 0, -ROUND($B166 * (InterestRate / PaymentsPerYear), 2))</f>
        <v>0</v>
      </c>
      <c r="F166" s="5">
        <f>ROUND(IFERROR(IF($B166&lt;=0,0,
MAX(-$B166, -(-PMT(InterestRate/PaymentsPerYear,LoanTerm*PaymentsPerYear,LoanAmount) + $E166))), 0), 2)</f>
        <v>0</v>
      </c>
      <c r="G166" s="5">
        <f t="shared" si="10"/>
        <v>0</v>
      </c>
      <c r="H166" s="5">
        <f t="shared" si="11"/>
        <v>0</v>
      </c>
    </row>
    <row r="167" spans="1:8" x14ac:dyDescent="0.2">
      <c r="A167" s="2">
        <v>166</v>
      </c>
      <c r="B167" s="5">
        <f t="shared" si="8"/>
        <v>0</v>
      </c>
      <c r="C167" s="5">
        <f t="shared" si="9"/>
        <v>0</v>
      </c>
      <c r="D167" s="5"/>
      <c r="E167" s="5">
        <f>IF($B167 &lt;= 0, 0, -ROUND($B167 * (InterestRate / PaymentsPerYear), 2))</f>
        <v>0</v>
      </c>
      <c r="F167" s="5">
        <f>ROUND(IFERROR(IF($B167&lt;=0,0,
MAX(-$B167, -(-PMT(InterestRate/PaymentsPerYear,LoanTerm*PaymentsPerYear,LoanAmount) + $E167))), 0), 2)</f>
        <v>0</v>
      </c>
      <c r="G167" s="5">
        <f t="shared" si="10"/>
        <v>0</v>
      </c>
      <c r="H167" s="5">
        <f t="shared" si="11"/>
        <v>0</v>
      </c>
    </row>
    <row r="168" spans="1:8" x14ac:dyDescent="0.2">
      <c r="A168" s="2">
        <v>167</v>
      </c>
      <c r="B168" s="5">
        <f t="shared" si="8"/>
        <v>0</v>
      </c>
      <c r="C168" s="5">
        <f t="shared" si="9"/>
        <v>0</v>
      </c>
      <c r="D168" s="5"/>
      <c r="E168" s="5">
        <f>IF($B168 &lt;= 0, 0, -ROUND($B168 * (InterestRate / PaymentsPerYear), 2))</f>
        <v>0</v>
      </c>
      <c r="F168" s="5">
        <f>ROUND(IFERROR(IF($B168&lt;=0,0,
MAX(-$B168, -(-PMT(InterestRate/PaymentsPerYear,LoanTerm*PaymentsPerYear,LoanAmount) + $E168))), 0), 2)</f>
        <v>0</v>
      </c>
      <c r="G168" s="5">
        <f t="shared" si="10"/>
        <v>0</v>
      </c>
      <c r="H168" s="5">
        <f t="shared" si="11"/>
        <v>0</v>
      </c>
    </row>
    <row r="169" spans="1:8" x14ac:dyDescent="0.2">
      <c r="A169" s="2">
        <v>168</v>
      </c>
      <c r="B169" s="5">
        <f t="shared" si="8"/>
        <v>0</v>
      </c>
      <c r="C169" s="5">
        <f t="shared" si="9"/>
        <v>0</v>
      </c>
      <c r="D169" s="5"/>
      <c r="E169" s="5">
        <f>IF($B169 &lt;= 0, 0, -ROUND($B169 * (InterestRate / PaymentsPerYear), 2))</f>
        <v>0</v>
      </c>
      <c r="F169" s="5">
        <f>ROUND(IFERROR(IF($B169&lt;=0,0,
MAX(-$B169, -(-PMT(InterestRate/PaymentsPerYear,LoanTerm*PaymentsPerYear,LoanAmount) + $E169))), 0), 2)</f>
        <v>0</v>
      </c>
      <c r="G169" s="5">
        <f t="shared" si="10"/>
        <v>0</v>
      </c>
      <c r="H169" s="5">
        <f t="shared" si="11"/>
        <v>0</v>
      </c>
    </row>
    <row r="170" spans="1:8" x14ac:dyDescent="0.2">
      <c r="A170" s="2">
        <v>169</v>
      </c>
      <c r="B170" s="5">
        <f t="shared" si="8"/>
        <v>0</v>
      </c>
      <c r="C170" s="5">
        <f t="shared" si="9"/>
        <v>0</v>
      </c>
      <c r="D170" s="5"/>
      <c r="E170" s="5">
        <f>IF($B170 &lt;= 0, 0, -ROUND($B170 * (InterestRate / PaymentsPerYear), 2))</f>
        <v>0</v>
      </c>
      <c r="F170" s="5">
        <f>ROUND(IFERROR(IF($B170&lt;=0,0,
MAX(-$B170, -(-PMT(InterestRate/PaymentsPerYear,LoanTerm*PaymentsPerYear,LoanAmount) + $E170))), 0), 2)</f>
        <v>0</v>
      </c>
      <c r="G170" s="5">
        <f t="shared" si="10"/>
        <v>0</v>
      </c>
      <c r="H170" s="5">
        <f t="shared" si="11"/>
        <v>0</v>
      </c>
    </row>
    <row r="171" spans="1:8" x14ac:dyDescent="0.2">
      <c r="A171" s="2">
        <v>170</v>
      </c>
      <c r="B171" s="5">
        <f t="shared" si="8"/>
        <v>0</v>
      </c>
      <c r="C171" s="5">
        <f t="shared" si="9"/>
        <v>0</v>
      </c>
      <c r="D171" s="5"/>
      <c r="E171" s="5">
        <f>IF($B171 &lt;= 0, 0, -ROUND($B171 * (InterestRate / PaymentsPerYear), 2))</f>
        <v>0</v>
      </c>
      <c r="F171" s="5">
        <f>ROUND(IFERROR(IF($B171&lt;=0,0,
MAX(-$B171, -(-PMT(InterestRate/PaymentsPerYear,LoanTerm*PaymentsPerYear,LoanAmount) + $E171))), 0), 2)</f>
        <v>0</v>
      </c>
      <c r="G171" s="5">
        <f t="shared" si="10"/>
        <v>0</v>
      </c>
      <c r="H171" s="5">
        <f t="shared" si="11"/>
        <v>0</v>
      </c>
    </row>
    <row r="172" spans="1:8" x14ac:dyDescent="0.2">
      <c r="A172" s="2">
        <v>171</v>
      </c>
      <c r="B172" s="5">
        <f t="shared" si="8"/>
        <v>0</v>
      </c>
      <c r="C172" s="5">
        <f t="shared" si="9"/>
        <v>0</v>
      </c>
      <c r="D172" s="5"/>
      <c r="E172" s="5">
        <f>IF($B172 &lt;= 0, 0, -ROUND($B172 * (InterestRate / PaymentsPerYear), 2))</f>
        <v>0</v>
      </c>
      <c r="F172" s="5">
        <f>ROUND(IFERROR(IF($B172&lt;=0,0,
MAX(-$B172, -(-PMT(InterestRate/PaymentsPerYear,LoanTerm*PaymentsPerYear,LoanAmount) + $E172))), 0), 2)</f>
        <v>0</v>
      </c>
      <c r="G172" s="5">
        <f t="shared" si="10"/>
        <v>0</v>
      </c>
      <c r="H172" s="5">
        <f t="shared" si="11"/>
        <v>0</v>
      </c>
    </row>
    <row r="173" spans="1:8" x14ac:dyDescent="0.2">
      <c r="A173" s="2">
        <v>172</v>
      </c>
      <c r="B173" s="5">
        <f t="shared" si="8"/>
        <v>0</v>
      </c>
      <c r="C173" s="5">
        <f t="shared" si="9"/>
        <v>0</v>
      </c>
      <c r="D173" s="5"/>
      <c r="E173" s="5">
        <f>IF($B173 &lt;= 0, 0, -ROUND($B173 * (InterestRate / PaymentsPerYear), 2))</f>
        <v>0</v>
      </c>
      <c r="F173" s="5">
        <f>ROUND(IFERROR(IF($B173&lt;=0,0,
MAX(-$B173, -(-PMT(InterestRate/PaymentsPerYear,LoanTerm*PaymentsPerYear,LoanAmount) + $E173))), 0), 2)</f>
        <v>0</v>
      </c>
      <c r="G173" s="5">
        <f t="shared" si="10"/>
        <v>0</v>
      </c>
      <c r="H173" s="5">
        <f t="shared" si="11"/>
        <v>0</v>
      </c>
    </row>
    <row r="174" spans="1:8" x14ac:dyDescent="0.2">
      <c r="A174" s="2">
        <v>173</v>
      </c>
      <c r="B174" s="5">
        <f t="shared" si="8"/>
        <v>0</v>
      </c>
      <c r="C174" s="5">
        <f t="shared" si="9"/>
        <v>0</v>
      </c>
      <c r="D174" s="5"/>
      <c r="E174" s="5">
        <f>IF($B174 &lt;= 0, 0, -ROUND($B174 * (InterestRate / PaymentsPerYear), 2))</f>
        <v>0</v>
      </c>
      <c r="F174" s="5">
        <f>ROUND(IFERROR(IF($B174&lt;=0,0,
MAX(-$B174, -(-PMT(InterestRate/PaymentsPerYear,LoanTerm*PaymentsPerYear,LoanAmount) + $E174))), 0), 2)</f>
        <v>0</v>
      </c>
      <c r="G174" s="5">
        <f t="shared" si="10"/>
        <v>0</v>
      </c>
      <c r="H174" s="5">
        <f t="shared" si="11"/>
        <v>0</v>
      </c>
    </row>
    <row r="175" spans="1:8" x14ac:dyDescent="0.2">
      <c r="A175" s="2">
        <v>174</v>
      </c>
      <c r="B175" s="5">
        <f t="shared" si="8"/>
        <v>0</v>
      </c>
      <c r="C175" s="5">
        <f t="shared" si="9"/>
        <v>0</v>
      </c>
      <c r="D175" s="5"/>
      <c r="E175" s="5">
        <f>IF($B175 &lt;= 0, 0, -ROUND($B175 * (InterestRate / PaymentsPerYear), 2))</f>
        <v>0</v>
      </c>
      <c r="F175" s="5">
        <f>ROUND(IFERROR(IF($B175&lt;=0,0,
MAX(-$B175, -(-PMT(InterestRate/PaymentsPerYear,LoanTerm*PaymentsPerYear,LoanAmount) + $E175))), 0), 2)</f>
        <v>0</v>
      </c>
      <c r="G175" s="5">
        <f t="shared" si="10"/>
        <v>0</v>
      </c>
      <c r="H175" s="5">
        <f t="shared" si="11"/>
        <v>0</v>
      </c>
    </row>
    <row r="176" spans="1:8" x14ac:dyDescent="0.2">
      <c r="A176" s="2">
        <v>175</v>
      </c>
      <c r="B176" s="5">
        <f t="shared" si="8"/>
        <v>0</v>
      </c>
      <c r="C176" s="5">
        <f t="shared" si="9"/>
        <v>0</v>
      </c>
      <c r="D176" s="5"/>
      <c r="E176" s="5">
        <f>IF($B176 &lt;= 0, 0, -ROUND($B176 * (InterestRate / PaymentsPerYear), 2))</f>
        <v>0</v>
      </c>
      <c r="F176" s="5">
        <f>ROUND(IFERROR(IF($B176&lt;=0,0,
MAX(-$B176, -(-PMT(InterestRate/PaymentsPerYear,LoanTerm*PaymentsPerYear,LoanAmount) + $E176))), 0), 2)</f>
        <v>0</v>
      </c>
      <c r="G176" s="5">
        <f t="shared" si="10"/>
        <v>0</v>
      </c>
      <c r="H176" s="5">
        <f t="shared" si="11"/>
        <v>0</v>
      </c>
    </row>
    <row r="177" spans="1:8" x14ac:dyDescent="0.2">
      <c r="A177" s="2">
        <v>176</v>
      </c>
      <c r="B177" s="5">
        <f t="shared" si="8"/>
        <v>0</v>
      </c>
      <c r="C177" s="5">
        <f t="shared" si="9"/>
        <v>0</v>
      </c>
      <c r="D177" s="5"/>
      <c r="E177" s="5">
        <f>IF($B177 &lt;= 0, 0, -ROUND($B177 * (InterestRate / PaymentsPerYear), 2))</f>
        <v>0</v>
      </c>
      <c r="F177" s="5">
        <f>ROUND(IFERROR(IF($B177&lt;=0,0,
MAX(-$B177, -(-PMT(InterestRate/PaymentsPerYear,LoanTerm*PaymentsPerYear,LoanAmount) + $E177))), 0), 2)</f>
        <v>0</v>
      </c>
      <c r="G177" s="5">
        <f t="shared" si="10"/>
        <v>0</v>
      </c>
      <c r="H177" s="5">
        <f t="shared" si="11"/>
        <v>0</v>
      </c>
    </row>
    <row r="178" spans="1:8" x14ac:dyDescent="0.2">
      <c r="A178" s="2">
        <v>177</v>
      </c>
      <c r="B178" s="5">
        <f t="shared" si="8"/>
        <v>0</v>
      </c>
      <c r="C178" s="5">
        <f t="shared" si="9"/>
        <v>0</v>
      </c>
      <c r="D178" s="5"/>
      <c r="E178" s="5">
        <f>IF($B178 &lt;= 0, 0, -ROUND($B178 * (InterestRate / PaymentsPerYear), 2))</f>
        <v>0</v>
      </c>
      <c r="F178" s="5">
        <f>ROUND(IFERROR(IF($B178&lt;=0,0,
MAX(-$B178, -(-PMT(InterestRate/PaymentsPerYear,LoanTerm*PaymentsPerYear,LoanAmount) + $E178))), 0), 2)</f>
        <v>0</v>
      </c>
      <c r="G178" s="5">
        <f t="shared" si="10"/>
        <v>0</v>
      </c>
      <c r="H178" s="5">
        <f t="shared" si="11"/>
        <v>0</v>
      </c>
    </row>
    <row r="179" spans="1:8" x14ac:dyDescent="0.2">
      <c r="A179" s="2">
        <v>178</v>
      </c>
      <c r="B179" s="5">
        <f t="shared" si="8"/>
        <v>0</v>
      </c>
      <c r="C179" s="5">
        <f t="shared" si="9"/>
        <v>0</v>
      </c>
      <c r="D179" s="5"/>
      <c r="E179" s="5">
        <f>IF($B179 &lt;= 0, 0, -ROUND($B179 * (InterestRate / PaymentsPerYear), 2))</f>
        <v>0</v>
      </c>
      <c r="F179" s="5">
        <f>ROUND(IFERROR(IF($B179&lt;=0,0,
MAX(-$B179, -(-PMT(InterestRate/PaymentsPerYear,LoanTerm*PaymentsPerYear,LoanAmount) + $E179))), 0), 2)</f>
        <v>0</v>
      </c>
      <c r="G179" s="5">
        <f t="shared" si="10"/>
        <v>0</v>
      </c>
      <c r="H179" s="5">
        <f t="shared" si="11"/>
        <v>0</v>
      </c>
    </row>
    <row r="180" spans="1:8" x14ac:dyDescent="0.2">
      <c r="A180" s="2">
        <v>179</v>
      </c>
      <c r="B180" s="5">
        <f t="shared" si="8"/>
        <v>0</v>
      </c>
      <c r="C180" s="5">
        <f t="shared" si="9"/>
        <v>0</v>
      </c>
      <c r="D180" s="5"/>
      <c r="E180" s="5">
        <f>IF($B180 &lt;= 0, 0, -ROUND($B180 * (InterestRate / PaymentsPerYear), 2))</f>
        <v>0</v>
      </c>
      <c r="F180" s="5">
        <f>ROUND(IFERROR(IF($B180&lt;=0,0,
MAX(-$B180, -(-PMT(InterestRate/PaymentsPerYear,LoanTerm*PaymentsPerYear,LoanAmount) + $E180))), 0), 2)</f>
        <v>0</v>
      </c>
      <c r="G180" s="5">
        <f t="shared" si="10"/>
        <v>0</v>
      </c>
      <c r="H180" s="5">
        <f t="shared" si="11"/>
        <v>0</v>
      </c>
    </row>
    <row r="181" spans="1:8" x14ac:dyDescent="0.2">
      <c r="A181" s="2">
        <v>180</v>
      </c>
      <c r="B181" s="5">
        <f t="shared" si="8"/>
        <v>0</v>
      </c>
      <c r="C181" s="5">
        <f t="shared" si="9"/>
        <v>0</v>
      </c>
      <c r="D181" s="5"/>
      <c r="E181" s="5">
        <f>IF($B181 &lt;= 0, 0, -ROUND($B181 * (InterestRate / PaymentsPerYear), 2))</f>
        <v>0</v>
      </c>
      <c r="F181" s="5">
        <f>ROUND(IFERROR(IF($B181&lt;=0,0,
MAX(-$B181, -(-PMT(InterestRate/PaymentsPerYear,LoanTerm*PaymentsPerYear,LoanAmount) + $E181))), 0), 2)</f>
        <v>0</v>
      </c>
      <c r="G181" s="5">
        <f t="shared" si="10"/>
        <v>0</v>
      </c>
      <c r="H181" s="5">
        <f t="shared" si="11"/>
        <v>0</v>
      </c>
    </row>
    <row r="182" spans="1:8" x14ac:dyDescent="0.2">
      <c r="A182" s="2">
        <v>181</v>
      </c>
      <c r="B182" s="5">
        <f t="shared" si="8"/>
        <v>0</v>
      </c>
      <c r="C182" s="5">
        <f t="shared" si="9"/>
        <v>0</v>
      </c>
      <c r="D182" s="5"/>
      <c r="E182" s="5">
        <f>IF($B182 &lt;= 0, 0, -ROUND($B182 * (InterestRate / PaymentsPerYear), 2))</f>
        <v>0</v>
      </c>
      <c r="F182" s="5">
        <f>ROUND(IFERROR(IF($B182&lt;=0,0,
MAX(-$B182, -(-PMT(InterestRate/PaymentsPerYear,LoanTerm*PaymentsPerYear,LoanAmount) + $E182))), 0), 2)</f>
        <v>0</v>
      </c>
      <c r="G182" s="5">
        <f t="shared" si="10"/>
        <v>0</v>
      </c>
      <c r="H182" s="5">
        <f t="shared" si="11"/>
        <v>0</v>
      </c>
    </row>
    <row r="183" spans="1:8" x14ac:dyDescent="0.2">
      <c r="A183" s="2">
        <v>182</v>
      </c>
      <c r="B183" s="5">
        <f t="shared" si="8"/>
        <v>0</v>
      </c>
      <c r="C183" s="5">
        <f t="shared" si="9"/>
        <v>0</v>
      </c>
      <c r="D183" s="5"/>
      <c r="E183" s="5">
        <f>IF($B183 &lt;= 0, 0, -ROUND($B183 * (InterestRate / PaymentsPerYear), 2))</f>
        <v>0</v>
      </c>
      <c r="F183" s="5">
        <f>ROUND(IFERROR(IF($B183&lt;=0,0,
MAX(-$B183, -(-PMT(InterestRate/PaymentsPerYear,LoanTerm*PaymentsPerYear,LoanAmount) + $E183))), 0), 2)</f>
        <v>0</v>
      </c>
      <c r="G183" s="5">
        <f t="shared" si="10"/>
        <v>0</v>
      </c>
      <c r="H183" s="5">
        <f t="shared" si="11"/>
        <v>0</v>
      </c>
    </row>
    <row r="184" spans="1:8" x14ac:dyDescent="0.2">
      <c r="A184" s="2">
        <v>183</v>
      </c>
      <c r="B184" s="5">
        <f t="shared" si="8"/>
        <v>0</v>
      </c>
      <c r="C184" s="5">
        <f t="shared" si="9"/>
        <v>0</v>
      </c>
      <c r="D184" s="5"/>
      <c r="E184" s="5">
        <f>IF($B184 &lt;= 0, 0, -ROUND($B184 * (InterestRate / PaymentsPerYear), 2))</f>
        <v>0</v>
      </c>
      <c r="F184" s="5">
        <f>ROUND(IFERROR(IF($B184&lt;=0,0,
MAX(-$B184, -(-PMT(InterestRate/PaymentsPerYear,LoanTerm*PaymentsPerYear,LoanAmount) + $E184))), 0), 2)</f>
        <v>0</v>
      </c>
      <c r="G184" s="5">
        <f t="shared" si="10"/>
        <v>0</v>
      </c>
      <c r="H184" s="5">
        <f t="shared" si="11"/>
        <v>0</v>
      </c>
    </row>
    <row r="185" spans="1:8" x14ac:dyDescent="0.2">
      <c r="A185" s="2">
        <v>184</v>
      </c>
      <c r="B185" s="5">
        <f t="shared" si="8"/>
        <v>0</v>
      </c>
      <c r="C185" s="5">
        <f t="shared" si="9"/>
        <v>0</v>
      </c>
      <c r="D185" s="5"/>
      <c r="E185" s="5">
        <f>IF($B185 &lt;= 0, 0, -ROUND($B185 * (InterestRate / PaymentsPerYear), 2))</f>
        <v>0</v>
      </c>
      <c r="F185" s="5">
        <f>ROUND(IFERROR(IF($B185&lt;=0,0,
MAX(-$B185, -(-PMT(InterestRate/PaymentsPerYear,LoanTerm*PaymentsPerYear,LoanAmount) + $E185))), 0), 2)</f>
        <v>0</v>
      </c>
      <c r="G185" s="5">
        <f t="shared" si="10"/>
        <v>0</v>
      </c>
      <c r="H185" s="5">
        <f t="shared" si="11"/>
        <v>0</v>
      </c>
    </row>
    <row r="186" spans="1:8" x14ac:dyDescent="0.2">
      <c r="A186" s="2">
        <v>185</v>
      </c>
      <c r="B186" s="5">
        <f t="shared" si="8"/>
        <v>0</v>
      </c>
      <c r="C186" s="5">
        <f t="shared" si="9"/>
        <v>0</v>
      </c>
      <c r="D186" s="5"/>
      <c r="E186" s="5">
        <f>IF($B186 &lt;= 0, 0, -ROUND($B186 * (InterestRate / PaymentsPerYear), 2))</f>
        <v>0</v>
      </c>
      <c r="F186" s="5">
        <f>ROUND(IFERROR(IF($B186&lt;=0,0,
MAX(-$B186, -(-PMT(InterestRate/PaymentsPerYear,LoanTerm*PaymentsPerYear,LoanAmount) + $E186))), 0), 2)</f>
        <v>0</v>
      </c>
      <c r="G186" s="5">
        <f t="shared" si="10"/>
        <v>0</v>
      </c>
      <c r="H186" s="5">
        <f t="shared" si="11"/>
        <v>0</v>
      </c>
    </row>
    <row r="187" spans="1:8" x14ac:dyDescent="0.2">
      <c r="A187" s="2">
        <v>186</v>
      </c>
      <c r="B187" s="5">
        <f t="shared" si="8"/>
        <v>0</v>
      </c>
      <c r="C187" s="5">
        <f t="shared" si="9"/>
        <v>0</v>
      </c>
      <c r="D187" s="5"/>
      <c r="E187" s="5">
        <f>IF($B187 &lt;= 0, 0, -ROUND($B187 * (InterestRate / PaymentsPerYear), 2))</f>
        <v>0</v>
      </c>
      <c r="F187" s="5">
        <f>ROUND(IFERROR(IF($B187&lt;=0,0,
MAX(-$B187, -(-PMT(InterestRate/PaymentsPerYear,LoanTerm*PaymentsPerYear,LoanAmount) + $E187))), 0), 2)</f>
        <v>0</v>
      </c>
      <c r="G187" s="5">
        <f t="shared" si="10"/>
        <v>0</v>
      </c>
      <c r="H187" s="5">
        <f t="shared" si="11"/>
        <v>0</v>
      </c>
    </row>
    <row r="188" spans="1:8" x14ac:dyDescent="0.2">
      <c r="A188" s="2">
        <v>187</v>
      </c>
      <c r="B188" s="5">
        <f t="shared" si="8"/>
        <v>0</v>
      </c>
      <c r="C188" s="5">
        <f t="shared" si="9"/>
        <v>0</v>
      </c>
      <c r="D188" s="5"/>
      <c r="E188" s="5">
        <f>IF($B188 &lt;= 0, 0, -ROUND($B188 * (InterestRate / PaymentsPerYear), 2))</f>
        <v>0</v>
      </c>
      <c r="F188" s="5">
        <f>ROUND(IFERROR(IF($B188&lt;=0,0,
MAX(-$B188, -(-PMT(InterestRate/PaymentsPerYear,LoanTerm*PaymentsPerYear,LoanAmount) + $E188))), 0), 2)</f>
        <v>0</v>
      </c>
      <c r="G188" s="5">
        <f t="shared" si="10"/>
        <v>0</v>
      </c>
      <c r="H188" s="5">
        <f t="shared" si="11"/>
        <v>0</v>
      </c>
    </row>
    <row r="189" spans="1:8" x14ac:dyDescent="0.2">
      <c r="A189" s="2">
        <v>188</v>
      </c>
      <c r="B189" s="5">
        <f t="shared" si="8"/>
        <v>0</v>
      </c>
      <c r="C189" s="5">
        <f t="shared" si="9"/>
        <v>0</v>
      </c>
      <c r="D189" s="5"/>
      <c r="E189" s="5">
        <f>IF($B189 &lt;= 0, 0, -ROUND($B189 * (InterestRate / PaymentsPerYear), 2))</f>
        <v>0</v>
      </c>
      <c r="F189" s="5">
        <f>ROUND(IFERROR(IF($B189&lt;=0,0,
MAX(-$B189, -(-PMT(InterestRate/PaymentsPerYear,LoanTerm*PaymentsPerYear,LoanAmount) + $E189))), 0), 2)</f>
        <v>0</v>
      </c>
      <c r="G189" s="5">
        <f t="shared" si="10"/>
        <v>0</v>
      </c>
      <c r="H189" s="5">
        <f t="shared" si="11"/>
        <v>0</v>
      </c>
    </row>
    <row r="190" spans="1:8" x14ac:dyDescent="0.2">
      <c r="A190" s="2">
        <v>189</v>
      </c>
      <c r="B190" s="5">
        <f t="shared" si="8"/>
        <v>0</v>
      </c>
      <c r="C190" s="5">
        <f t="shared" si="9"/>
        <v>0</v>
      </c>
      <c r="D190" s="5"/>
      <c r="E190" s="5">
        <f>IF($B190 &lt;= 0, 0, -ROUND($B190 * (InterestRate / PaymentsPerYear), 2))</f>
        <v>0</v>
      </c>
      <c r="F190" s="5">
        <f>ROUND(IFERROR(IF($B190&lt;=0,0,
MAX(-$B190, -(-PMT(InterestRate/PaymentsPerYear,LoanTerm*PaymentsPerYear,LoanAmount) + $E190))), 0), 2)</f>
        <v>0</v>
      </c>
      <c r="G190" s="5">
        <f t="shared" si="10"/>
        <v>0</v>
      </c>
      <c r="H190" s="5">
        <f t="shared" si="11"/>
        <v>0</v>
      </c>
    </row>
    <row r="191" spans="1:8" x14ac:dyDescent="0.2">
      <c r="A191" s="2">
        <v>190</v>
      </c>
      <c r="B191" s="5">
        <f t="shared" si="8"/>
        <v>0</v>
      </c>
      <c r="C191" s="5">
        <f t="shared" si="9"/>
        <v>0</v>
      </c>
      <c r="D191" s="5"/>
      <c r="E191" s="5">
        <f>IF($B191 &lt;= 0, 0, -ROUND($B191 * (InterestRate / PaymentsPerYear), 2))</f>
        <v>0</v>
      </c>
      <c r="F191" s="5">
        <f>ROUND(IFERROR(IF($B191&lt;=0,0,
MAX(-$B191, -(-PMT(InterestRate/PaymentsPerYear,LoanTerm*PaymentsPerYear,LoanAmount) + $E191))), 0), 2)</f>
        <v>0</v>
      </c>
      <c r="G191" s="5">
        <f t="shared" si="10"/>
        <v>0</v>
      </c>
      <c r="H191" s="5">
        <f t="shared" si="11"/>
        <v>0</v>
      </c>
    </row>
    <row r="192" spans="1:8" x14ac:dyDescent="0.2">
      <c r="A192" s="2">
        <v>191</v>
      </c>
      <c r="B192" s="5">
        <f t="shared" si="8"/>
        <v>0</v>
      </c>
      <c r="C192" s="5">
        <f t="shared" si="9"/>
        <v>0</v>
      </c>
      <c r="D192" s="5"/>
      <c r="E192" s="5">
        <f>IF($B192 &lt;= 0, 0, -ROUND($B192 * (InterestRate / PaymentsPerYear), 2))</f>
        <v>0</v>
      </c>
      <c r="F192" s="5">
        <f>ROUND(IFERROR(IF($B192&lt;=0,0,
MAX(-$B192, -(-PMT(InterestRate/PaymentsPerYear,LoanTerm*PaymentsPerYear,LoanAmount) + $E192))), 0), 2)</f>
        <v>0</v>
      </c>
      <c r="G192" s="5">
        <f t="shared" si="10"/>
        <v>0</v>
      </c>
      <c r="H192" s="5">
        <f t="shared" si="11"/>
        <v>0</v>
      </c>
    </row>
    <row r="193" spans="1:8" x14ac:dyDescent="0.2">
      <c r="A193" s="2">
        <v>192</v>
      </c>
      <c r="B193" s="5">
        <f t="shared" si="8"/>
        <v>0</v>
      </c>
      <c r="C193" s="5">
        <f t="shared" si="9"/>
        <v>0</v>
      </c>
      <c r="D193" s="5"/>
      <c r="E193" s="5">
        <f>IF($B193 &lt;= 0, 0, -ROUND($B193 * (InterestRate / PaymentsPerYear), 2))</f>
        <v>0</v>
      </c>
      <c r="F193" s="5">
        <f>ROUND(IFERROR(IF($B193&lt;=0,0,
MAX(-$B193, -(-PMT(InterestRate/PaymentsPerYear,LoanTerm*PaymentsPerYear,LoanAmount) + $E193))), 0), 2)</f>
        <v>0</v>
      </c>
      <c r="G193" s="5">
        <f t="shared" si="10"/>
        <v>0</v>
      </c>
      <c r="H193" s="5">
        <f t="shared" si="11"/>
        <v>0</v>
      </c>
    </row>
    <row r="194" spans="1:8" x14ac:dyDescent="0.2">
      <c r="A194" s="2">
        <v>193</v>
      </c>
      <c r="B194" s="5">
        <f t="shared" si="8"/>
        <v>0</v>
      </c>
      <c r="C194" s="5">
        <f t="shared" si="9"/>
        <v>0</v>
      </c>
      <c r="D194" s="5"/>
      <c r="E194" s="5">
        <f>IF($B194 &lt;= 0, 0, -ROUND($B194 * (InterestRate / PaymentsPerYear), 2))</f>
        <v>0</v>
      </c>
      <c r="F194" s="5">
        <f>ROUND(IFERROR(IF($B194&lt;=0,0,
MAX(-$B194, -(-PMT(InterestRate/PaymentsPerYear,LoanTerm*PaymentsPerYear,LoanAmount) + $E194))), 0), 2)</f>
        <v>0</v>
      </c>
      <c r="G194" s="5">
        <f t="shared" si="10"/>
        <v>0</v>
      </c>
      <c r="H194" s="5">
        <f t="shared" si="11"/>
        <v>0</v>
      </c>
    </row>
    <row r="195" spans="1:8" x14ac:dyDescent="0.2">
      <c r="A195" s="2">
        <v>194</v>
      </c>
      <c r="B195" s="5">
        <f t="shared" si="8"/>
        <v>0</v>
      </c>
      <c r="C195" s="5">
        <f t="shared" si="9"/>
        <v>0</v>
      </c>
      <c r="D195" s="5"/>
      <c r="E195" s="5">
        <f>IF($B195 &lt;= 0, 0, -ROUND($B195 * (InterestRate / PaymentsPerYear), 2))</f>
        <v>0</v>
      </c>
      <c r="F195" s="5">
        <f>ROUND(IFERROR(IF($B195&lt;=0,0,
MAX(-$B195, -(-PMT(InterestRate/PaymentsPerYear,LoanTerm*PaymentsPerYear,LoanAmount) + $E195))), 0), 2)</f>
        <v>0</v>
      </c>
      <c r="G195" s="5">
        <f t="shared" si="10"/>
        <v>0</v>
      </c>
      <c r="H195" s="5">
        <f t="shared" si="11"/>
        <v>0</v>
      </c>
    </row>
    <row r="196" spans="1:8" x14ac:dyDescent="0.2">
      <c r="A196" s="2">
        <v>195</v>
      </c>
      <c r="B196" s="5">
        <f t="shared" ref="B196:B259" si="12">ROUND(IF($H195 &gt;= 0, MAX($H195, $F195), 0), 2)</f>
        <v>0</v>
      </c>
      <c r="C196" s="5">
        <f t="shared" ref="C196:C259" si="13">IF($B196 &lt;= 0, 0, $E196+$F196)</f>
        <v>0</v>
      </c>
      <c r="D196" s="5"/>
      <c r="E196" s="5">
        <f>IF($B196 &lt;= 0, 0, -ROUND($B196 * (InterestRate / PaymentsPerYear), 2))</f>
        <v>0</v>
      </c>
      <c r="F196" s="5">
        <f>ROUND(IFERROR(IF($B196&lt;=0,0,
MAX(-$B196, -(-PMT(InterestRate/PaymentsPerYear,LoanTerm*PaymentsPerYear,LoanAmount) + $E196))), 0), 2)</f>
        <v>0</v>
      </c>
      <c r="G196" s="5">
        <f t="shared" ref="G196:G259" si="14">$F196</f>
        <v>0</v>
      </c>
      <c r="H196" s="5">
        <f t="shared" ref="H196:H259" si="15">ROUND(IF($B196 &lt;= 0, 0,MAX(0, $B196 + $G196)), 2)</f>
        <v>0</v>
      </c>
    </row>
    <row r="197" spans="1:8" x14ac:dyDescent="0.2">
      <c r="A197" s="2">
        <v>196</v>
      </c>
      <c r="B197" s="5">
        <f t="shared" si="12"/>
        <v>0</v>
      </c>
      <c r="C197" s="5">
        <f t="shared" si="13"/>
        <v>0</v>
      </c>
      <c r="D197" s="5"/>
      <c r="E197" s="5">
        <f>IF($B197 &lt;= 0, 0, -ROUND($B197 * (InterestRate / PaymentsPerYear), 2))</f>
        <v>0</v>
      </c>
      <c r="F197" s="5">
        <f>ROUND(IFERROR(IF($B197&lt;=0,0,
MAX(-$B197, -(-PMT(InterestRate/PaymentsPerYear,LoanTerm*PaymentsPerYear,LoanAmount) + $E197))), 0), 2)</f>
        <v>0</v>
      </c>
      <c r="G197" s="5">
        <f t="shared" si="14"/>
        <v>0</v>
      </c>
      <c r="H197" s="5">
        <f t="shared" si="15"/>
        <v>0</v>
      </c>
    </row>
    <row r="198" spans="1:8" x14ac:dyDescent="0.2">
      <c r="A198" s="2">
        <v>197</v>
      </c>
      <c r="B198" s="5">
        <f t="shared" si="12"/>
        <v>0</v>
      </c>
      <c r="C198" s="5">
        <f t="shared" si="13"/>
        <v>0</v>
      </c>
      <c r="D198" s="5"/>
      <c r="E198" s="5">
        <f>IF($B198 &lt;= 0, 0, -ROUND($B198 * (InterestRate / PaymentsPerYear), 2))</f>
        <v>0</v>
      </c>
      <c r="F198" s="5">
        <f>ROUND(IFERROR(IF($B198&lt;=0,0,
MAX(-$B198, -(-PMT(InterestRate/PaymentsPerYear,LoanTerm*PaymentsPerYear,LoanAmount) + $E198))), 0), 2)</f>
        <v>0</v>
      </c>
      <c r="G198" s="5">
        <f t="shared" si="14"/>
        <v>0</v>
      </c>
      <c r="H198" s="5">
        <f t="shared" si="15"/>
        <v>0</v>
      </c>
    </row>
    <row r="199" spans="1:8" x14ac:dyDescent="0.2">
      <c r="A199" s="2">
        <v>198</v>
      </c>
      <c r="B199" s="5">
        <f t="shared" si="12"/>
        <v>0</v>
      </c>
      <c r="C199" s="5">
        <f t="shared" si="13"/>
        <v>0</v>
      </c>
      <c r="D199" s="5"/>
      <c r="E199" s="5">
        <f>IF($B199 &lt;= 0, 0, -ROUND($B199 * (InterestRate / PaymentsPerYear), 2))</f>
        <v>0</v>
      </c>
      <c r="F199" s="5">
        <f>ROUND(IFERROR(IF($B199&lt;=0,0,
MAX(-$B199, -(-PMT(InterestRate/PaymentsPerYear,LoanTerm*PaymentsPerYear,LoanAmount) + $E199))), 0), 2)</f>
        <v>0</v>
      </c>
      <c r="G199" s="5">
        <f t="shared" si="14"/>
        <v>0</v>
      </c>
      <c r="H199" s="5">
        <f t="shared" si="15"/>
        <v>0</v>
      </c>
    </row>
    <row r="200" spans="1:8" x14ac:dyDescent="0.2">
      <c r="A200" s="2">
        <v>199</v>
      </c>
      <c r="B200" s="5">
        <f t="shared" si="12"/>
        <v>0</v>
      </c>
      <c r="C200" s="5">
        <f t="shared" si="13"/>
        <v>0</v>
      </c>
      <c r="D200" s="5"/>
      <c r="E200" s="5">
        <f>IF($B200 &lt;= 0, 0, -ROUND($B200 * (InterestRate / PaymentsPerYear), 2))</f>
        <v>0</v>
      </c>
      <c r="F200" s="5">
        <f>ROUND(IFERROR(IF($B200&lt;=0,0,
MAX(-$B200, -(-PMT(InterestRate/PaymentsPerYear,LoanTerm*PaymentsPerYear,LoanAmount) + $E200))), 0), 2)</f>
        <v>0</v>
      </c>
      <c r="G200" s="5">
        <f t="shared" si="14"/>
        <v>0</v>
      </c>
      <c r="H200" s="5">
        <f t="shared" si="15"/>
        <v>0</v>
      </c>
    </row>
    <row r="201" spans="1:8" x14ac:dyDescent="0.2">
      <c r="A201" s="2">
        <v>200</v>
      </c>
      <c r="B201" s="5">
        <f t="shared" si="12"/>
        <v>0</v>
      </c>
      <c r="C201" s="5">
        <f t="shared" si="13"/>
        <v>0</v>
      </c>
      <c r="D201" s="5"/>
      <c r="E201" s="5">
        <f>IF($B201 &lt;= 0, 0, -ROUND($B201 * (InterestRate / PaymentsPerYear), 2))</f>
        <v>0</v>
      </c>
      <c r="F201" s="5">
        <f>ROUND(IFERROR(IF($B201&lt;=0,0,
MAX(-$B201, -(-PMT(InterestRate/PaymentsPerYear,LoanTerm*PaymentsPerYear,LoanAmount) + $E201))), 0), 2)</f>
        <v>0</v>
      </c>
      <c r="G201" s="5">
        <f t="shared" si="14"/>
        <v>0</v>
      </c>
      <c r="H201" s="5">
        <f t="shared" si="15"/>
        <v>0</v>
      </c>
    </row>
    <row r="202" spans="1:8" x14ac:dyDescent="0.2">
      <c r="A202" s="2">
        <v>201</v>
      </c>
      <c r="B202" s="5">
        <f t="shared" si="12"/>
        <v>0</v>
      </c>
      <c r="C202" s="5">
        <f t="shared" si="13"/>
        <v>0</v>
      </c>
      <c r="D202" s="5"/>
      <c r="E202" s="5">
        <f>IF($B202 &lt;= 0, 0, -ROUND($B202 * (InterestRate / PaymentsPerYear), 2))</f>
        <v>0</v>
      </c>
      <c r="F202" s="5">
        <f>ROUND(IFERROR(IF($B202&lt;=0,0,
MAX(-$B202, -(-PMT(InterestRate/PaymentsPerYear,LoanTerm*PaymentsPerYear,LoanAmount) + $E202))), 0), 2)</f>
        <v>0</v>
      </c>
      <c r="G202" s="5">
        <f t="shared" si="14"/>
        <v>0</v>
      </c>
      <c r="H202" s="5">
        <f t="shared" si="15"/>
        <v>0</v>
      </c>
    </row>
    <row r="203" spans="1:8" x14ac:dyDescent="0.2">
      <c r="A203" s="2">
        <v>202</v>
      </c>
      <c r="B203" s="5">
        <f t="shared" si="12"/>
        <v>0</v>
      </c>
      <c r="C203" s="5">
        <f t="shared" si="13"/>
        <v>0</v>
      </c>
      <c r="D203" s="5"/>
      <c r="E203" s="5">
        <f>IF($B203 &lt;= 0, 0, -ROUND($B203 * (InterestRate / PaymentsPerYear), 2))</f>
        <v>0</v>
      </c>
      <c r="F203" s="5">
        <f>ROUND(IFERROR(IF($B203&lt;=0,0,
MAX(-$B203, -(-PMT(InterestRate/PaymentsPerYear,LoanTerm*PaymentsPerYear,LoanAmount) + $E203))), 0), 2)</f>
        <v>0</v>
      </c>
      <c r="G203" s="5">
        <f t="shared" si="14"/>
        <v>0</v>
      </c>
      <c r="H203" s="5">
        <f t="shared" si="15"/>
        <v>0</v>
      </c>
    </row>
    <row r="204" spans="1:8" x14ac:dyDescent="0.2">
      <c r="A204" s="2">
        <v>203</v>
      </c>
      <c r="B204" s="5">
        <f t="shared" si="12"/>
        <v>0</v>
      </c>
      <c r="C204" s="5">
        <f t="shared" si="13"/>
        <v>0</v>
      </c>
      <c r="D204" s="5"/>
      <c r="E204" s="5">
        <f>IF($B204 &lt;= 0, 0, -ROUND($B204 * (InterestRate / PaymentsPerYear), 2))</f>
        <v>0</v>
      </c>
      <c r="F204" s="5">
        <f>ROUND(IFERROR(IF($B204&lt;=0,0,
MAX(-$B204, -(-PMT(InterestRate/PaymentsPerYear,LoanTerm*PaymentsPerYear,LoanAmount) + $E204))), 0), 2)</f>
        <v>0</v>
      </c>
      <c r="G204" s="5">
        <f t="shared" si="14"/>
        <v>0</v>
      </c>
      <c r="H204" s="5">
        <f t="shared" si="15"/>
        <v>0</v>
      </c>
    </row>
    <row r="205" spans="1:8" x14ac:dyDescent="0.2">
      <c r="A205" s="2">
        <v>204</v>
      </c>
      <c r="B205" s="5">
        <f t="shared" si="12"/>
        <v>0</v>
      </c>
      <c r="C205" s="5">
        <f t="shared" si="13"/>
        <v>0</v>
      </c>
      <c r="D205" s="5"/>
      <c r="E205" s="5">
        <f>IF($B205 &lt;= 0, 0, -ROUND($B205 * (InterestRate / PaymentsPerYear), 2))</f>
        <v>0</v>
      </c>
      <c r="F205" s="5">
        <f>ROUND(IFERROR(IF($B205&lt;=0,0,
MAX(-$B205, -(-PMT(InterestRate/PaymentsPerYear,LoanTerm*PaymentsPerYear,LoanAmount) + $E205))), 0), 2)</f>
        <v>0</v>
      </c>
      <c r="G205" s="5">
        <f t="shared" si="14"/>
        <v>0</v>
      </c>
      <c r="H205" s="5">
        <f t="shared" si="15"/>
        <v>0</v>
      </c>
    </row>
    <row r="206" spans="1:8" x14ac:dyDescent="0.2">
      <c r="A206" s="2">
        <v>205</v>
      </c>
      <c r="B206" s="5">
        <f t="shared" si="12"/>
        <v>0</v>
      </c>
      <c r="C206" s="5">
        <f t="shared" si="13"/>
        <v>0</v>
      </c>
      <c r="D206" s="5"/>
      <c r="E206" s="5">
        <f>IF($B206 &lt;= 0, 0, -ROUND($B206 * (InterestRate / PaymentsPerYear), 2))</f>
        <v>0</v>
      </c>
      <c r="F206" s="5">
        <f>ROUND(IFERROR(IF($B206&lt;=0,0,
MAX(-$B206, -(-PMT(InterestRate/PaymentsPerYear,LoanTerm*PaymentsPerYear,LoanAmount) + $E206))), 0), 2)</f>
        <v>0</v>
      </c>
      <c r="G206" s="5">
        <f t="shared" si="14"/>
        <v>0</v>
      </c>
      <c r="H206" s="5">
        <f t="shared" si="15"/>
        <v>0</v>
      </c>
    </row>
    <row r="207" spans="1:8" x14ac:dyDescent="0.2">
      <c r="A207" s="2">
        <v>206</v>
      </c>
      <c r="B207" s="5">
        <f t="shared" si="12"/>
        <v>0</v>
      </c>
      <c r="C207" s="5">
        <f t="shared" si="13"/>
        <v>0</v>
      </c>
      <c r="D207" s="5"/>
      <c r="E207" s="5">
        <f>IF($B207 &lt;= 0, 0, -ROUND($B207 * (InterestRate / PaymentsPerYear), 2))</f>
        <v>0</v>
      </c>
      <c r="F207" s="5">
        <f>ROUND(IFERROR(IF($B207&lt;=0,0,
MAX(-$B207, -(-PMT(InterestRate/PaymentsPerYear,LoanTerm*PaymentsPerYear,LoanAmount) + $E207))), 0), 2)</f>
        <v>0</v>
      </c>
      <c r="G207" s="5">
        <f t="shared" si="14"/>
        <v>0</v>
      </c>
      <c r="H207" s="5">
        <f t="shared" si="15"/>
        <v>0</v>
      </c>
    </row>
    <row r="208" spans="1:8" x14ac:dyDescent="0.2">
      <c r="A208" s="2">
        <v>207</v>
      </c>
      <c r="B208" s="5">
        <f t="shared" si="12"/>
        <v>0</v>
      </c>
      <c r="C208" s="5">
        <f t="shared" si="13"/>
        <v>0</v>
      </c>
      <c r="D208" s="5"/>
      <c r="E208" s="5">
        <f>IF($B208 &lt;= 0, 0, -ROUND($B208 * (InterestRate / PaymentsPerYear), 2))</f>
        <v>0</v>
      </c>
      <c r="F208" s="5">
        <f>ROUND(IFERROR(IF($B208&lt;=0,0,
MAX(-$B208, -(-PMT(InterestRate/PaymentsPerYear,LoanTerm*PaymentsPerYear,LoanAmount) + $E208))), 0), 2)</f>
        <v>0</v>
      </c>
      <c r="G208" s="5">
        <f t="shared" si="14"/>
        <v>0</v>
      </c>
      <c r="H208" s="5">
        <f t="shared" si="15"/>
        <v>0</v>
      </c>
    </row>
    <row r="209" spans="1:8" x14ac:dyDescent="0.2">
      <c r="A209" s="2">
        <v>208</v>
      </c>
      <c r="B209" s="5">
        <f t="shared" si="12"/>
        <v>0</v>
      </c>
      <c r="C209" s="5">
        <f t="shared" si="13"/>
        <v>0</v>
      </c>
      <c r="D209" s="5"/>
      <c r="E209" s="5">
        <f>IF($B209 &lt;= 0, 0, -ROUND($B209 * (InterestRate / PaymentsPerYear), 2))</f>
        <v>0</v>
      </c>
      <c r="F209" s="5">
        <f>ROUND(IFERROR(IF($B209&lt;=0,0,
MAX(-$B209, -(-PMT(InterestRate/PaymentsPerYear,LoanTerm*PaymentsPerYear,LoanAmount) + $E209))), 0), 2)</f>
        <v>0</v>
      </c>
      <c r="G209" s="5">
        <f t="shared" si="14"/>
        <v>0</v>
      </c>
      <c r="H209" s="5">
        <f t="shared" si="15"/>
        <v>0</v>
      </c>
    </row>
    <row r="210" spans="1:8" x14ac:dyDescent="0.2">
      <c r="A210" s="2">
        <v>209</v>
      </c>
      <c r="B210" s="5">
        <f t="shared" si="12"/>
        <v>0</v>
      </c>
      <c r="C210" s="5">
        <f t="shared" si="13"/>
        <v>0</v>
      </c>
      <c r="D210" s="5"/>
      <c r="E210" s="5">
        <f>IF($B210 &lt;= 0, 0, -ROUND($B210 * (InterestRate / PaymentsPerYear), 2))</f>
        <v>0</v>
      </c>
      <c r="F210" s="5">
        <f>ROUND(IFERROR(IF($B210&lt;=0,0,
MAX(-$B210, -(-PMT(InterestRate/PaymentsPerYear,LoanTerm*PaymentsPerYear,LoanAmount) + $E210))), 0), 2)</f>
        <v>0</v>
      </c>
      <c r="G210" s="5">
        <f t="shared" si="14"/>
        <v>0</v>
      </c>
      <c r="H210" s="5">
        <f t="shared" si="15"/>
        <v>0</v>
      </c>
    </row>
    <row r="211" spans="1:8" x14ac:dyDescent="0.2">
      <c r="A211" s="2">
        <v>210</v>
      </c>
      <c r="B211" s="5">
        <f t="shared" si="12"/>
        <v>0</v>
      </c>
      <c r="C211" s="5">
        <f t="shared" si="13"/>
        <v>0</v>
      </c>
      <c r="D211" s="5"/>
      <c r="E211" s="5">
        <f>IF($B211 &lt;= 0, 0, -ROUND($B211 * (InterestRate / PaymentsPerYear), 2))</f>
        <v>0</v>
      </c>
      <c r="F211" s="5">
        <f>ROUND(IFERROR(IF($B211&lt;=0,0,
MAX(-$B211, -(-PMT(InterestRate/PaymentsPerYear,LoanTerm*PaymentsPerYear,LoanAmount) + $E211))), 0), 2)</f>
        <v>0</v>
      </c>
      <c r="G211" s="5">
        <f t="shared" si="14"/>
        <v>0</v>
      </c>
      <c r="H211" s="5">
        <f t="shared" si="15"/>
        <v>0</v>
      </c>
    </row>
    <row r="212" spans="1:8" x14ac:dyDescent="0.2">
      <c r="A212" s="2">
        <v>211</v>
      </c>
      <c r="B212" s="5">
        <f t="shared" si="12"/>
        <v>0</v>
      </c>
      <c r="C212" s="5">
        <f t="shared" si="13"/>
        <v>0</v>
      </c>
      <c r="D212" s="5"/>
      <c r="E212" s="5">
        <f>IF($B212 &lt;= 0, 0, -ROUND($B212 * (InterestRate / PaymentsPerYear), 2))</f>
        <v>0</v>
      </c>
      <c r="F212" s="5">
        <f>ROUND(IFERROR(IF($B212&lt;=0,0,
MAX(-$B212, -(-PMT(InterestRate/PaymentsPerYear,LoanTerm*PaymentsPerYear,LoanAmount) + $E212))), 0), 2)</f>
        <v>0</v>
      </c>
      <c r="G212" s="5">
        <f t="shared" si="14"/>
        <v>0</v>
      </c>
      <c r="H212" s="5">
        <f t="shared" si="15"/>
        <v>0</v>
      </c>
    </row>
    <row r="213" spans="1:8" x14ac:dyDescent="0.2">
      <c r="A213" s="2">
        <v>212</v>
      </c>
      <c r="B213" s="5">
        <f t="shared" si="12"/>
        <v>0</v>
      </c>
      <c r="C213" s="5">
        <f t="shared" si="13"/>
        <v>0</v>
      </c>
      <c r="D213" s="5"/>
      <c r="E213" s="5">
        <f>IF($B213 &lt;= 0, 0, -ROUND($B213 * (InterestRate / PaymentsPerYear), 2))</f>
        <v>0</v>
      </c>
      <c r="F213" s="5">
        <f>ROUND(IFERROR(IF($B213&lt;=0,0,
MAX(-$B213, -(-PMT(InterestRate/PaymentsPerYear,LoanTerm*PaymentsPerYear,LoanAmount) + $E213))), 0), 2)</f>
        <v>0</v>
      </c>
      <c r="G213" s="5">
        <f t="shared" si="14"/>
        <v>0</v>
      </c>
      <c r="H213" s="5">
        <f t="shared" si="15"/>
        <v>0</v>
      </c>
    </row>
    <row r="214" spans="1:8" x14ac:dyDescent="0.2">
      <c r="A214" s="2">
        <v>213</v>
      </c>
      <c r="B214" s="5">
        <f t="shared" si="12"/>
        <v>0</v>
      </c>
      <c r="C214" s="5">
        <f t="shared" si="13"/>
        <v>0</v>
      </c>
      <c r="D214" s="5"/>
      <c r="E214" s="5">
        <f>IF($B214 &lt;= 0, 0, -ROUND($B214 * (InterestRate / PaymentsPerYear), 2))</f>
        <v>0</v>
      </c>
      <c r="F214" s="5">
        <f>ROUND(IFERROR(IF($B214&lt;=0,0,
MAX(-$B214, -(-PMT(InterestRate/PaymentsPerYear,LoanTerm*PaymentsPerYear,LoanAmount) + $E214))), 0), 2)</f>
        <v>0</v>
      </c>
      <c r="G214" s="5">
        <f t="shared" si="14"/>
        <v>0</v>
      </c>
      <c r="H214" s="5">
        <f t="shared" si="15"/>
        <v>0</v>
      </c>
    </row>
    <row r="215" spans="1:8" x14ac:dyDescent="0.2">
      <c r="A215" s="2">
        <v>214</v>
      </c>
      <c r="B215" s="5">
        <f t="shared" si="12"/>
        <v>0</v>
      </c>
      <c r="C215" s="5">
        <f t="shared" si="13"/>
        <v>0</v>
      </c>
      <c r="D215" s="5"/>
      <c r="E215" s="5">
        <f>IF($B215 &lt;= 0, 0, -ROUND($B215 * (InterestRate / PaymentsPerYear), 2))</f>
        <v>0</v>
      </c>
      <c r="F215" s="5">
        <f>ROUND(IFERROR(IF($B215&lt;=0,0,
MAX(-$B215, -(-PMT(InterestRate/PaymentsPerYear,LoanTerm*PaymentsPerYear,LoanAmount) + $E215))), 0), 2)</f>
        <v>0</v>
      </c>
      <c r="G215" s="5">
        <f t="shared" si="14"/>
        <v>0</v>
      </c>
      <c r="H215" s="5">
        <f t="shared" si="15"/>
        <v>0</v>
      </c>
    </row>
    <row r="216" spans="1:8" x14ac:dyDescent="0.2">
      <c r="A216" s="2">
        <v>215</v>
      </c>
      <c r="B216" s="5">
        <f t="shared" si="12"/>
        <v>0</v>
      </c>
      <c r="C216" s="5">
        <f t="shared" si="13"/>
        <v>0</v>
      </c>
      <c r="D216" s="5"/>
      <c r="E216" s="5">
        <f>IF($B216 &lt;= 0, 0, -ROUND($B216 * (InterestRate / PaymentsPerYear), 2))</f>
        <v>0</v>
      </c>
      <c r="F216" s="5">
        <f>ROUND(IFERROR(IF($B216&lt;=0,0,
MAX(-$B216, -(-PMT(InterestRate/PaymentsPerYear,LoanTerm*PaymentsPerYear,LoanAmount) + $E216))), 0), 2)</f>
        <v>0</v>
      </c>
      <c r="G216" s="5">
        <f t="shared" si="14"/>
        <v>0</v>
      </c>
      <c r="H216" s="5">
        <f t="shared" si="15"/>
        <v>0</v>
      </c>
    </row>
    <row r="217" spans="1:8" x14ac:dyDescent="0.2">
      <c r="A217" s="2">
        <v>216</v>
      </c>
      <c r="B217" s="5">
        <f t="shared" si="12"/>
        <v>0</v>
      </c>
      <c r="C217" s="5">
        <f t="shared" si="13"/>
        <v>0</v>
      </c>
      <c r="D217" s="5"/>
      <c r="E217" s="5">
        <f>IF($B217 &lt;= 0, 0, -ROUND($B217 * (InterestRate / PaymentsPerYear), 2))</f>
        <v>0</v>
      </c>
      <c r="F217" s="5">
        <f>ROUND(IFERROR(IF($B217&lt;=0,0,
MAX(-$B217, -(-PMT(InterestRate/PaymentsPerYear,LoanTerm*PaymentsPerYear,LoanAmount) + $E217))), 0), 2)</f>
        <v>0</v>
      </c>
      <c r="G217" s="5">
        <f t="shared" si="14"/>
        <v>0</v>
      </c>
      <c r="H217" s="5">
        <f t="shared" si="15"/>
        <v>0</v>
      </c>
    </row>
    <row r="218" spans="1:8" x14ac:dyDescent="0.2">
      <c r="A218" s="2">
        <v>217</v>
      </c>
      <c r="B218" s="5">
        <f t="shared" si="12"/>
        <v>0</v>
      </c>
      <c r="C218" s="5">
        <f t="shared" si="13"/>
        <v>0</v>
      </c>
      <c r="D218" s="5"/>
      <c r="E218" s="5">
        <f>IF($B218 &lt;= 0, 0, -ROUND($B218 * (InterestRate / PaymentsPerYear), 2))</f>
        <v>0</v>
      </c>
      <c r="F218" s="5">
        <f>ROUND(IFERROR(IF($B218&lt;=0,0,
MAX(-$B218, -(-PMT(InterestRate/PaymentsPerYear,LoanTerm*PaymentsPerYear,LoanAmount) + $E218))), 0), 2)</f>
        <v>0</v>
      </c>
      <c r="G218" s="5">
        <f t="shared" si="14"/>
        <v>0</v>
      </c>
      <c r="H218" s="5">
        <f t="shared" si="15"/>
        <v>0</v>
      </c>
    </row>
    <row r="219" spans="1:8" x14ac:dyDescent="0.2">
      <c r="A219" s="2">
        <v>218</v>
      </c>
      <c r="B219" s="5">
        <f t="shared" si="12"/>
        <v>0</v>
      </c>
      <c r="C219" s="5">
        <f t="shared" si="13"/>
        <v>0</v>
      </c>
      <c r="D219" s="5"/>
      <c r="E219" s="5">
        <f>IF($B219 &lt;= 0, 0, -ROUND($B219 * (InterestRate / PaymentsPerYear), 2))</f>
        <v>0</v>
      </c>
      <c r="F219" s="5">
        <f>ROUND(IFERROR(IF($B219&lt;=0,0,
MAX(-$B219, -(-PMT(InterestRate/PaymentsPerYear,LoanTerm*PaymentsPerYear,LoanAmount) + $E219))), 0), 2)</f>
        <v>0</v>
      </c>
      <c r="G219" s="5">
        <f t="shared" si="14"/>
        <v>0</v>
      </c>
      <c r="H219" s="5">
        <f t="shared" si="15"/>
        <v>0</v>
      </c>
    </row>
    <row r="220" spans="1:8" x14ac:dyDescent="0.2">
      <c r="A220" s="2">
        <v>219</v>
      </c>
      <c r="B220" s="5">
        <f t="shared" si="12"/>
        <v>0</v>
      </c>
      <c r="C220" s="5">
        <f t="shared" si="13"/>
        <v>0</v>
      </c>
      <c r="D220" s="5"/>
      <c r="E220" s="5">
        <f>IF($B220 &lt;= 0, 0, -ROUND($B220 * (InterestRate / PaymentsPerYear), 2))</f>
        <v>0</v>
      </c>
      <c r="F220" s="5">
        <f>ROUND(IFERROR(IF($B220&lt;=0,0,
MAX(-$B220, -(-PMT(InterestRate/PaymentsPerYear,LoanTerm*PaymentsPerYear,LoanAmount) + $E220))), 0), 2)</f>
        <v>0</v>
      </c>
      <c r="G220" s="5">
        <f t="shared" si="14"/>
        <v>0</v>
      </c>
      <c r="H220" s="5">
        <f t="shared" si="15"/>
        <v>0</v>
      </c>
    </row>
    <row r="221" spans="1:8" x14ac:dyDescent="0.2">
      <c r="A221" s="2">
        <v>220</v>
      </c>
      <c r="B221" s="5">
        <f t="shared" si="12"/>
        <v>0</v>
      </c>
      <c r="C221" s="5">
        <f t="shared" si="13"/>
        <v>0</v>
      </c>
      <c r="D221" s="5"/>
      <c r="E221" s="5">
        <f>IF($B221 &lt;= 0, 0, -ROUND($B221 * (InterestRate / PaymentsPerYear), 2))</f>
        <v>0</v>
      </c>
      <c r="F221" s="5">
        <f>ROUND(IFERROR(IF($B221&lt;=0,0,
MAX(-$B221, -(-PMT(InterestRate/PaymentsPerYear,LoanTerm*PaymentsPerYear,LoanAmount) + $E221))), 0), 2)</f>
        <v>0</v>
      </c>
      <c r="G221" s="5">
        <f t="shared" si="14"/>
        <v>0</v>
      </c>
      <c r="H221" s="5">
        <f t="shared" si="15"/>
        <v>0</v>
      </c>
    </row>
    <row r="222" spans="1:8" x14ac:dyDescent="0.2">
      <c r="A222" s="2">
        <v>221</v>
      </c>
      <c r="B222" s="5">
        <f t="shared" si="12"/>
        <v>0</v>
      </c>
      <c r="C222" s="5">
        <f t="shared" si="13"/>
        <v>0</v>
      </c>
      <c r="D222" s="5"/>
      <c r="E222" s="5">
        <f>IF($B222 &lt;= 0, 0, -ROUND($B222 * (InterestRate / PaymentsPerYear), 2))</f>
        <v>0</v>
      </c>
      <c r="F222" s="5">
        <f>ROUND(IFERROR(IF($B222&lt;=0,0,
MAX(-$B222, -(-PMT(InterestRate/PaymentsPerYear,LoanTerm*PaymentsPerYear,LoanAmount) + $E222))), 0), 2)</f>
        <v>0</v>
      </c>
      <c r="G222" s="5">
        <f t="shared" si="14"/>
        <v>0</v>
      </c>
      <c r="H222" s="5">
        <f t="shared" si="15"/>
        <v>0</v>
      </c>
    </row>
    <row r="223" spans="1:8" x14ac:dyDescent="0.2">
      <c r="A223" s="2">
        <v>222</v>
      </c>
      <c r="B223" s="5">
        <f t="shared" si="12"/>
        <v>0</v>
      </c>
      <c r="C223" s="5">
        <f t="shared" si="13"/>
        <v>0</v>
      </c>
      <c r="D223" s="5"/>
      <c r="E223" s="5">
        <f>IF($B223 &lt;= 0, 0, -ROUND($B223 * (InterestRate / PaymentsPerYear), 2))</f>
        <v>0</v>
      </c>
      <c r="F223" s="5">
        <f>ROUND(IFERROR(IF($B223&lt;=0,0,
MAX(-$B223, -(-PMT(InterestRate/PaymentsPerYear,LoanTerm*PaymentsPerYear,LoanAmount) + $E223))), 0), 2)</f>
        <v>0</v>
      </c>
      <c r="G223" s="5">
        <f t="shared" si="14"/>
        <v>0</v>
      </c>
      <c r="H223" s="5">
        <f t="shared" si="15"/>
        <v>0</v>
      </c>
    </row>
    <row r="224" spans="1:8" x14ac:dyDescent="0.2">
      <c r="A224" s="2">
        <v>223</v>
      </c>
      <c r="B224" s="5">
        <f t="shared" si="12"/>
        <v>0</v>
      </c>
      <c r="C224" s="5">
        <f t="shared" si="13"/>
        <v>0</v>
      </c>
      <c r="D224" s="5"/>
      <c r="E224" s="5">
        <f>IF($B224 &lt;= 0, 0, -ROUND($B224 * (InterestRate / PaymentsPerYear), 2))</f>
        <v>0</v>
      </c>
      <c r="F224" s="5">
        <f>ROUND(IFERROR(IF($B224&lt;=0,0,
MAX(-$B224, -(-PMT(InterestRate/PaymentsPerYear,LoanTerm*PaymentsPerYear,LoanAmount) + $E224))), 0), 2)</f>
        <v>0</v>
      </c>
      <c r="G224" s="5">
        <f t="shared" si="14"/>
        <v>0</v>
      </c>
      <c r="H224" s="5">
        <f t="shared" si="15"/>
        <v>0</v>
      </c>
    </row>
    <row r="225" spans="1:8" x14ac:dyDescent="0.2">
      <c r="A225" s="2">
        <v>224</v>
      </c>
      <c r="B225" s="5">
        <f t="shared" si="12"/>
        <v>0</v>
      </c>
      <c r="C225" s="5">
        <f t="shared" si="13"/>
        <v>0</v>
      </c>
      <c r="D225" s="5"/>
      <c r="E225" s="5">
        <f>IF($B225 &lt;= 0, 0, -ROUND($B225 * (InterestRate / PaymentsPerYear), 2))</f>
        <v>0</v>
      </c>
      <c r="F225" s="5">
        <f>ROUND(IFERROR(IF($B225&lt;=0,0,
MAX(-$B225, -(-PMT(InterestRate/PaymentsPerYear,LoanTerm*PaymentsPerYear,LoanAmount) + $E225))), 0), 2)</f>
        <v>0</v>
      </c>
      <c r="G225" s="5">
        <f t="shared" si="14"/>
        <v>0</v>
      </c>
      <c r="H225" s="5">
        <f t="shared" si="15"/>
        <v>0</v>
      </c>
    </row>
    <row r="226" spans="1:8" x14ac:dyDescent="0.2">
      <c r="A226" s="2">
        <v>225</v>
      </c>
      <c r="B226" s="5">
        <f t="shared" si="12"/>
        <v>0</v>
      </c>
      <c r="C226" s="5">
        <f t="shared" si="13"/>
        <v>0</v>
      </c>
      <c r="D226" s="5"/>
      <c r="E226" s="5">
        <f>IF($B226 &lt;= 0, 0, -ROUND($B226 * (InterestRate / PaymentsPerYear), 2))</f>
        <v>0</v>
      </c>
      <c r="F226" s="5">
        <f>ROUND(IFERROR(IF($B226&lt;=0,0,
MAX(-$B226, -(-PMT(InterestRate/PaymentsPerYear,LoanTerm*PaymentsPerYear,LoanAmount) + $E226))), 0), 2)</f>
        <v>0</v>
      </c>
      <c r="G226" s="5">
        <f t="shared" si="14"/>
        <v>0</v>
      </c>
      <c r="H226" s="5">
        <f t="shared" si="15"/>
        <v>0</v>
      </c>
    </row>
    <row r="227" spans="1:8" x14ac:dyDescent="0.2">
      <c r="A227" s="2">
        <v>226</v>
      </c>
      <c r="B227" s="5">
        <f t="shared" si="12"/>
        <v>0</v>
      </c>
      <c r="C227" s="5">
        <f t="shared" si="13"/>
        <v>0</v>
      </c>
      <c r="D227" s="5"/>
      <c r="E227" s="5">
        <f>IF($B227 &lt;= 0, 0, -ROUND($B227 * (InterestRate / PaymentsPerYear), 2))</f>
        <v>0</v>
      </c>
      <c r="F227" s="5">
        <f>ROUND(IFERROR(IF($B227&lt;=0,0,
MAX(-$B227, -(-PMT(InterestRate/PaymentsPerYear,LoanTerm*PaymentsPerYear,LoanAmount) + $E227))), 0), 2)</f>
        <v>0</v>
      </c>
      <c r="G227" s="5">
        <f t="shared" si="14"/>
        <v>0</v>
      </c>
      <c r="H227" s="5">
        <f t="shared" si="15"/>
        <v>0</v>
      </c>
    </row>
    <row r="228" spans="1:8" x14ac:dyDescent="0.2">
      <c r="A228" s="2">
        <v>227</v>
      </c>
      <c r="B228" s="5">
        <f t="shared" si="12"/>
        <v>0</v>
      </c>
      <c r="C228" s="5">
        <f t="shared" si="13"/>
        <v>0</v>
      </c>
      <c r="D228" s="5"/>
      <c r="E228" s="5">
        <f>IF($B228 &lt;= 0, 0, -ROUND($B228 * (InterestRate / PaymentsPerYear), 2))</f>
        <v>0</v>
      </c>
      <c r="F228" s="5">
        <f>ROUND(IFERROR(IF($B228&lt;=0,0,
MAX(-$B228, -(-PMT(InterestRate/PaymentsPerYear,LoanTerm*PaymentsPerYear,LoanAmount) + $E228))), 0), 2)</f>
        <v>0</v>
      </c>
      <c r="G228" s="5">
        <f t="shared" si="14"/>
        <v>0</v>
      </c>
      <c r="H228" s="5">
        <f t="shared" si="15"/>
        <v>0</v>
      </c>
    </row>
    <row r="229" spans="1:8" x14ac:dyDescent="0.2">
      <c r="A229" s="2">
        <v>228</v>
      </c>
      <c r="B229" s="5">
        <f t="shared" si="12"/>
        <v>0</v>
      </c>
      <c r="C229" s="5">
        <f t="shared" si="13"/>
        <v>0</v>
      </c>
      <c r="D229" s="5"/>
      <c r="E229" s="5">
        <f>IF($B229 &lt;= 0, 0, -ROUND($B229 * (InterestRate / PaymentsPerYear), 2))</f>
        <v>0</v>
      </c>
      <c r="F229" s="5">
        <f>ROUND(IFERROR(IF($B229&lt;=0,0,
MAX(-$B229, -(-PMT(InterestRate/PaymentsPerYear,LoanTerm*PaymentsPerYear,LoanAmount) + $E229))), 0), 2)</f>
        <v>0</v>
      </c>
      <c r="G229" s="5">
        <f t="shared" si="14"/>
        <v>0</v>
      </c>
      <c r="H229" s="5">
        <f t="shared" si="15"/>
        <v>0</v>
      </c>
    </row>
    <row r="230" spans="1:8" x14ac:dyDescent="0.2">
      <c r="A230" s="2">
        <v>229</v>
      </c>
      <c r="B230" s="5">
        <f t="shared" si="12"/>
        <v>0</v>
      </c>
      <c r="C230" s="5">
        <f t="shared" si="13"/>
        <v>0</v>
      </c>
      <c r="D230" s="5"/>
      <c r="E230" s="5">
        <f>IF($B230 &lt;= 0, 0, -ROUND($B230 * (InterestRate / PaymentsPerYear), 2))</f>
        <v>0</v>
      </c>
      <c r="F230" s="5">
        <f>ROUND(IFERROR(IF($B230&lt;=0,0,
MAX(-$B230, -(-PMT(InterestRate/PaymentsPerYear,LoanTerm*PaymentsPerYear,LoanAmount) + $E230))), 0), 2)</f>
        <v>0</v>
      </c>
      <c r="G230" s="5">
        <f t="shared" si="14"/>
        <v>0</v>
      </c>
      <c r="H230" s="5">
        <f t="shared" si="15"/>
        <v>0</v>
      </c>
    </row>
    <row r="231" spans="1:8" x14ac:dyDescent="0.2">
      <c r="A231" s="2">
        <v>230</v>
      </c>
      <c r="B231" s="5">
        <f t="shared" si="12"/>
        <v>0</v>
      </c>
      <c r="C231" s="5">
        <f t="shared" si="13"/>
        <v>0</v>
      </c>
      <c r="D231" s="5"/>
      <c r="E231" s="5">
        <f>IF($B231 &lt;= 0, 0, -ROUND($B231 * (InterestRate / PaymentsPerYear), 2))</f>
        <v>0</v>
      </c>
      <c r="F231" s="5">
        <f>ROUND(IFERROR(IF($B231&lt;=0,0,
MAX(-$B231, -(-PMT(InterestRate/PaymentsPerYear,LoanTerm*PaymentsPerYear,LoanAmount) + $E231))), 0), 2)</f>
        <v>0</v>
      </c>
      <c r="G231" s="5">
        <f t="shared" si="14"/>
        <v>0</v>
      </c>
      <c r="H231" s="5">
        <f t="shared" si="15"/>
        <v>0</v>
      </c>
    </row>
    <row r="232" spans="1:8" x14ac:dyDescent="0.2">
      <c r="A232" s="2">
        <v>231</v>
      </c>
      <c r="B232" s="5">
        <f t="shared" si="12"/>
        <v>0</v>
      </c>
      <c r="C232" s="5">
        <f t="shared" si="13"/>
        <v>0</v>
      </c>
      <c r="D232" s="5"/>
      <c r="E232" s="5">
        <f>IF($B232 &lt;= 0, 0, -ROUND($B232 * (InterestRate / PaymentsPerYear), 2))</f>
        <v>0</v>
      </c>
      <c r="F232" s="5">
        <f>ROUND(IFERROR(IF($B232&lt;=0,0,
MAX(-$B232, -(-PMT(InterestRate/PaymentsPerYear,LoanTerm*PaymentsPerYear,LoanAmount) + $E232))), 0), 2)</f>
        <v>0</v>
      </c>
      <c r="G232" s="5">
        <f t="shared" si="14"/>
        <v>0</v>
      </c>
      <c r="H232" s="5">
        <f t="shared" si="15"/>
        <v>0</v>
      </c>
    </row>
    <row r="233" spans="1:8" x14ac:dyDescent="0.2">
      <c r="A233" s="2">
        <v>232</v>
      </c>
      <c r="B233" s="5">
        <f t="shared" si="12"/>
        <v>0</v>
      </c>
      <c r="C233" s="5">
        <f t="shared" si="13"/>
        <v>0</v>
      </c>
      <c r="D233" s="5"/>
      <c r="E233" s="5">
        <f>IF($B233 &lt;= 0, 0, -ROUND($B233 * (InterestRate / PaymentsPerYear), 2))</f>
        <v>0</v>
      </c>
      <c r="F233" s="5">
        <f>ROUND(IFERROR(IF($B233&lt;=0,0,
MAX(-$B233, -(-PMT(InterestRate/PaymentsPerYear,LoanTerm*PaymentsPerYear,LoanAmount) + $E233))), 0), 2)</f>
        <v>0</v>
      </c>
      <c r="G233" s="5">
        <f t="shared" si="14"/>
        <v>0</v>
      </c>
      <c r="H233" s="5">
        <f t="shared" si="15"/>
        <v>0</v>
      </c>
    </row>
    <row r="234" spans="1:8" x14ac:dyDescent="0.2">
      <c r="A234" s="2">
        <v>233</v>
      </c>
      <c r="B234" s="5">
        <f t="shared" si="12"/>
        <v>0</v>
      </c>
      <c r="C234" s="5">
        <f t="shared" si="13"/>
        <v>0</v>
      </c>
      <c r="D234" s="5"/>
      <c r="E234" s="5">
        <f>IF($B234 &lt;= 0, 0, -ROUND($B234 * (InterestRate / PaymentsPerYear), 2))</f>
        <v>0</v>
      </c>
      <c r="F234" s="5">
        <f>ROUND(IFERROR(IF($B234&lt;=0,0,
MAX(-$B234, -(-PMT(InterestRate/PaymentsPerYear,LoanTerm*PaymentsPerYear,LoanAmount) + $E234))), 0), 2)</f>
        <v>0</v>
      </c>
      <c r="G234" s="5">
        <f t="shared" si="14"/>
        <v>0</v>
      </c>
      <c r="H234" s="5">
        <f t="shared" si="15"/>
        <v>0</v>
      </c>
    </row>
    <row r="235" spans="1:8" x14ac:dyDescent="0.2">
      <c r="A235" s="2">
        <v>234</v>
      </c>
      <c r="B235" s="5">
        <f t="shared" si="12"/>
        <v>0</v>
      </c>
      <c r="C235" s="5">
        <f t="shared" si="13"/>
        <v>0</v>
      </c>
      <c r="D235" s="5"/>
      <c r="E235" s="5">
        <f>IF($B235 &lt;= 0, 0, -ROUND($B235 * (InterestRate / PaymentsPerYear), 2))</f>
        <v>0</v>
      </c>
      <c r="F235" s="5">
        <f>ROUND(IFERROR(IF($B235&lt;=0,0,
MAX(-$B235, -(-PMT(InterestRate/PaymentsPerYear,LoanTerm*PaymentsPerYear,LoanAmount) + $E235))), 0), 2)</f>
        <v>0</v>
      </c>
      <c r="G235" s="5">
        <f t="shared" si="14"/>
        <v>0</v>
      </c>
      <c r="H235" s="5">
        <f t="shared" si="15"/>
        <v>0</v>
      </c>
    </row>
    <row r="236" spans="1:8" x14ac:dyDescent="0.2">
      <c r="A236" s="2">
        <v>235</v>
      </c>
      <c r="B236" s="5">
        <f t="shared" si="12"/>
        <v>0</v>
      </c>
      <c r="C236" s="5">
        <f t="shared" si="13"/>
        <v>0</v>
      </c>
      <c r="D236" s="5"/>
      <c r="E236" s="5">
        <f>IF($B236 &lt;= 0, 0, -ROUND($B236 * (InterestRate / PaymentsPerYear), 2))</f>
        <v>0</v>
      </c>
      <c r="F236" s="5">
        <f>ROUND(IFERROR(IF($B236&lt;=0,0,
MAX(-$B236, -(-PMT(InterestRate/PaymentsPerYear,LoanTerm*PaymentsPerYear,LoanAmount) + $E236))), 0), 2)</f>
        <v>0</v>
      </c>
      <c r="G236" s="5">
        <f t="shared" si="14"/>
        <v>0</v>
      </c>
      <c r="H236" s="5">
        <f t="shared" si="15"/>
        <v>0</v>
      </c>
    </row>
    <row r="237" spans="1:8" x14ac:dyDescent="0.2">
      <c r="A237" s="2">
        <v>236</v>
      </c>
      <c r="B237" s="5">
        <f t="shared" si="12"/>
        <v>0</v>
      </c>
      <c r="C237" s="5">
        <f t="shared" si="13"/>
        <v>0</v>
      </c>
      <c r="D237" s="5"/>
      <c r="E237" s="5">
        <f>IF($B237 &lt;= 0, 0, -ROUND($B237 * (InterestRate / PaymentsPerYear), 2))</f>
        <v>0</v>
      </c>
      <c r="F237" s="5">
        <f>ROUND(IFERROR(IF($B237&lt;=0,0,
MAX(-$B237, -(-PMT(InterestRate/PaymentsPerYear,LoanTerm*PaymentsPerYear,LoanAmount) + $E237))), 0), 2)</f>
        <v>0</v>
      </c>
      <c r="G237" s="5">
        <f t="shared" si="14"/>
        <v>0</v>
      </c>
      <c r="H237" s="5">
        <f t="shared" si="15"/>
        <v>0</v>
      </c>
    </row>
    <row r="238" spans="1:8" x14ac:dyDescent="0.2">
      <c r="A238" s="2">
        <v>237</v>
      </c>
      <c r="B238" s="5">
        <f t="shared" si="12"/>
        <v>0</v>
      </c>
      <c r="C238" s="5">
        <f t="shared" si="13"/>
        <v>0</v>
      </c>
      <c r="D238" s="5"/>
      <c r="E238" s="5">
        <f>IF($B238 &lt;= 0, 0, -ROUND($B238 * (InterestRate / PaymentsPerYear), 2))</f>
        <v>0</v>
      </c>
      <c r="F238" s="5">
        <f>ROUND(IFERROR(IF($B238&lt;=0,0,
MAX(-$B238, -(-PMT(InterestRate/PaymentsPerYear,LoanTerm*PaymentsPerYear,LoanAmount) + $E238))), 0), 2)</f>
        <v>0</v>
      </c>
      <c r="G238" s="5">
        <f t="shared" si="14"/>
        <v>0</v>
      </c>
      <c r="H238" s="5">
        <f t="shared" si="15"/>
        <v>0</v>
      </c>
    </row>
    <row r="239" spans="1:8" x14ac:dyDescent="0.2">
      <c r="A239" s="2">
        <v>238</v>
      </c>
      <c r="B239" s="5">
        <f t="shared" si="12"/>
        <v>0</v>
      </c>
      <c r="C239" s="5">
        <f t="shared" si="13"/>
        <v>0</v>
      </c>
      <c r="D239" s="5"/>
      <c r="E239" s="5">
        <f>IF($B239 &lt;= 0, 0, -ROUND($B239 * (InterestRate / PaymentsPerYear), 2))</f>
        <v>0</v>
      </c>
      <c r="F239" s="5">
        <f>ROUND(IFERROR(IF($B239&lt;=0,0,
MAX(-$B239, -(-PMT(InterestRate/PaymentsPerYear,LoanTerm*PaymentsPerYear,LoanAmount) + $E239))), 0), 2)</f>
        <v>0</v>
      </c>
      <c r="G239" s="5">
        <f t="shared" si="14"/>
        <v>0</v>
      </c>
      <c r="H239" s="5">
        <f t="shared" si="15"/>
        <v>0</v>
      </c>
    </row>
    <row r="240" spans="1:8" x14ac:dyDescent="0.2">
      <c r="A240" s="2">
        <v>239</v>
      </c>
      <c r="B240" s="5">
        <f t="shared" si="12"/>
        <v>0</v>
      </c>
      <c r="C240" s="5">
        <f t="shared" si="13"/>
        <v>0</v>
      </c>
      <c r="D240" s="5"/>
      <c r="E240" s="5">
        <f>IF($B240 &lt;= 0, 0, -ROUND($B240 * (InterestRate / PaymentsPerYear), 2))</f>
        <v>0</v>
      </c>
      <c r="F240" s="5">
        <f>ROUND(IFERROR(IF($B240&lt;=0,0,
MAX(-$B240, -(-PMT(InterestRate/PaymentsPerYear,LoanTerm*PaymentsPerYear,LoanAmount) + $E240))), 0), 2)</f>
        <v>0</v>
      </c>
      <c r="G240" s="5">
        <f t="shared" si="14"/>
        <v>0</v>
      </c>
      <c r="H240" s="5">
        <f t="shared" si="15"/>
        <v>0</v>
      </c>
    </row>
    <row r="241" spans="1:8" x14ac:dyDescent="0.2">
      <c r="A241" s="2">
        <v>240</v>
      </c>
      <c r="B241" s="5">
        <f t="shared" si="12"/>
        <v>0</v>
      </c>
      <c r="C241" s="5">
        <f t="shared" si="13"/>
        <v>0</v>
      </c>
      <c r="D241" s="5"/>
      <c r="E241" s="5">
        <f>IF($B241 &lt;= 0, 0, -ROUND($B241 * (InterestRate / PaymentsPerYear), 2))</f>
        <v>0</v>
      </c>
      <c r="F241" s="5">
        <f>ROUND(IFERROR(IF($B241&lt;=0,0,
MAX(-$B241, -(-PMT(InterestRate/PaymentsPerYear,LoanTerm*PaymentsPerYear,LoanAmount) + $E241))), 0), 2)</f>
        <v>0</v>
      </c>
      <c r="G241" s="5">
        <f t="shared" si="14"/>
        <v>0</v>
      </c>
      <c r="H241" s="5">
        <f t="shared" si="15"/>
        <v>0</v>
      </c>
    </row>
    <row r="242" spans="1:8" x14ac:dyDescent="0.2">
      <c r="A242" s="2">
        <v>241</v>
      </c>
      <c r="B242" s="5">
        <f t="shared" si="12"/>
        <v>0</v>
      </c>
      <c r="C242" s="5">
        <f t="shared" si="13"/>
        <v>0</v>
      </c>
      <c r="D242" s="5"/>
      <c r="E242" s="5">
        <f>IF($B242 &lt;= 0, 0, -ROUND($B242 * (InterestRate / PaymentsPerYear), 2))</f>
        <v>0</v>
      </c>
      <c r="F242" s="5">
        <f>ROUND(IFERROR(IF($B242&lt;=0,0,
MAX(-$B242, -(-PMT(InterestRate/PaymentsPerYear,LoanTerm*PaymentsPerYear,LoanAmount) + $E242))), 0), 2)</f>
        <v>0</v>
      </c>
      <c r="G242" s="5">
        <f t="shared" si="14"/>
        <v>0</v>
      </c>
      <c r="H242" s="5">
        <f t="shared" si="15"/>
        <v>0</v>
      </c>
    </row>
    <row r="243" spans="1:8" x14ac:dyDescent="0.2">
      <c r="A243" s="2">
        <v>242</v>
      </c>
      <c r="B243" s="5">
        <f t="shared" si="12"/>
        <v>0</v>
      </c>
      <c r="C243" s="5">
        <f t="shared" si="13"/>
        <v>0</v>
      </c>
      <c r="D243" s="5"/>
      <c r="E243" s="5">
        <f>IF($B243 &lt;= 0, 0, -ROUND($B243 * (InterestRate / PaymentsPerYear), 2))</f>
        <v>0</v>
      </c>
      <c r="F243" s="5">
        <f>ROUND(IFERROR(IF($B243&lt;=0,0,
MAX(-$B243, -(-PMT(InterestRate/PaymentsPerYear,LoanTerm*PaymentsPerYear,LoanAmount) + $E243))), 0), 2)</f>
        <v>0</v>
      </c>
      <c r="G243" s="5">
        <f t="shared" si="14"/>
        <v>0</v>
      </c>
      <c r="H243" s="5">
        <f t="shared" si="15"/>
        <v>0</v>
      </c>
    </row>
    <row r="244" spans="1:8" x14ac:dyDescent="0.2">
      <c r="A244" s="2">
        <v>243</v>
      </c>
      <c r="B244" s="5">
        <f t="shared" si="12"/>
        <v>0</v>
      </c>
      <c r="C244" s="5">
        <f t="shared" si="13"/>
        <v>0</v>
      </c>
      <c r="D244" s="5"/>
      <c r="E244" s="5">
        <f>IF($B244 &lt;= 0, 0, -ROUND($B244 * (InterestRate / PaymentsPerYear), 2))</f>
        <v>0</v>
      </c>
      <c r="F244" s="5">
        <f>ROUND(IFERROR(IF($B244&lt;=0,0,
MAX(-$B244, -(-PMT(InterestRate/PaymentsPerYear,LoanTerm*PaymentsPerYear,LoanAmount) + $E244))), 0), 2)</f>
        <v>0</v>
      </c>
      <c r="G244" s="5">
        <f t="shared" si="14"/>
        <v>0</v>
      </c>
      <c r="H244" s="5">
        <f t="shared" si="15"/>
        <v>0</v>
      </c>
    </row>
    <row r="245" spans="1:8" x14ac:dyDescent="0.2">
      <c r="A245" s="2">
        <v>244</v>
      </c>
      <c r="B245" s="5">
        <f t="shared" si="12"/>
        <v>0</v>
      </c>
      <c r="C245" s="5">
        <f t="shared" si="13"/>
        <v>0</v>
      </c>
      <c r="D245" s="5"/>
      <c r="E245" s="5">
        <f>IF($B245 &lt;= 0, 0, -ROUND($B245 * (InterestRate / PaymentsPerYear), 2))</f>
        <v>0</v>
      </c>
      <c r="F245" s="5">
        <f>ROUND(IFERROR(IF($B245&lt;=0,0,
MAX(-$B245, -(-PMT(InterestRate/PaymentsPerYear,LoanTerm*PaymentsPerYear,LoanAmount) + $E245))), 0), 2)</f>
        <v>0</v>
      </c>
      <c r="G245" s="5">
        <f t="shared" si="14"/>
        <v>0</v>
      </c>
      <c r="H245" s="5">
        <f t="shared" si="15"/>
        <v>0</v>
      </c>
    </row>
    <row r="246" spans="1:8" x14ac:dyDescent="0.2">
      <c r="A246" s="2">
        <v>245</v>
      </c>
      <c r="B246" s="5">
        <f t="shared" si="12"/>
        <v>0</v>
      </c>
      <c r="C246" s="5">
        <f t="shared" si="13"/>
        <v>0</v>
      </c>
      <c r="D246" s="5"/>
      <c r="E246" s="5">
        <f>IF($B246 &lt;= 0, 0, -ROUND($B246 * (InterestRate / PaymentsPerYear), 2))</f>
        <v>0</v>
      </c>
      <c r="F246" s="5">
        <f>ROUND(IFERROR(IF($B246&lt;=0,0,
MAX(-$B246, -(-PMT(InterestRate/PaymentsPerYear,LoanTerm*PaymentsPerYear,LoanAmount) + $E246))), 0), 2)</f>
        <v>0</v>
      </c>
      <c r="G246" s="5">
        <f t="shared" si="14"/>
        <v>0</v>
      </c>
      <c r="H246" s="5">
        <f t="shared" si="15"/>
        <v>0</v>
      </c>
    </row>
    <row r="247" spans="1:8" x14ac:dyDescent="0.2">
      <c r="A247" s="2">
        <v>246</v>
      </c>
      <c r="B247" s="5">
        <f t="shared" si="12"/>
        <v>0</v>
      </c>
      <c r="C247" s="5">
        <f t="shared" si="13"/>
        <v>0</v>
      </c>
      <c r="D247" s="5"/>
      <c r="E247" s="5">
        <f>IF($B247 &lt;= 0, 0, -ROUND($B247 * (InterestRate / PaymentsPerYear), 2))</f>
        <v>0</v>
      </c>
      <c r="F247" s="5">
        <f>ROUND(IFERROR(IF($B247&lt;=0,0,
MAX(-$B247, -(-PMT(InterestRate/PaymentsPerYear,LoanTerm*PaymentsPerYear,LoanAmount) + $E247))), 0), 2)</f>
        <v>0</v>
      </c>
      <c r="G247" s="5">
        <f t="shared" si="14"/>
        <v>0</v>
      </c>
      <c r="H247" s="5">
        <f t="shared" si="15"/>
        <v>0</v>
      </c>
    </row>
    <row r="248" spans="1:8" x14ac:dyDescent="0.2">
      <c r="A248" s="2">
        <v>247</v>
      </c>
      <c r="B248" s="5">
        <f t="shared" si="12"/>
        <v>0</v>
      </c>
      <c r="C248" s="5">
        <f t="shared" si="13"/>
        <v>0</v>
      </c>
      <c r="D248" s="5"/>
      <c r="E248" s="5">
        <f>IF($B248 &lt;= 0, 0, -ROUND($B248 * (InterestRate / PaymentsPerYear), 2))</f>
        <v>0</v>
      </c>
      <c r="F248" s="5">
        <f>ROUND(IFERROR(IF($B248&lt;=0,0,
MAX(-$B248, -(-PMT(InterestRate/PaymentsPerYear,LoanTerm*PaymentsPerYear,LoanAmount) + $E248))), 0), 2)</f>
        <v>0</v>
      </c>
      <c r="G248" s="5">
        <f t="shared" si="14"/>
        <v>0</v>
      </c>
      <c r="H248" s="5">
        <f t="shared" si="15"/>
        <v>0</v>
      </c>
    </row>
    <row r="249" spans="1:8" x14ac:dyDescent="0.2">
      <c r="A249" s="2">
        <v>248</v>
      </c>
      <c r="B249" s="5">
        <f t="shared" si="12"/>
        <v>0</v>
      </c>
      <c r="C249" s="5">
        <f t="shared" si="13"/>
        <v>0</v>
      </c>
      <c r="D249" s="5"/>
      <c r="E249" s="5">
        <f>IF($B249 &lt;= 0, 0, -ROUND($B249 * (InterestRate / PaymentsPerYear), 2))</f>
        <v>0</v>
      </c>
      <c r="F249" s="5">
        <f>ROUND(IFERROR(IF($B249&lt;=0,0,
MAX(-$B249, -(-PMT(InterestRate/PaymentsPerYear,LoanTerm*PaymentsPerYear,LoanAmount) + $E249))), 0), 2)</f>
        <v>0</v>
      </c>
      <c r="G249" s="5">
        <f t="shared" si="14"/>
        <v>0</v>
      </c>
      <c r="H249" s="5">
        <f t="shared" si="15"/>
        <v>0</v>
      </c>
    </row>
    <row r="250" spans="1:8" x14ac:dyDescent="0.2">
      <c r="A250" s="2">
        <v>249</v>
      </c>
      <c r="B250" s="5">
        <f t="shared" si="12"/>
        <v>0</v>
      </c>
      <c r="C250" s="5">
        <f t="shared" si="13"/>
        <v>0</v>
      </c>
      <c r="D250" s="5"/>
      <c r="E250" s="5">
        <f>IF($B250 &lt;= 0, 0, -ROUND($B250 * (InterestRate / PaymentsPerYear), 2))</f>
        <v>0</v>
      </c>
      <c r="F250" s="5">
        <f>ROUND(IFERROR(IF($B250&lt;=0,0,
MAX(-$B250, -(-PMT(InterestRate/PaymentsPerYear,LoanTerm*PaymentsPerYear,LoanAmount) + $E250))), 0), 2)</f>
        <v>0</v>
      </c>
      <c r="G250" s="5">
        <f t="shared" si="14"/>
        <v>0</v>
      </c>
      <c r="H250" s="5">
        <f t="shared" si="15"/>
        <v>0</v>
      </c>
    </row>
    <row r="251" spans="1:8" x14ac:dyDescent="0.2">
      <c r="A251" s="2">
        <v>250</v>
      </c>
      <c r="B251" s="5">
        <f t="shared" si="12"/>
        <v>0</v>
      </c>
      <c r="C251" s="5">
        <f t="shared" si="13"/>
        <v>0</v>
      </c>
      <c r="D251" s="5"/>
      <c r="E251" s="5">
        <f>IF($B251 &lt;= 0, 0, -ROUND($B251 * (InterestRate / PaymentsPerYear), 2))</f>
        <v>0</v>
      </c>
      <c r="F251" s="5">
        <f>ROUND(IFERROR(IF($B251&lt;=0,0,
MAX(-$B251, -(-PMT(InterestRate/PaymentsPerYear,LoanTerm*PaymentsPerYear,LoanAmount) + $E251))), 0), 2)</f>
        <v>0</v>
      </c>
      <c r="G251" s="5">
        <f t="shared" si="14"/>
        <v>0</v>
      </c>
      <c r="H251" s="5">
        <f t="shared" si="15"/>
        <v>0</v>
      </c>
    </row>
    <row r="252" spans="1:8" x14ac:dyDescent="0.2">
      <c r="A252" s="2">
        <v>251</v>
      </c>
      <c r="B252" s="5">
        <f t="shared" si="12"/>
        <v>0</v>
      </c>
      <c r="C252" s="5">
        <f t="shared" si="13"/>
        <v>0</v>
      </c>
      <c r="D252" s="5"/>
      <c r="E252" s="5">
        <f>IF($B252 &lt;= 0, 0, -ROUND($B252 * (InterestRate / PaymentsPerYear), 2))</f>
        <v>0</v>
      </c>
      <c r="F252" s="5">
        <f>ROUND(IFERROR(IF($B252&lt;=0,0,
MAX(-$B252, -(-PMT(InterestRate/PaymentsPerYear,LoanTerm*PaymentsPerYear,LoanAmount) + $E252))), 0), 2)</f>
        <v>0</v>
      </c>
      <c r="G252" s="5">
        <f t="shared" si="14"/>
        <v>0</v>
      </c>
      <c r="H252" s="5">
        <f t="shared" si="15"/>
        <v>0</v>
      </c>
    </row>
    <row r="253" spans="1:8" x14ac:dyDescent="0.2">
      <c r="A253" s="2">
        <v>252</v>
      </c>
      <c r="B253" s="5">
        <f t="shared" si="12"/>
        <v>0</v>
      </c>
      <c r="C253" s="5">
        <f t="shared" si="13"/>
        <v>0</v>
      </c>
      <c r="D253" s="5"/>
      <c r="E253" s="5">
        <f>IF($B253 &lt;= 0, 0, -ROUND($B253 * (InterestRate / PaymentsPerYear), 2))</f>
        <v>0</v>
      </c>
      <c r="F253" s="5">
        <f>ROUND(IFERROR(IF($B253&lt;=0,0,
MAX(-$B253, -(-PMT(InterestRate/PaymentsPerYear,LoanTerm*PaymentsPerYear,LoanAmount) + $E253))), 0), 2)</f>
        <v>0</v>
      </c>
      <c r="G253" s="5">
        <f t="shared" si="14"/>
        <v>0</v>
      </c>
      <c r="H253" s="5">
        <f t="shared" si="15"/>
        <v>0</v>
      </c>
    </row>
    <row r="254" spans="1:8" x14ac:dyDescent="0.2">
      <c r="A254" s="2">
        <v>253</v>
      </c>
      <c r="B254" s="5">
        <f t="shared" si="12"/>
        <v>0</v>
      </c>
      <c r="C254" s="5">
        <f t="shared" si="13"/>
        <v>0</v>
      </c>
      <c r="D254" s="5"/>
      <c r="E254" s="5">
        <f>IF($B254 &lt;= 0, 0, -ROUND($B254 * (InterestRate / PaymentsPerYear), 2))</f>
        <v>0</v>
      </c>
      <c r="F254" s="5">
        <f>ROUND(IFERROR(IF($B254&lt;=0,0,
MAX(-$B254, -(-PMT(InterestRate/PaymentsPerYear,LoanTerm*PaymentsPerYear,LoanAmount) + $E254))), 0), 2)</f>
        <v>0</v>
      </c>
      <c r="G254" s="5">
        <f t="shared" si="14"/>
        <v>0</v>
      </c>
      <c r="H254" s="5">
        <f t="shared" si="15"/>
        <v>0</v>
      </c>
    </row>
    <row r="255" spans="1:8" x14ac:dyDescent="0.2">
      <c r="A255" s="2">
        <v>254</v>
      </c>
      <c r="B255" s="5">
        <f t="shared" si="12"/>
        <v>0</v>
      </c>
      <c r="C255" s="5">
        <f t="shared" si="13"/>
        <v>0</v>
      </c>
      <c r="D255" s="5"/>
      <c r="E255" s="5">
        <f>IF($B255 &lt;= 0, 0, -ROUND($B255 * (InterestRate / PaymentsPerYear), 2))</f>
        <v>0</v>
      </c>
      <c r="F255" s="5">
        <f>ROUND(IFERROR(IF($B255&lt;=0,0,
MAX(-$B255, -(-PMT(InterestRate/PaymentsPerYear,LoanTerm*PaymentsPerYear,LoanAmount) + $E255))), 0), 2)</f>
        <v>0</v>
      </c>
      <c r="G255" s="5">
        <f t="shared" si="14"/>
        <v>0</v>
      </c>
      <c r="H255" s="5">
        <f t="shared" si="15"/>
        <v>0</v>
      </c>
    </row>
    <row r="256" spans="1:8" x14ac:dyDescent="0.2">
      <c r="A256" s="2">
        <v>255</v>
      </c>
      <c r="B256" s="5">
        <f t="shared" si="12"/>
        <v>0</v>
      </c>
      <c r="C256" s="5">
        <f t="shared" si="13"/>
        <v>0</v>
      </c>
      <c r="D256" s="5"/>
      <c r="E256" s="5">
        <f>IF($B256 &lt;= 0, 0, -ROUND($B256 * (InterestRate / PaymentsPerYear), 2))</f>
        <v>0</v>
      </c>
      <c r="F256" s="5">
        <f>ROUND(IFERROR(IF($B256&lt;=0,0,
MAX(-$B256, -(-PMT(InterestRate/PaymentsPerYear,LoanTerm*PaymentsPerYear,LoanAmount) + $E256))), 0), 2)</f>
        <v>0</v>
      </c>
      <c r="G256" s="5">
        <f t="shared" si="14"/>
        <v>0</v>
      </c>
      <c r="H256" s="5">
        <f t="shared" si="15"/>
        <v>0</v>
      </c>
    </row>
    <row r="257" spans="1:8" x14ac:dyDescent="0.2">
      <c r="A257" s="2">
        <v>256</v>
      </c>
      <c r="B257" s="5">
        <f t="shared" si="12"/>
        <v>0</v>
      </c>
      <c r="C257" s="5">
        <f t="shared" si="13"/>
        <v>0</v>
      </c>
      <c r="D257" s="5"/>
      <c r="E257" s="5">
        <f>IF($B257 &lt;= 0, 0, -ROUND($B257 * (InterestRate / PaymentsPerYear), 2))</f>
        <v>0</v>
      </c>
      <c r="F257" s="5">
        <f>ROUND(IFERROR(IF($B257&lt;=0,0,
MAX(-$B257, -(-PMT(InterestRate/PaymentsPerYear,LoanTerm*PaymentsPerYear,LoanAmount) + $E257))), 0), 2)</f>
        <v>0</v>
      </c>
      <c r="G257" s="5">
        <f t="shared" si="14"/>
        <v>0</v>
      </c>
      <c r="H257" s="5">
        <f t="shared" si="15"/>
        <v>0</v>
      </c>
    </row>
    <row r="258" spans="1:8" x14ac:dyDescent="0.2">
      <c r="A258" s="2">
        <v>257</v>
      </c>
      <c r="B258" s="5">
        <f t="shared" si="12"/>
        <v>0</v>
      </c>
      <c r="C258" s="5">
        <f t="shared" si="13"/>
        <v>0</v>
      </c>
      <c r="D258" s="5"/>
      <c r="E258" s="5">
        <f>IF($B258 &lt;= 0, 0, -ROUND($B258 * (InterestRate / PaymentsPerYear), 2))</f>
        <v>0</v>
      </c>
      <c r="F258" s="5">
        <f>ROUND(IFERROR(IF($B258&lt;=0,0,
MAX(-$B258, -(-PMT(InterestRate/PaymentsPerYear,LoanTerm*PaymentsPerYear,LoanAmount) + $E258))), 0), 2)</f>
        <v>0</v>
      </c>
      <c r="G258" s="5">
        <f t="shared" si="14"/>
        <v>0</v>
      </c>
      <c r="H258" s="5">
        <f t="shared" si="15"/>
        <v>0</v>
      </c>
    </row>
    <row r="259" spans="1:8" x14ac:dyDescent="0.2">
      <c r="A259" s="2">
        <v>258</v>
      </c>
      <c r="B259" s="5">
        <f t="shared" si="12"/>
        <v>0</v>
      </c>
      <c r="C259" s="5">
        <f t="shared" si="13"/>
        <v>0</v>
      </c>
      <c r="D259" s="5"/>
      <c r="E259" s="5">
        <f>IF($B259 &lt;= 0, 0, -ROUND($B259 * (InterestRate / PaymentsPerYear), 2))</f>
        <v>0</v>
      </c>
      <c r="F259" s="5">
        <f>ROUND(IFERROR(IF($B259&lt;=0,0,
MAX(-$B259, -(-PMT(InterestRate/PaymentsPerYear,LoanTerm*PaymentsPerYear,LoanAmount) + $E259))), 0), 2)</f>
        <v>0</v>
      </c>
      <c r="G259" s="5">
        <f t="shared" si="14"/>
        <v>0</v>
      </c>
      <c r="H259" s="5">
        <f t="shared" si="15"/>
        <v>0</v>
      </c>
    </row>
    <row r="260" spans="1:8" x14ac:dyDescent="0.2">
      <c r="A260" s="2">
        <v>259</v>
      </c>
      <c r="B260" s="5">
        <f t="shared" ref="B260:B323" si="16">ROUND(IF($H259 &gt;= 0, MAX($H259, $F259), 0), 2)</f>
        <v>0</v>
      </c>
      <c r="C260" s="5">
        <f t="shared" ref="C260:C323" si="17">IF($B260 &lt;= 0, 0, $E260+$F260)</f>
        <v>0</v>
      </c>
      <c r="D260" s="5"/>
      <c r="E260" s="5">
        <f>IF($B260 &lt;= 0, 0, -ROUND($B260 * (InterestRate / PaymentsPerYear), 2))</f>
        <v>0</v>
      </c>
      <c r="F260" s="5">
        <f>ROUND(IFERROR(IF($B260&lt;=0,0,
MAX(-$B260, -(-PMT(InterestRate/PaymentsPerYear,LoanTerm*PaymentsPerYear,LoanAmount) + $E260))), 0), 2)</f>
        <v>0</v>
      </c>
      <c r="G260" s="5">
        <f t="shared" ref="G260:G323" si="18">$F260</f>
        <v>0</v>
      </c>
      <c r="H260" s="5">
        <f t="shared" ref="H260:H323" si="19">ROUND(IF($B260 &lt;= 0, 0,MAX(0, $B260 + $G260)), 2)</f>
        <v>0</v>
      </c>
    </row>
    <row r="261" spans="1:8" x14ac:dyDescent="0.2">
      <c r="A261" s="2">
        <v>260</v>
      </c>
      <c r="B261" s="5">
        <f t="shared" si="16"/>
        <v>0</v>
      </c>
      <c r="C261" s="5">
        <f t="shared" si="17"/>
        <v>0</v>
      </c>
      <c r="D261" s="5"/>
      <c r="E261" s="5">
        <f>IF($B261 &lt;= 0, 0, -ROUND($B261 * (InterestRate / PaymentsPerYear), 2))</f>
        <v>0</v>
      </c>
      <c r="F261" s="5">
        <f>ROUND(IFERROR(IF($B261&lt;=0,0,
MAX(-$B261, -(-PMT(InterestRate/PaymentsPerYear,LoanTerm*PaymentsPerYear,LoanAmount) + $E261))), 0), 2)</f>
        <v>0</v>
      </c>
      <c r="G261" s="5">
        <f t="shared" si="18"/>
        <v>0</v>
      </c>
      <c r="H261" s="5">
        <f t="shared" si="19"/>
        <v>0</v>
      </c>
    </row>
    <row r="262" spans="1:8" x14ac:dyDescent="0.2">
      <c r="A262" s="2">
        <v>261</v>
      </c>
      <c r="B262" s="5">
        <f t="shared" si="16"/>
        <v>0</v>
      </c>
      <c r="C262" s="5">
        <f t="shared" si="17"/>
        <v>0</v>
      </c>
      <c r="D262" s="5"/>
      <c r="E262" s="5">
        <f>IF($B262 &lt;= 0, 0, -ROUND($B262 * (InterestRate / PaymentsPerYear), 2))</f>
        <v>0</v>
      </c>
      <c r="F262" s="5">
        <f>ROUND(IFERROR(IF($B262&lt;=0,0,
MAX(-$B262, -(-PMT(InterestRate/PaymentsPerYear,LoanTerm*PaymentsPerYear,LoanAmount) + $E262))), 0), 2)</f>
        <v>0</v>
      </c>
      <c r="G262" s="5">
        <f t="shared" si="18"/>
        <v>0</v>
      </c>
      <c r="H262" s="5">
        <f t="shared" si="19"/>
        <v>0</v>
      </c>
    </row>
    <row r="263" spans="1:8" x14ac:dyDescent="0.2">
      <c r="A263" s="2">
        <v>262</v>
      </c>
      <c r="B263" s="5">
        <f t="shared" si="16"/>
        <v>0</v>
      </c>
      <c r="C263" s="5">
        <f t="shared" si="17"/>
        <v>0</v>
      </c>
      <c r="D263" s="5"/>
      <c r="E263" s="5">
        <f>IF($B263 &lt;= 0, 0, -ROUND($B263 * (InterestRate / PaymentsPerYear), 2))</f>
        <v>0</v>
      </c>
      <c r="F263" s="5">
        <f>ROUND(IFERROR(IF($B263&lt;=0,0,
MAX(-$B263, -(-PMT(InterestRate/PaymentsPerYear,LoanTerm*PaymentsPerYear,LoanAmount) + $E263))), 0), 2)</f>
        <v>0</v>
      </c>
      <c r="G263" s="5">
        <f t="shared" si="18"/>
        <v>0</v>
      </c>
      <c r="H263" s="5">
        <f t="shared" si="19"/>
        <v>0</v>
      </c>
    </row>
    <row r="264" spans="1:8" x14ac:dyDescent="0.2">
      <c r="A264" s="2">
        <v>263</v>
      </c>
      <c r="B264" s="5">
        <f t="shared" si="16"/>
        <v>0</v>
      </c>
      <c r="C264" s="5">
        <f t="shared" si="17"/>
        <v>0</v>
      </c>
      <c r="D264" s="5"/>
      <c r="E264" s="5">
        <f>IF($B264 &lt;= 0, 0, -ROUND($B264 * (InterestRate / PaymentsPerYear), 2))</f>
        <v>0</v>
      </c>
      <c r="F264" s="5">
        <f>ROUND(IFERROR(IF($B264&lt;=0,0,
MAX(-$B264, -(-PMT(InterestRate/PaymentsPerYear,LoanTerm*PaymentsPerYear,LoanAmount) + $E264))), 0), 2)</f>
        <v>0</v>
      </c>
      <c r="G264" s="5">
        <f t="shared" si="18"/>
        <v>0</v>
      </c>
      <c r="H264" s="5">
        <f t="shared" si="19"/>
        <v>0</v>
      </c>
    </row>
    <row r="265" spans="1:8" x14ac:dyDescent="0.2">
      <c r="A265" s="2">
        <v>264</v>
      </c>
      <c r="B265" s="5">
        <f t="shared" si="16"/>
        <v>0</v>
      </c>
      <c r="C265" s="5">
        <f t="shared" si="17"/>
        <v>0</v>
      </c>
      <c r="D265" s="5"/>
      <c r="E265" s="5">
        <f>IF($B265 &lt;= 0, 0, -ROUND($B265 * (InterestRate / PaymentsPerYear), 2))</f>
        <v>0</v>
      </c>
      <c r="F265" s="5">
        <f>ROUND(IFERROR(IF($B265&lt;=0,0,
MAX(-$B265, -(-PMT(InterestRate/PaymentsPerYear,LoanTerm*PaymentsPerYear,LoanAmount) + $E265))), 0), 2)</f>
        <v>0</v>
      </c>
      <c r="G265" s="5">
        <f t="shared" si="18"/>
        <v>0</v>
      </c>
      <c r="H265" s="5">
        <f t="shared" si="19"/>
        <v>0</v>
      </c>
    </row>
    <row r="266" spans="1:8" x14ac:dyDescent="0.2">
      <c r="A266" s="2">
        <v>265</v>
      </c>
      <c r="B266" s="5">
        <f t="shared" si="16"/>
        <v>0</v>
      </c>
      <c r="C266" s="5">
        <f t="shared" si="17"/>
        <v>0</v>
      </c>
      <c r="D266" s="5"/>
      <c r="E266" s="5">
        <f>IF($B266 &lt;= 0, 0, -ROUND($B266 * (InterestRate / PaymentsPerYear), 2))</f>
        <v>0</v>
      </c>
      <c r="F266" s="5">
        <f>ROUND(IFERROR(IF($B266&lt;=0,0,
MAX(-$B266, -(-PMT(InterestRate/PaymentsPerYear,LoanTerm*PaymentsPerYear,LoanAmount) + $E266))), 0), 2)</f>
        <v>0</v>
      </c>
      <c r="G266" s="5">
        <f t="shared" si="18"/>
        <v>0</v>
      </c>
      <c r="H266" s="5">
        <f t="shared" si="19"/>
        <v>0</v>
      </c>
    </row>
    <row r="267" spans="1:8" x14ac:dyDescent="0.2">
      <c r="A267" s="2">
        <v>266</v>
      </c>
      <c r="B267" s="5">
        <f t="shared" si="16"/>
        <v>0</v>
      </c>
      <c r="C267" s="5">
        <f t="shared" si="17"/>
        <v>0</v>
      </c>
      <c r="D267" s="5"/>
      <c r="E267" s="5">
        <f>IF($B267 &lt;= 0, 0, -ROUND($B267 * (InterestRate / PaymentsPerYear), 2))</f>
        <v>0</v>
      </c>
      <c r="F267" s="5">
        <f>ROUND(IFERROR(IF($B267&lt;=0,0,
MAX(-$B267, -(-PMT(InterestRate/PaymentsPerYear,LoanTerm*PaymentsPerYear,LoanAmount) + $E267))), 0), 2)</f>
        <v>0</v>
      </c>
      <c r="G267" s="5">
        <f t="shared" si="18"/>
        <v>0</v>
      </c>
      <c r="H267" s="5">
        <f t="shared" si="19"/>
        <v>0</v>
      </c>
    </row>
    <row r="268" spans="1:8" x14ac:dyDescent="0.2">
      <c r="A268" s="2">
        <v>267</v>
      </c>
      <c r="B268" s="5">
        <f t="shared" si="16"/>
        <v>0</v>
      </c>
      <c r="C268" s="5">
        <f t="shared" si="17"/>
        <v>0</v>
      </c>
      <c r="D268" s="5"/>
      <c r="E268" s="5">
        <f>IF($B268 &lt;= 0, 0, -ROUND($B268 * (InterestRate / PaymentsPerYear), 2))</f>
        <v>0</v>
      </c>
      <c r="F268" s="5">
        <f>ROUND(IFERROR(IF($B268&lt;=0,0,
MAX(-$B268, -(-PMT(InterestRate/PaymentsPerYear,LoanTerm*PaymentsPerYear,LoanAmount) + $E268))), 0), 2)</f>
        <v>0</v>
      </c>
      <c r="G268" s="5">
        <f t="shared" si="18"/>
        <v>0</v>
      </c>
      <c r="H268" s="5">
        <f t="shared" si="19"/>
        <v>0</v>
      </c>
    </row>
    <row r="269" spans="1:8" x14ac:dyDescent="0.2">
      <c r="A269" s="2">
        <v>268</v>
      </c>
      <c r="B269" s="5">
        <f t="shared" si="16"/>
        <v>0</v>
      </c>
      <c r="C269" s="5">
        <f t="shared" si="17"/>
        <v>0</v>
      </c>
      <c r="D269" s="5"/>
      <c r="E269" s="5">
        <f>IF($B269 &lt;= 0, 0, -ROUND($B269 * (InterestRate / PaymentsPerYear), 2))</f>
        <v>0</v>
      </c>
      <c r="F269" s="5">
        <f>ROUND(IFERROR(IF($B269&lt;=0,0,
MAX(-$B269, -(-PMT(InterestRate/PaymentsPerYear,LoanTerm*PaymentsPerYear,LoanAmount) + $E269))), 0), 2)</f>
        <v>0</v>
      </c>
      <c r="G269" s="5">
        <f t="shared" si="18"/>
        <v>0</v>
      </c>
      <c r="H269" s="5">
        <f t="shared" si="19"/>
        <v>0</v>
      </c>
    </row>
    <row r="270" spans="1:8" x14ac:dyDescent="0.2">
      <c r="A270" s="2">
        <v>269</v>
      </c>
      <c r="B270" s="5">
        <f t="shared" si="16"/>
        <v>0</v>
      </c>
      <c r="C270" s="5">
        <f t="shared" si="17"/>
        <v>0</v>
      </c>
      <c r="D270" s="5"/>
      <c r="E270" s="5">
        <f>IF($B270 &lt;= 0, 0, -ROUND($B270 * (InterestRate / PaymentsPerYear), 2))</f>
        <v>0</v>
      </c>
      <c r="F270" s="5">
        <f>ROUND(IFERROR(IF($B270&lt;=0,0,
MAX(-$B270, -(-PMT(InterestRate/PaymentsPerYear,LoanTerm*PaymentsPerYear,LoanAmount) + $E270))), 0), 2)</f>
        <v>0</v>
      </c>
      <c r="G270" s="5">
        <f t="shared" si="18"/>
        <v>0</v>
      </c>
      <c r="H270" s="5">
        <f t="shared" si="19"/>
        <v>0</v>
      </c>
    </row>
    <row r="271" spans="1:8" x14ac:dyDescent="0.2">
      <c r="A271" s="2">
        <v>270</v>
      </c>
      <c r="B271" s="5">
        <f t="shared" si="16"/>
        <v>0</v>
      </c>
      <c r="C271" s="5">
        <f t="shared" si="17"/>
        <v>0</v>
      </c>
      <c r="D271" s="5"/>
      <c r="E271" s="5">
        <f>IF($B271 &lt;= 0, 0, -ROUND($B271 * (InterestRate / PaymentsPerYear), 2))</f>
        <v>0</v>
      </c>
      <c r="F271" s="5">
        <f>ROUND(IFERROR(IF($B271&lt;=0,0,
MAX(-$B271, -(-PMT(InterestRate/PaymentsPerYear,LoanTerm*PaymentsPerYear,LoanAmount) + $E271))), 0), 2)</f>
        <v>0</v>
      </c>
      <c r="G271" s="5">
        <f t="shared" si="18"/>
        <v>0</v>
      </c>
      <c r="H271" s="5">
        <f t="shared" si="19"/>
        <v>0</v>
      </c>
    </row>
    <row r="272" spans="1:8" x14ac:dyDescent="0.2">
      <c r="A272" s="2">
        <v>271</v>
      </c>
      <c r="B272" s="5">
        <f t="shared" si="16"/>
        <v>0</v>
      </c>
      <c r="C272" s="5">
        <f t="shared" si="17"/>
        <v>0</v>
      </c>
      <c r="D272" s="5"/>
      <c r="E272" s="5">
        <f>IF($B272 &lt;= 0, 0, -ROUND($B272 * (InterestRate / PaymentsPerYear), 2))</f>
        <v>0</v>
      </c>
      <c r="F272" s="5">
        <f>ROUND(IFERROR(IF($B272&lt;=0,0,
MAX(-$B272, -(-PMT(InterestRate/PaymentsPerYear,LoanTerm*PaymentsPerYear,LoanAmount) + $E272))), 0), 2)</f>
        <v>0</v>
      </c>
      <c r="G272" s="5">
        <f t="shared" si="18"/>
        <v>0</v>
      </c>
      <c r="H272" s="5">
        <f t="shared" si="19"/>
        <v>0</v>
      </c>
    </row>
    <row r="273" spans="1:8" x14ac:dyDescent="0.2">
      <c r="A273" s="2">
        <v>272</v>
      </c>
      <c r="B273" s="5">
        <f t="shared" si="16"/>
        <v>0</v>
      </c>
      <c r="C273" s="5">
        <f t="shared" si="17"/>
        <v>0</v>
      </c>
      <c r="D273" s="5"/>
      <c r="E273" s="5">
        <f>IF($B273 &lt;= 0, 0, -ROUND($B273 * (InterestRate / PaymentsPerYear), 2))</f>
        <v>0</v>
      </c>
      <c r="F273" s="5">
        <f>ROUND(IFERROR(IF($B273&lt;=0,0,
MAX(-$B273, -(-PMT(InterestRate/PaymentsPerYear,LoanTerm*PaymentsPerYear,LoanAmount) + $E273))), 0), 2)</f>
        <v>0</v>
      </c>
      <c r="G273" s="5">
        <f t="shared" si="18"/>
        <v>0</v>
      </c>
      <c r="H273" s="5">
        <f t="shared" si="19"/>
        <v>0</v>
      </c>
    </row>
    <row r="274" spans="1:8" x14ac:dyDescent="0.2">
      <c r="A274" s="2">
        <v>273</v>
      </c>
      <c r="B274" s="5">
        <f t="shared" si="16"/>
        <v>0</v>
      </c>
      <c r="C274" s="5">
        <f t="shared" si="17"/>
        <v>0</v>
      </c>
      <c r="D274" s="5"/>
      <c r="E274" s="5">
        <f>IF($B274 &lt;= 0, 0, -ROUND($B274 * (InterestRate / PaymentsPerYear), 2))</f>
        <v>0</v>
      </c>
      <c r="F274" s="5">
        <f>ROUND(IFERROR(IF($B274&lt;=0,0,
MAX(-$B274, -(-PMT(InterestRate/PaymentsPerYear,LoanTerm*PaymentsPerYear,LoanAmount) + $E274))), 0), 2)</f>
        <v>0</v>
      </c>
      <c r="G274" s="5">
        <f t="shared" si="18"/>
        <v>0</v>
      </c>
      <c r="H274" s="5">
        <f t="shared" si="19"/>
        <v>0</v>
      </c>
    </row>
    <row r="275" spans="1:8" x14ac:dyDescent="0.2">
      <c r="A275" s="2">
        <v>274</v>
      </c>
      <c r="B275" s="5">
        <f t="shared" si="16"/>
        <v>0</v>
      </c>
      <c r="C275" s="5">
        <f t="shared" si="17"/>
        <v>0</v>
      </c>
      <c r="D275" s="5"/>
      <c r="E275" s="5">
        <f>IF($B275 &lt;= 0, 0, -ROUND($B275 * (InterestRate / PaymentsPerYear), 2))</f>
        <v>0</v>
      </c>
      <c r="F275" s="5">
        <f>ROUND(IFERROR(IF($B275&lt;=0,0,
MAX(-$B275, -(-PMT(InterestRate/PaymentsPerYear,LoanTerm*PaymentsPerYear,LoanAmount) + $E275))), 0), 2)</f>
        <v>0</v>
      </c>
      <c r="G275" s="5">
        <f t="shared" si="18"/>
        <v>0</v>
      </c>
      <c r="H275" s="5">
        <f t="shared" si="19"/>
        <v>0</v>
      </c>
    </row>
    <row r="276" spans="1:8" x14ac:dyDescent="0.2">
      <c r="A276" s="2">
        <v>275</v>
      </c>
      <c r="B276" s="5">
        <f t="shared" si="16"/>
        <v>0</v>
      </c>
      <c r="C276" s="5">
        <f t="shared" si="17"/>
        <v>0</v>
      </c>
      <c r="D276" s="5"/>
      <c r="E276" s="5">
        <f>IF($B276 &lt;= 0, 0, -ROUND($B276 * (InterestRate / PaymentsPerYear), 2))</f>
        <v>0</v>
      </c>
      <c r="F276" s="5">
        <f>ROUND(IFERROR(IF($B276&lt;=0,0,
MAX(-$B276, -(-PMT(InterestRate/PaymentsPerYear,LoanTerm*PaymentsPerYear,LoanAmount) + $E276))), 0), 2)</f>
        <v>0</v>
      </c>
      <c r="G276" s="5">
        <f t="shared" si="18"/>
        <v>0</v>
      </c>
      <c r="H276" s="5">
        <f t="shared" si="19"/>
        <v>0</v>
      </c>
    </row>
    <row r="277" spans="1:8" x14ac:dyDescent="0.2">
      <c r="A277" s="2">
        <v>276</v>
      </c>
      <c r="B277" s="5">
        <f t="shared" si="16"/>
        <v>0</v>
      </c>
      <c r="C277" s="5">
        <f t="shared" si="17"/>
        <v>0</v>
      </c>
      <c r="D277" s="5"/>
      <c r="E277" s="5">
        <f>IF($B277 &lt;= 0, 0, -ROUND($B277 * (InterestRate / PaymentsPerYear), 2))</f>
        <v>0</v>
      </c>
      <c r="F277" s="5">
        <f>ROUND(IFERROR(IF($B277&lt;=0,0,
MAX(-$B277, -(-PMT(InterestRate/PaymentsPerYear,LoanTerm*PaymentsPerYear,LoanAmount) + $E277))), 0), 2)</f>
        <v>0</v>
      </c>
      <c r="G277" s="5">
        <f t="shared" si="18"/>
        <v>0</v>
      </c>
      <c r="H277" s="5">
        <f t="shared" si="19"/>
        <v>0</v>
      </c>
    </row>
    <row r="278" spans="1:8" x14ac:dyDescent="0.2">
      <c r="A278" s="2">
        <v>277</v>
      </c>
      <c r="B278" s="5">
        <f t="shared" si="16"/>
        <v>0</v>
      </c>
      <c r="C278" s="5">
        <f t="shared" si="17"/>
        <v>0</v>
      </c>
      <c r="D278" s="5"/>
      <c r="E278" s="5">
        <f>IF($B278 &lt;= 0, 0, -ROUND($B278 * (InterestRate / PaymentsPerYear), 2))</f>
        <v>0</v>
      </c>
      <c r="F278" s="5">
        <f>ROUND(IFERROR(IF($B278&lt;=0,0,
MAX(-$B278, -(-PMT(InterestRate/PaymentsPerYear,LoanTerm*PaymentsPerYear,LoanAmount) + $E278))), 0), 2)</f>
        <v>0</v>
      </c>
      <c r="G278" s="5">
        <f t="shared" si="18"/>
        <v>0</v>
      </c>
      <c r="H278" s="5">
        <f t="shared" si="19"/>
        <v>0</v>
      </c>
    </row>
    <row r="279" spans="1:8" x14ac:dyDescent="0.2">
      <c r="A279" s="2">
        <v>278</v>
      </c>
      <c r="B279" s="5">
        <f t="shared" si="16"/>
        <v>0</v>
      </c>
      <c r="C279" s="5">
        <f t="shared" si="17"/>
        <v>0</v>
      </c>
      <c r="D279" s="5"/>
      <c r="E279" s="5">
        <f>IF($B279 &lt;= 0, 0, -ROUND($B279 * (InterestRate / PaymentsPerYear), 2))</f>
        <v>0</v>
      </c>
      <c r="F279" s="5">
        <f>ROUND(IFERROR(IF($B279&lt;=0,0,
MAX(-$B279, -(-PMT(InterestRate/PaymentsPerYear,LoanTerm*PaymentsPerYear,LoanAmount) + $E279))), 0), 2)</f>
        <v>0</v>
      </c>
      <c r="G279" s="5">
        <f t="shared" si="18"/>
        <v>0</v>
      </c>
      <c r="H279" s="5">
        <f t="shared" si="19"/>
        <v>0</v>
      </c>
    </row>
    <row r="280" spans="1:8" x14ac:dyDescent="0.2">
      <c r="A280" s="2">
        <v>279</v>
      </c>
      <c r="B280" s="5">
        <f t="shared" si="16"/>
        <v>0</v>
      </c>
      <c r="C280" s="5">
        <f t="shared" si="17"/>
        <v>0</v>
      </c>
      <c r="D280" s="5"/>
      <c r="E280" s="5">
        <f>IF($B280 &lt;= 0, 0, -ROUND($B280 * (InterestRate / PaymentsPerYear), 2))</f>
        <v>0</v>
      </c>
      <c r="F280" s="5">
        <f>ROUND(IFERROR(IF($B280&lt;=0,0,
MAX(-$B280, -(-PMT(InterestRate/PaymentsPerYear,LoanTerm*PaymentsPerYear,LoanAmount) + $E280))), 0), 2)</f>
        <v>0</v>
      </c>
      <c r="G280" s="5">
        <f t="shared" si="18"/>
        <v>0</v>
      </c>
      <c r="H280" s="5">
        <f t="shared" si="19"/>
        <v>0</v>
      </c>
    </row>
    <row r="281" spans="1:8" x14ac:dyDescent="0.2">
      <c r="A281" s="2">
        <v>280</v>
      </c>
      <c r="B281" s="5">
        <f t="shared" si="16"/>
        <v>0</v>
      </c>
      <c r="C281" s="5">
        <f t="shared" si="17"/>
        <v>0</v>
      </c>
      <c r="D281" s="5"/>
      <c r="E281" s="5">
        <f>IF($B281 &lt;= 0, 0, -ROUND($B281 * (InterestRate / PaymentsPerYear), 2))</f>
        <v>0</v>
      </c>
      <c r="F281" s="5">
        <f>ROUND(IFERROR(IF($B281&lt;=0,0,
MAX(-$B281, -(-PMT(InterestRate/PaymentsPerYear,LoanTerm*PaymentsPerYear,LoanAmount) + $E281))), 0), 2)</f>
        <v>0</v>
      </c>
      <c r="G281" s="5">
        <f t="shared" si="18"/>
        <v>0</v>
      </c>
      <c r="H281" s="5">
        <f t="shared" si="19"/>
        <v>0</v>
      </c>
    </row>
    <row r="282" spans="1:8" x14ac:dyDescent="0.2">
      <c r="A282" s="2">
        <v>281</v>
      </c>
      <c r="B282" s="5">
        <f t="shared" si="16"/>
        <v>0</v>
      </c>
      <c r="C282" s="5">
        <f t="shared" si="17"/>
        <v>0</v>
      </c>
      <c r="D282" s="5"/>
      <c r="E282" s="5">
        <f>IF($B282 &lt;= 0, 0, -ROUND($B282 * (InterestRate / PaymentsPerYear), 2))</f>
        <v>0</v>
      </c>
      <c r="F282" s="5">
        <f>ROUND(IFERROR(IF($B282&lt;=0,0,
MAX(-$B282, -(-PMT(InterestRate/PaymentsPerYear,LoanTerm*PaymentsPerYear,LoanAmount) + $E282))), 0), 2)</f>
        <v>0</v>
      </c>
      <c r="G282" s="5">
        <f t="shared" si="18"/>
        <v>0</v>
      </c>
      <c r="H282" s="5">
        <f t="shared" si="19"/>
        <v>0</v>
      </c>
    </row>
    <row r="283" spans="1:8" x14ac:dyDescent="0.2">
      <c r="A283" s="2">
        <v>282</v>
      </c>
      <c r="B283" s="5">
        <f t="shared" si="16"/>
        <v>0</v>
      </c>
      <c r="C283" s="5">
        <f t="shared" si="17"/>
        <v>0</v>
      </c>
      <c r="D283" s="5"/>
      <c r="E283" s="5">
        <f>IF($B283 &lt;= 0, 0, -ROUND($B283 * (InterestRate / PaymentsPerYear), 2))</f>
        <v>0</v>
      </c>
      <c r="F283" s="5">
        <f>ROUND(IFERROR(IF($B283&lt;=0,0,
MAX(-$B283, -(-PMT(InterestRate/PaymentsPerYear,LoanTerm*PaymentsPerYear,LoanAmount) + $E283))), 0), 2)</f>
        <v>0</v>
      </c>
      <c r="G283" s="5">
        <f t="shared" si="18"/>
        <v>0</v>
      </c>
      <c r="H283" s="5">
        <f t="shared" si="19"/>
        <v>0</v>
      </c>
    </row>
    <row r="284" spans="1:8" x14ac:dyDescent="0.2">
      <c r="A284" s="2">
        <v>283</v>
      </c>
      <c r="B284" s="5">
        <f t="shared" si="16"/>
        <v>0</v>
      </c>
      <c r="C284" s="5">
        <f t="shared" si="17"/>
        <v>0</v>
      </c>
      <c r="D284" s="5"/>
      <c r="E284" s="5">
        <f>IF($B284 &lt;= 0, 0, -ROUND($B284 * (InterestRate / PaymentsPerYear), 2))</f>
        <v>0</v>
      </c>
      <c r="F284" s="5">
        <f>ROUND(IFERROR(IF($B284&lt;=0,0,
MAX(-$B284, -(-PMT(InterestRate/PaymentsPerYear,LoanTerm*PaymentsPerYear,LoanAmount) + $E284))), 0), 2)</f>
        <v>0</v>
      </c>
      <c r="G284" s="5">
        <f t="shared" si="18"/>
        <v>0</v>
      </c>
      <c r="H284" s="5">
        <f t="shared" si="19"/>
        <v>0</v>
      </c>
    </row>
    <row r="285" spans="1:8" x14ac:dyDescent="0.2">
      <c r="A285" s="2">
        <v>284</v>
      </c>
      <c r="B285" s="5">
        <f t="shared" si="16"/>
        <v>0</v>
      </c>
      <c r="C285" s="5">
        <f t="shared" si="17"/>
        <v>0</v>
      </c>
      <c r="D285" s="5"/>
      <c r="E285" s="5">
        <f>IF($B285 &lt;= 0, 0, -ROUND($B285 * (InterestRate / PaymentsPerYear), 2))</f>
        <v>0</v>
      </c>
      <c r="F285" s="5">
        <f>ROUND(IFERROR(IF($B285&lt;=0,0,
MAX(-$B285, -(-PMT(InterestRate/PaymentsPerYear,LoanTerm*PaymentsPerYear,LoanAmount) + $E285))), 0), 2)</f>
        <v>0</v>
      </c>
      <c r="G285" s="5">
        <f t="shared" si="18"/>
        <v>0</v>
      </c>
      <c r="H285" s="5">
        <f t="shared" si="19"/>
        <v>0</v>
      </c>
    </row>
    <row r="286" spans="1:8" x14ac:dyDescent="0.2">
      <c r="A286" s="2">
        <v>285</v>
      </c>
      <c r="B286" s="5">
        <f t="shared" si="16"/>
        <v>0</v>
      </c>
      <c r="C286" s="5">
        <f t="shared" si="17"/>
        <v>0</v>
      </c>
      <c r="D286" s="5"/>
      <c r="E286" s="5">
        <f>IF($B286 &lt;= 0, 0, -ROUND($B286 * (InterestRate / PaymentsPerYear), 2))</f>
        <v>0</v>
      </c>
      <c r="F286" s="5">
        <f>ROUND(IFERROR(IF($B286&lt;=0,0,
MAX(-$B286, -(-PMT(InterestRate/PaymentsPerYear,LoanTerm*PaymentsPerYear,LoanAmount) + $E286))), 0), 2)</f>
        <v>0</v>
      </c>
      <c r="G286" s="5">
        <f t="shared" si="18"/>
        <v>0</v>
      </c>
      <c r="H286" s="5">
        <f t="shared" si="19"/>
        <v>0</v>
      </c>
    </row>
    <row r="287" spans="1:8" x14ac:dyDescent="0.2">
      <c r="A287" s="2">
        <v>286</v>
      </c>
      <c r="B287" s="5">
        <f t="shared" si="16"/>
        <v>0</v>
      </c>
      <c r="C287" s="5">
        <f t="shared" si="17"/>
        <v>0</v>
      </c>
      <c r="D287" s="5"/>
      <c r="E287" s="5">
        <f>IF($B287 &lt;= 0, 0, -ROUND($B287 * (InterestRate / PaymentsPerYear), 2))</f>
        <v>0</v>
      </c>
      <c r="F287" s="5">
        <f>ROUND(IFERROR(IF($B287&lt;=0,0,
MAX(-$B287, -(-PMT(InterestRate/PaymentsPerYear,LoanTerm*PaymentsPerYear,LoanAmount) + $E287))), 0), 2)</f>
        <v>0</v>
      </c>
      <c r="G287" s="5">
        <f t="shared" si="18"/>
        <v>0</v>
      </c>
      <c r="H287" s="5">
        <f t="shared" si="19"/>
        <v>0</v>
      </c>
    </row>
    <row r="288" spans="1:8" x14ac:dyDescent="0.2">
      <c r="A288" s="2">
        <v>287</v>
      </c>
      <c r="B288" s="5">
        <f t="shared" si="16"/>
        <v>0</v>
      </c>
      <c r="C288" s="5">
        <f t="shared" si="17"/>
        <v>0</v>
      </c>
      <c r="D288" s="5"/>
      <c r="E288" s="5">
        <f>IF($B288 &lt;= 0, 0, -ROUND($B288 * (InterestRate / PaymentsPerYear), 2))</f>
        <v>0</v>
      </c>
      <c r="F288" s="5">
        <f>ROUND(IFERROR(IF($B288&lt;=0,0,
MAX(-$B288, -(-PMT(InterestRate/PaymentsPerYear,LoanTerm*PaymentsPerYear,LoanAmount) + $E288))), 0), 2)</f>
        <v>0</v>
      </c>
      <c r="G288" s="5">
        <f t="shared" si="18"/>
        <v>0</v>
      </c>
      <c r="H288" s="5">
        <f t="shared" si="19"/>
        <v>0</v>
      </c>
    </row>
    <row r="289" spans="1:8" x14ac:dyDescent="0.2">
      <c r="A289" s="2">
        <v>288</v>
      </c>
      <c r="B289" s="5">
        <f t="shared" si="16"/>
        <v>0</v>
      </c>
      <c r="C289" s="5">
        <f t="shared" si="17"/>
        <v>0</v>
      </c>
      <c r="D289" s="5"/>
      <c r="E289" s="5">
        <f>IF($B289 &lt;= 0, 0, -ROUND($B289 * (InterestRate / PaymentsPerYear), 2))</f>
        <v>0</v>
      </c>
      <c r="F289" s="5">
        <f>ROUND(IFERROR(IF($B289&lt;=0,0,
MAX(-$B289, -(-PMT(InterestRate/PaymentsPerYear,LoanTerm*PaymentsPerYear,LoanAmount) + $E289))), 0), 2)</f>
        <v>0</v>
      </c>
      <c r="G289" s="5">
        <f t="shared" si="18"/>
        <v>0</v>
      </c>
      <c r="H289" s="5">
        <f t="shared" si="19"/>
        <v>0</v>
      </c>
    </row>
    <row r="290" spans="1:8" x14ac:dyDescent="0.2">
      <c r="A290" s="2">
        <v>289</v>
      </c>
      <c r="B290" s="5">
        <f t="shared" si="16"/>
        <v>0</v>
      </c>
      <c r="C290" s="5">
        <f t="shared" si="17"/>
        <v>0</v>
      </c>
      <c r="D290" s="5"/>
      <c r="E290" s="5">
        <f>IF($B290 &lt;= 0, 0, -ROUND($B290 * (InterestRate / PaymentsPerYear), 2))</f>
        <v>0</v>
      </c>
      <c r="F290" s="5">
        <f>ROUND(IFERROR(IF($B290&lt;=0,0,
MAX(-$B290, -(-PMT(InterestRate/PaymentsPerYear,LoanTerm*PaymentsPerYear,LoanAmount) + $E290))), 0), 2)</f>
        <v>0</v>
      </c>
      <c r="G290" s="5">
        <f t="shared" si="18"/>
        <v>0</v>
      </c>
      <c r="H290" s="5">
        <f t="shared" si="19"/>
        <v>0</v>
      </c>
    </row>
    <row r="291" spans="1:8" x14ac:dyDescent="0.2">
      <c r="A291" s="2">
        <v>290</v>
      </c>
      <c r="B291" s="5">
        <f t="shared" si="16"/>
        <v>0</v>
      </c>
      <c r="C291" s="5">
        <f t="shared" si="17"/>
        <v>0</v>
      </c>
      <c r="D291" s="5"/>
      <c r="E291" s="5">
        <f>IF($B291 &lt;= 0, 0, -ROUND($B291 * (InterestRate / PaymentsPerYear), 2))</f>
        <v>0</v>
      </c>
      <c r="F291" s="5">
        <f>ROUND(IFERROR(IF($B291&lt;=0,0,
MAX(-$B291, -(-PMT(InterestRate/PaymentsPerYear,LoanTerm*PaymentsPerYear,LoanAmount) + $E291))), 0), 2)</f>
        <v>0</v>
      </c>
      <c r="G291" s="5">
        <f t="shared" si="18"/>
        <v>0</v>
      </c>
      <c r="H291" s="5">
        <f t="shared" si="19"/>
        <v>0</v>
      </c>
    </row>
    <row r="292" spans="1:8" x14ac:dyDescent="0.2">
      <c r="A292" s="2">
        <v>291</v>
      </c>
      <c r="B292" s="5">
        <f t="shared" si="16"/>
        <v>0</v>
      </c>
      <c r="C292" s="5">
        <f t="shared" si="17"/>
        <v>0</v>
      </c>
      <c r="D292" s="5"/>
      <c r="E292" s="5">
        <f>IF($B292 &lt;= 0, 0, -ROUND($B292 * (InterestRate / PaymentsPerYear), 2))</f>
        <v>0</v>
      </c>
      <c r="F292" s="5">
        <f>ROUND(IFERROR(IF($B292&lt;=0,0,
MAX(-$B292, -(-PMT(InterestRate/PaymentsPerYear,LoanTerm*PaymentsPerYear,LoanAmount) + $E292))), 0), 2)</f>
        <v>0</v>
      </c>
      <c r="G292" s="5">
        <f t="shared" si="18"/>
        <v>0</v>
      </c>
      <c r="H292" s="5">
        <f t="shared" si="19"/>
        <v>0</v>
      </c>
    </row>
    <row r="293" spans="1:8" x14ac:dyDescent="0.2">
      <c r="A293" s="2">
        <v>292</v>
      </c>
      <c r="B293" s="5">
        <f t="shared" si="16"/>
        <v>0</v>
      </c>
      <c r="C293" s="5">
        <f t="shared" si="17"/>
        <v>0</v>
      </c>
      <c r="D293" s="5"/>
      <c r="E293" s="5">
        <f>IF($B293 &lt;= 0, 0, -ROUND($B293 * (InterestRate / PaymentsPerYear), 2))</f>
        <v>0</v>
      </c>
      <c r="F293" s="5">
        <f>ROUND(IFERROR(IF($B293&lt;=0,0,
MAX(-$B293, -(-PMT(InterestRate/PaymentsPerYear,LoanTerm*PaymentsPerYear,LoanAmount) + $E293))), 0), 2)</f>
        <v>0</v>
      </c>
      <c r="G293" s="5">
        <f t="shared" si="18"/>
        <v>0</v>
      </c>
      <c r="H293" s="5">
        <f t="shared" si="19"/>
        <v>0</v>
      </c>
    </row>
    <row r="294" spans="1:8" x14ac:dyDescent="0.2">
      <c r="A294" s="2">
        <v>293</v>
      </c>
      <c r="B294" s="5">
        <f t="shared" si="16"/>
        <v>0</v>
      </c>
      <c r="C294" s="5">
        <f t="shared" si="17"/>
        <v>0</v>
      </c>
      <c r="D294" s="5"/>
      <c r="E294" s="5">
        <f>IF($B294 &lt;= 0, 0, -ROUND($B294 * (InterestRate / PaymentsPerYear), 2))</f>
        <v>0</v>
      </c>
      <c r="F294" s="5">
        <f>ROUND(IFERROR(IF($B294&lt;=0,0,
MAX(-$B294, -(-PMT(InterestRate/PaymentsPerYear,LoanTerm*PaymentsPerYear,LoanAmount) + $E294))), 0), 2)</f>
        <v>0</v>
      </c>
      <c r="G294" s="5">
        <f t="shared" si="18"/>
        <v>0</v>
      </c>
      <c r="H294" s="5">
        <f t="shared" si="19"/>
        <v>0</v>
      </c>
    </row>
    <row r="295" spans="1:8" x14ac:dyDescent="0.2">
      <c r="A295" s="2">
        <v>294</v>
      </c>
      <c r="B295" s="5">
        <f t="shared" si="16"/>
        <v>0</v>
      </c>
      <c r="C295" s="5">
        <f t="shared" si="17"/>
        <v>0</v>
      </c>
      <c r="D295" s="5"/>
      <c r="E295" s="5">
        <f>IF($B295 &lt;= 0, 0, -ROUND($B295 * (InterestRate / PaymentsPerYear), 2))</f>
        <v>0</v>
      </c>
      <c r="F295" s="5">
        <f>ROUND(IFERROR(IF($B295&lt;=0,0,
MAX(-$B295, -(-PMT(InterestRate/PaymentsPerYear,LoanTerm*PaymentsPerYear,LoanAmount) + $E295))), 0), 2)</f>
        <v>0</v>
      </c>
      <c r="G295" s="5">
        <f t="shared" si="18"/>
        <v>0</v>
      </c>
      <c r="H295" s="5">
        <f t="shared" si="19"/>
        <v>0</v>
      </c>
    </row>
    <row r="296" spans="1:8" x14ac:dyDescent="0.2">
      <c r="A296" s="2">
        <v>295</v>
      </c>
      <c r="B296" s="5">
        <f t="shared" si="16"/>
        <v>0</v>
      </c>
      <c r="C296" s="5">
        <f t="shared" si="17"/>
        <v>0</v>
      </c>
      <c r="D296" s="5"/>
      <c r="E296" s="5">
        <f>IF($B296 &lt;= 0, 0, -ROUND($B296 * (InterestRate / PaymentsPerYear), 2))</f>
        <v>0</v>
      </c>
      <c r="F296" s="5">
        <f>ROUND(IFERROR(IF($B296&lt;=0,0,
MAX(-$B296, -(-PMT(InterestRate/PaymentsPerYear,LoanTerm*PaymentsPerYear,LoanAmount) + $E296))), 0), 2)</f>
        <v>0</v>
      </c>
      <c r="G296" s="5">
        <f t="shared" si="18"/>
        <v>0</v>
      </c>
      <c r="H296" s="5">
        <f t="shared" si="19"/>
        <v>0</v>
      </c>
    </row>
    <row r="297" spans="1:8" x14ac:dyDescent="0.2">
      <c r="A297" s="2">
        <v>296</v>
      </c>
      <c r="B297" s="5">
        <f t="shared" si="16"/>
        <v>0</v>
      </c>
      <c r="C297" s="5">
        <f t="shared" si="17"/>
        <v>0</v>
      </c>
      <c r="D297" s="5"/>
      <c r="E297" s="5">
        <f>IF($B297 &lt;= 0, 0, -ROUND($B297 * (InterestRate / PaymentsPerYear), 2))</f>
        <v>0</v>
      </c>
      <c r="F297" s="5">
        <f>ROUND(IFERROR(IF($B297&lt;=0,0,
MAX(-$B297, -(-PMT(InterestRate/PaymentsPerYear,LoanTerm*PaymentsPerYear,LoanAmount) + $E297))), 0), 2)</f>
        <v>0</v>
      </c>
      <c r="G297" s="5">
        <f t="shared" si="18"/>
        <v>0</v>
      </c>
      <c r="H297" s="5">
        <f t="shared" si="19"/>
        <v>0</v>
      </c>
    </row>
    <row r="298" spans="1:8" x14ac:dyDescent="0.2">
      <c r="A298" s="2">
        <v>297</v>
      </c>
      <c r="B298" s="5">
        <f t="shared" si="16"/>
        <v>0</v>
      </c>
      <c r="C298" s="5">
        <f t="shared" si="17"/>
        <v>0</v>
      </c>
      <c r="D298" s="5"/>
      <c r="E298" s="5">
        <f>IF($B298 &lt;= 0, 0, -ROUND($B298 * (InterestRate / PaymentsPerYear), 2))</f>
        <v>0</v>
      </c>
      <c r="F298" s="5">
        <f>ROUND(IFERROR(IF($B298&lt;=0,0,
MAX(-$B298, -(-PMT(InterestRate/PaymentsPerYear,LoanTerm*PaymentsPerYear,LoanAmount) + $E298))), 0), 2)</f>
        <v>0</v>
      </c>
      <c r="G298" s="5">
        <f t="shared" si="18"/>
        <v>0</v>
      </c>
      <c r="H298" s="5">
        <f t="shared" si="19"/>
        <v>0</v>
      </c>
    </row>
    <row r="299" spans="1:8" x14ac:dyDescent="0.2">
      <c r="A299" s="2">
        <v>298</v>
      </c>
      <c r="B299" s="5">
        <f t="shared" si="16"/>
        <v>0</v>
      </c>
      <c r="C299" s="5">
        <f t="shared" si="17"/>
        <v>0</v>
      </c>
      <c r="D299" s="5"/>
      <c r="E299" s="5">
        <f>IF($B299 &lt;= 0, 0, -ROUND($B299 * (InterestRate / PaymentsPerYear), 2))</f>
        <v>0</v>
      </c>
      <c r="F299" s="5">
        <f>ROUND(IFERROR(IF($B299&lt;=0,0,
MAX(-$B299, -(-PMT(InterestRate/PaymentsPerYear,LoanTerm*PaymentsPerYear,LoanAmount) + $E299))), 0), 2)</f>
        <v>0</v>
      </c>
      <c r="G299" s="5">
        <f t="shared" si="18"/>
        <v>0</v>
      </c>
      <c r="H299" s="5">
        <f t="shared" si="19"/>
        <v>0</v>
      </c>
    </row>
    <row r="300" spans="1:8" x14ac:dyDescent="0.2">
      <c r="A300" s="2">
        <v>299</v>
      </c>
      <c r="B300" s="5">
        <f t="shared" si="16"/>
        <v>0</v>
      </c>
      <c r="C300" s="5">
        <f t="shared" si="17"/>
        <v>0</v>
      </c>
      <c r="D300" s="5"/>
      <c r="E300" s="5">
        <f>IF($B300 &lt;= 0, 0, -ROUND($B300 * (InterestRate / PaymentsPerYear), 2))</f>
        <v>0</v>
      </c>
      <c r="F300" s="5">
        <f>ROUND(IFERROR(IF($B300&lt;=0,0,
MAX(-$B300, -(-PMT(InterestRate/PaymentsPerYear,LoanTerm*PaymentsPerYear,LoanAmount) + $E300))), 0), 2)</f>
        <v>0</v>
      </c>
      <c r="G300" s="5">
        <f t="shared" si="18"/>
        <v>0</v>
      </c>
      <c r="H300" s="5">
        <f t="shared" si="19"/>
        <v>0</v>
      </c>
    </row>
    <row r="301" spans="1:8" x14ac:dyDescent="0.2">
      <c r="A301" s="2">
        <v>300</v>
      </c>
      <c r="B301" s="5">
        <f t="shared" si="16"/>
        <v>0</v>
      </c>
      <c r="C301" s="5">
        <f t="shared" si="17"/>
        <v>0</v>
      </c>
      <c r="D301" s="5"/>
      <c r="E301" s="5">
        <f>IF($B301 &lt;= 0, 0, -ROUND($B301 * (InterestRate / PaymentsPerYear), 2))</f>
        <v>0</v>
      </c>
      <c r="F301" s="5">
        <f>ROUND(IFERROR(IF($B301&lt;=0,0,
MAX(-$B301, -(-PMT(InterestRate/PaymentsPerYear,LoanTerm*PaymentsPerYear,LoanAmount) + $E301))), 0), 2)</f>
        <v>0</v>
      </c>
      <c r="G301" s="5">
        <f t="shared" si="18"/>
        <v>0</v>
      </c>
      <c r="H301" s="5">
        <f t="shared" si="19"/>
        <v>0</v>
      </c>
    </row>
    <row r="302" spans="1:8" x14ac:dyDescent="0.2">
      <c r="A302" s="2">
        <v>301</v>
      </c>
      <c r="B302" s="5">
        <f t="shared" si="16"/>
        <v>0</v>
      </c>
      <c r="C302" s="5">
        <f t="shared" si="17"/>
        <v>0</v>
      </c>
      <c r="D302" s="5"/>
      <c r="E302" s="5">
        <f>IF($B302 &lt;= 0, 0, -ROUND($B302 * (InterestRate / PaymentsPerYear), 2))</f>
        <v>0</v>
      </c>
      <c r="F302" s="5">
        <f>ROUND(IFERROR(IF($B302&lt;=0,0,
MAX(-$B302, -(-PMT(InterestRate/PaymentsPerYear,LoanTerm*PaymentsPerYear,LoanAmount) + $E302))), 0), 2)</f>
        <v>0</v>
      </c>
      <c r="G302" s="5">
        <f t="shared" si="18"/>
        <v>0</v>
      </c>
      <c r="H302" s="5">
        <f t="shared" si="19"/>
        <v>0</v>
      </c>
    </row>
    <row r="303" spans="1:8" x14ac:dyDescent="0.2">
      <c r="A303" s="2">
        <v>302</v>
      </c>
      <c r="B303" s="5">
        <f t="shared" si="16"/>
        <v>0</v>
      </c>
      <c r="C303" s="5">
        <f t="shared" si="17"/>
        <v>0</v>
      </c>
      <c r="D303" s="5"/>
      <c r="E303" s="5">
        <f>IF($B303 &lt;= 0, 0, -ROUND($B303 * (InterestRate / PaymentsPerYear), 2))</f>
        <v>0</v>
      </c>
      <c r="F303" s="5">
        <f>ROUND(IFERROR(IF($B303&lt;=0,0,
MAX(-$B303, -(-PMT(InterestRate/PaymentsPerYear,LoanTerm*PaymentsPerYear,LoanAmount) + $E303))), 0), 2)</f>
        <v>0</v>
      </c>
      <c r="G303" s="5">
        <f t="shared" si="18"/>
        <v>0</v>
      </c>
      <c r="H303" s="5">
        <f t="shared" si="19"/>
        <v>0</v>
      </c>
    </row>
    <row r="304" spans="1:8" x14ac:dyDescent="0.2">
      <c r="A304" s="2">
        <v>303</v>
      </c>
      <c r="B304" s="5">
        <f t="shared" si="16"/>
        <v>0</v>
      </c>
      <c r="C304" s="5">
        <f t="shared" si="17"/>
        <v>0</v>
      </c>
      <c r="D304" s="5"/>
      <c r="E304" s="5">
        <f>IF($B304 &lt;= 0, 0, -ROUND($B304 * (InterestRate / PaymentsPerYear), 2))</f>
        <v>0</v>
      </c>
      <c r="F304" s="5">
        <f>ROUND(IFERROR(IF($B304&lt;=0,0,
MAX(-$B304, -(-PMT(InterestRate/PaymentsPerYear,LoanTerm*PaymentsPerYear,LoanAmount) + $E304))), 0), 2)</f>
        <v>0</v>
      </c>
      <c r="G304" s="5">
        <f t="shared" si="18"/>
        <v>0</v>
      </c>
      <c r="H304" s="5">
        <f t="shared" si="19"/>
        <v>0</v>
      </c>
    </row>
    <row r="305" spans="1:8" x14ac:dyDescent="0.2">
      <c r="A305" s="2">
        <v>304</v>
      </c>
      <c r="B305" s="5">
        <f t="shared" si="16"/>
        <v>0</v>
      </c>
      <c r="C305" s="5">
        <f t="shared" si="17"/>
        <v>0</v>
      </c>
      <c r="D305" s="5"/>
      <c r="E305" s="5">
        <f>IF($B305 &lt;= 0, 0, -ROUND($B305 * (InterestRate / PaymentsPerYear), 2))</f>
        <v>0</v>
      </c>
      <c r="F305" s="5">
        <f>ROUND(IFERROR(IF($B305&lt;=0,0,
MAX(-$B305, -(-PMT(InterestRate/PaymentsPerYear,LoanTerm*PaymentsPerYear,LoanAmount) + $E305))), 0), 2)</f>
        <v>0</v>
      </c>
      <c r="G305" s="5">
        <f t="shared" si="18"/>
        <v>0</v>
      </c>
      <c r="H305" s="5">
        <f t="shared" si="19"/>
        <v>0</v>
      </c>
    </row>
    <row r="306" spans="1:8" x14ac:dyDescent="0.2">
      <c r="A306" s="2">
        <v>305</v>
      </c>
      <c r="B306" s="5">
        <f t="shared" si="16"/>
        <v>0</v>
      </c>
      <c r="C306" s="5">
        <f t="shared" si="17"/>
        <v>0</v>
      </c>
      <c r="D306" s="5"/>
      <c r="E306" s="5">
        <f>IF($B306 &lt;= 0, 0, -ROUND($B306 * (InterestRate / PaymentsPerYear), 2))</f>
        <v>0</v>
      </c>
      <c r="F306" s="5">
        <f>ROUND(IFERROR(IF($B306&lt;=0,0,
MAX(-$B306, -(-PMT(InterestRate/PaymentsPerYear,LoanTerm*PaymentsPerYear,LoanAmount) + $E306))), 0), 2)</f>
        <v>0</v>
      </c>
      <c r="G306" s="5">
        <f t="shared" si="18"/>
        <v>0</v>
      </c>
      <c r="H306" s="5">
        <f t="shared" si="19"/>
        <v>0</v>
      </c>
    </row>
    <row r="307" spans="1:8" x14ac:dyDescent="0.2">
      <c r="A307" s="2">
        <v>306</v>
      </c>
      <c r="B307" s="5">
        <f t="shared" si="16"/>
        <v>0</v>
      </c>
      <c r="C307" s="5">
        <f t="shared" si="17"/>
        <v>0</v>
      </c>
      <c r="D307" s="5"/>
      <c r="E307" s="5">
        <f>IF($B307 &lt;= 0, 0, -ROUND($B307 * (InterestRate / PaymentsPerYear), 2))</f>
        <v>0</v>
      </c>
      <c r="F307" s="5">
        <f>ROUND(IFERROR(IF($B307&lt;=0,0,
MAX(-$B307, -(-PMT(InterestRate/PaymentsPerYear,LoanTerm*PaymentsPerYear,LoanAmount) + $E307))), 0), 2)</f>
        <v>0</v>
      </c>
      <c r="G307" s="5">
        <f t="shared" si="18"/>
        <v>0</v>
      </c>
      <c r="H307" s="5">
        <f t="shared" si="19"/>
        <v>0</v>
      </c>
    </row>
    <row r="308" spans="1:8" x14ac:dyDescent="0.2">
      <c r="A308" s="2">
        <v>307</v>
      </c>
      <c r="B308" s="5">
        <f t="shared" si="16"/>
        <v>0</v>
      </c>
      <c r="C308" s="5">
        <f t="shared" si="17"/>
        <v>0</v>
      </c>
      <c r="D308" s="5"/>
      <c r="E308" s="5">
        <f>IF($B308 &lt;= 0, 0, -ROUND($B308 * (InterestRate / PaymentsPerYear), 2))</f>
        <v>0</v>
      </c>
      <c r="F308" s="5">
        <f>ROUND(IFERROR(IF($B308&lt;=0,0,
MAX(-$B308, -(-PMT(InterestRate/PaymentsPerYear,LoanTerm*PaymentsPerYear,LoanAmount) + $E308))), 0), 2)</f>
        <v>0</v>
      </c>
      <c r="G308" s="5">
        <f t="shared" si="18"/>
        <v>0</v>
      </c>
      <c r="H308" s="5">
        <f t="shared" si="19"/>
        <v>0</v>
      </c>
    </row>
    <row r="309" spans="1:8" x14ac:dyDescent="0.2">
      <c r="A309" s="2">
        <v>308</v>
      </c>
      <c r="B309" s="5">
        <f t="shared" si="16"/>
        <v>0</v>
      </c>
      <c r="C309" s="5">
        <f t="shared" si="17"/>
        <v>0</v>
      </c>
      <c r="D309" s="5"/>
      <c r="E309" s="5">
        <f>IF($B309 &lt;= 0, 0, -ROUND($B309 * (InterestRate / PaymentsPerYear), 2))</f>
        <v>0</v>
      </c>
      <c r="F309" s="5">
        <f>ROUND(IFERROR(IF($B309&lt;=0,0,
MAX(-$B309, -(-PMT(InterestRate/PaymentsPerYear,LoanTerm*PaymentsPerYear,LoanAmount) + $E309))), 0), 2)</f>
        <v>0</v>
      </c>
      <c r="G309" s="5">
        <f t="shared" si="18"/>
        <v>0</v>
      </c>
      <c r="H309" s="5">
        <f t="shared" si="19"/>
        <v>0</v>
      </c>
    </row>
    <row r="310" spans="1:8" x14ac:dyDescent="0.2">
      <c r="A310" s="2">
        <v>309</v>
      </c>
      <c r="B310" s="5">
        <f t="shared" si="16"/>
        <v>0</v>
      </c>
      <c r="C310" s="5">
        <f t="shared" si="17"/>
        <v>0</v>
      </c>
      <c r="D310" s="5"/>
      <c r="E310" s="5">
        <f>IF($B310 &lt;= 0, 0, -ROUND($B310 * (InterestRate / PaymentsPerYear), 2))</f>
        <v>0</v>
      </c>
      <c r="F310" s="5">
        <f>ROUND(IFERROR(IF($B310&lt;=0,0,
MAX(-$B310, -(-PMT(InterestRate/PaymentsPerYear,LoanTerm*PaymentsPerYear,LoanAmount) + $E310))), 0), 2)</f>
        <v>0</v>
      </c>
      <c r="G310" s="5">
        <f t="shared" si="18"/>
        <v>0</v>
      </c>
      <c r="H310" s="5">
        <f t="shared" si="19"/>
        <v>0</v>
      </c>
    </row>
    <row r="311" spans="1:8" x14ac:dyDescent="0.2">
      <c r="A311" s="2">
        <v>310</v>
      </c>
      <c r="B311" s="5">
        <f t="shared" si="16"/>
        <v>0</v>
      </c>
      <c r="C311" s="5">
        <f t="shared" si="17"/>
        <v>0</v>
      </c>
      <c r="D311" s="5"/>
      <c r="E311" s="5">
        <f>IF($B311 &lt;= 0, 0, -ROUND($B311 * (InterestRate / PaymentsPerYear), 2))</f>
        <v>0</v>
      </c>
      <c r="F311" s="5">
        <f>ROUND(IFERROR(IF($B311&lt;=0,0,
MAX(-$B311, -(-PMT(InterestRate/PaymentsPerYear,LoanTerm*PaymentsPerYear,LoanAmount) + $E311))), 0), 2)</f>
        <v>0</v>
      </c>
      <c r="G311" s="5">
        <f t="shared" si="18"/>
        <v>0</v>
      </c>
      <c r="H311" s="5">
        <f t="shared" si="19"/>
        <v>0</v>
      </c>
    </row>
    <row r="312" spans="1:8" x14ac:dyDescent="0.2">
      <c r="A312" s="2">
        <v>311</v>
      </c>
      <c r="B312" s="5">
        <f t="shared" si="16"/>
        <v>0</v>
      </c>
      <c r="C312" s="5">
        <f t="shared" si="17"/>
        <v>0</v>
      </c>
      <c r="D312" s="5"/>
      <c r="E312" s="5">
        <f>IF($B312 &lt;= 0, 0, -ROUND($B312 * (InterestRate / PaymentsPerYear), 2))</f>
        <v>0</v>
      </c>
      <c r="F312" s="5">
        <f>ROUND(IFERROR(IF($B312&lt;=0,0,
MAX(-$B312, -(-PMT(InterestRate/PaymentsPerYear,LoanTerm*PaymentsPerYear,LoanAmount) + $E312))), 0), 2)</f>
        <v>0</v>
      </c>
      <c r="G312" s="5">
        <f t="shared" si="18"/>
        <v>0</v>
      </c>
      <c r="H312" s="5">
        <f t="shared" si="19"/>
        <v>0</v>
      </c>
    </row>
    <row r="313" spans="1:8" x14ac:dyDescent="0.2">
      <c r="A313" s="2">
        <v>312</v>
      </c>
      <c r="B313" s="5">
        <f t="shared" si="16"/>
        <v>0</v>
      </c>
      <c r="C313" s="5">
        <f t="shared" si="17"/>
        <v>0</v>
      </c>
      <c r="D313" s="5"/>
      <c r="E313" s="5">
        <f>IF($B313 &lt;= 0, 0, -ROUND($B313 * (InterestRate / PaymentsPerYear), 2))</f>
        <v>0</v>
      </c>
      <c r="F313" s="5">
        <f>ROUND(IFERROR(IF($B313&lt;=0,0,
MAX(-$B313, -(-PMT(InterestRate/PaymentsPerYear,LoanTerm*PaymentsPerYear,LoanAmount) + $E313))), 0), 2)</f>
        <v>0</v>
      </c>
      <c r="G313" s="5">
        <f t="shared" si="18"/>
        <v>0</v>
      </c>
      <c r="H313" s="5">
        <f t="shared" si="19"/>
        <v>0</v>
      </c>
    </row>
    <row r="314" spans="1:8" x14ac:dyDescent="0.2">
      <c r="A314" s="2">
        <v>313</v>
      </c>
      <c r="B314" s="5">
        <f t="shared" si="16"/>
        <v>0</v>
      </c>
      <c r="C314" s="5">
        <f t="shared" si="17"/>
        <v>0</v>
      </c>
      <c r="D314" s="5"/>
      <c r="E314" s="5">
        <f>IF($B314 &lt;= 0, 0, -ROUND($B314 * (InterestRate / PaymentsPerYear), 2))</f>
        <v>0</v>
      </c>
      <c r="F314" s="5">
        <f>ROUND(IFERROR(IF($B314&lt;=0,0,
MAX(-$B314, -(-PMT(InterestRate/PaymentsPerYear,LoanTerm*PaymentsPerYear,LoanAmount) + $E314))), 0), 2)</f>
        <v>0</v>
      </c>
      <c r="G314" s="5">
        <f t="shared" si="18"/>
        <v>0</v>
      </c>
      <c r="H314" s="5">
        <f t="shared" si="19"/>
        <v>0</v>
      </c>
    </row>
    <row r="315" spans="1:8" x14ac:dyDescent="0.2">
      <c r="A315" s="2">
        <v>314</v>
      </c>
      <c r="B315" s="5">
        <f t="shared" si="16"/>
        <v>0</v>
      </c>
      <c r="C315" s="5">
        <f t="shared" si="17"/>
        <v>0</v>
      </c>
      <c r="D315" s="5"/>
      <c r="E315" s="5">
        <f>IF($B315 &lt;= 0, 0, -ROUND($B315 * (InterestRate / PaymentsPerYear), 2))</f>
        <v>0</v>
      </c>
      <c r="F315" s="5">
        <f>ROUND(IFERROR(IF($B315&lt;=0,0,
MAX(-$B315, -(-PMT(InterestRate/PaymentsPerYear,LoanTerm*PaymentsPerYear,LoanAmount) + $E315))), 0), 2)</f>
        <v>0</v>
      </c>
      <c r="G315" s="5">
        <f t="shared" si="18"/>
        <v>0</v>
      </c>
      <c r="H315" s="5">
        <f t="shared" si="19"/>
        <v>0</v>
      </c>
    </row>
    <row r="316" spans="1:8" x14ac:dyDescent="0.2">
      <c r="A316" s="2">
        <v>315</v>
      </c>
      <c r="B316" s="5">
        <f t="shared" si="16"/>
        <v>0</v>
      </c>
      <c r="C316" s="5">
        <f t="shared" si="17"/>
        <v>0</v>
      </c>
      <c r="D316" s="5"/>
      <c r="E316" s="5">
        <f>IF($B316 &lt;= 0, 0, -ROUND($B316 * (InterestRate / PaymentsPerYear), 2))</f>
        <v>0</v>
      </c>
      <c r="F316" s="5">
        <f>ROUND(IFERROR(IF($B316&lt;=0,0,
MAX(-$B316, -(-PMT(InterestRate/PaymentsPerYear,LoanTerm*PaymentsPerYear,LoanAmount) + $E316))), 0), 2)</f>
        <v>0</v>
      </c>
      <c r="G316" s="5">
        <f t="shared" si="18"/>
        <v>0</v>
      </c>
      <c r="H316" s="5">
        <f t="shared" si="19"/>
        <v>0</v>
      </c>
    </row>
    <row r="317" spans="1:8" x14ac:dyDescent="0.2">
      <c r="A317" s="2">
        <v>316</v>
      </c>
      <c r="B317" s="5">
        <f t="shared" si="16"/>
        <v>0</v>
      </c>
      <c r="C317" s="5">
        <f t="shared" si="17"/>
        <v>0</v>
      </c>
      <c r="D317" s="5"/>
      <c r="E317" s="5">
        <f>IF($B317 &lt;= 0, 0, -ROUND($B317 * (InterestRate / PaymentsPerYear), 2))</f>
        <v>0</v>
      </c>
      <c r="F317" s="5">
        <f>ROUND(IFERROR(IF($B317&lt;=0,0,
MAX(-$B317, -(-PMT(InterestRate/PaymentsPerYear,LoanTerm*PaymentsPerYear,LoanAmount) + $E317))), 0), 2)</f>
        <v>0</v>
      </c>
      <c r="G317" s="5">
        <f t="shared" si="18"/>
        <v>0</v>
      </c>
      <c r="H317" s="5">
        <f t="shared" si="19"/>
        <v>0</v>
      </c>
    </row>
    <row r="318" spans="1:8" x14ac:dyDescent="0.2">
      <c r="A318" s="2">
        <v>317</v>
      </c>
      <c r="B318" s="5">
        <f t="shared" si="16"/>
        <v>0</v>
      </c>
      <c r="C318" s="5">
        <f t="shared" si="17"/>
        <v>0</v>
      </c>
      <c r="D318" s="5"/>
      <c r="E318" s="5">
        <f>IF($B318 &lt;= 0, 0, -ROUND($B318 * (InterestRate / PaymentsPerYear), 2))</f>
        <v>0</v>
      </c>
      <c r="F318" s="5">
        <f>ROUND(IFERROR(IF($B318&lt;=0,0,
MAX(-$B318, -(-PMT(InterestRate/PaymentsPerYear,LoanTerm*PaymentsPerYear,LoanAmount) + $E318))), 0), 2)</f>
        <v>0</v>
      </c>
      <c r="G318" s="5">
        <f t="shared" si="18"/>
        <v>0</v>
      </c>
      <c r="H318" s="5">
        <f t="shared" si="19"/>
        <v>0</v>
      </c>
    </row>
    <row r="319" spans="1:8" x14ac:dyDescent="0.2">
      <c r="A319" s="2">
        <v>318</v>
      </c>
      <c r="B319" s="5">
        <f t="shared" si="16"/>
        <v>0</v>
      </c>
      <c r="C319" s="5">
        <f t="shared" si="17"/>
        <v>0</v>
      </c>
      <c r="D319" s="5"/>
      <c r="E319" s="5">
        <f>IF($B319 &lt;= 0, 0, -ROUND($B319 * (InterestRate / PaymentsPerYear), 2))</f>
        <v>0</v>
      </c>
      <c r="F319" s="5">
        <f>ROUND(IFERROR(IF($B319&lt;=0,0,
MAX(-$B319, -(-PMT(InterestRate/PaymentsPerYear,LoanTerm*PaymentsPerYear,LoanAmount) + $E319))), 0), 2)</f>
        <v>0</v>
      </c>
      <c r="G319" s="5">
        <f t="shared" si="18"/>
        <v>0</v>
      </c>
      <c r="H319" s="5">
        <f t="shared" si="19"/>
        <v>0</v>
      </c>
    </row>
    <row r="320" spans="1:8" x14ac:dyDescent="0.2">
      <c r="A320" s="2">
        <v>319</v>
      </c>
      <c r="B320" s="5">
        <f t="shared" si="16"/>
        <v>0</v>
      </c>
      <c r="C320" s="5">
        <f t="shared" si="17"/>
        <v>0</v>
      </c>
      <c r="D320" s="5"/>
      <c r="E320" s="5">
        <f>IF($B320 &lt;= 0, 0, -ROUND($B320 * (InterestRate / PaymentsPerYear), 2))</f>
        <v>0</v>
      </c>
      <c r="F320" s="5">
        <f>ROUND(IFERROR(IF($B320&lt;=0,0,
MAX(-$B320, -(-PMT(InterestRate/PaymentsPerYear,LoanTerm*PaymentsPerYear,LoanAmount) + $E320))), 0), 2)</f>
        <v>0</v>
      </c>
      <c r="G320" s="5">
        <f t="shared" si="18"/>
        <v>0</v>
      </c>
      <c r="H320" s="5">
        <f t="shared" si="19"/>
        <v>0</v>
      </c>
    </row>
    <row r="321" spans="1:8" x14ac:dyDescent="0.2">
      <c r="A321" s="2">
        <v>320</v>
      </c>
      <c r="B321" s="5">
        <f t="shared" si="16"/>
        <v>0</v>
      </c>
      <c r="C321" s="5">
        <f t="shared" si="17"/>
        <v>0</v>
      </c>
      <c r="D321" s="5"/>
      <c r="E321" s="5">
        <f>IF($B321 &lt;= 0, 0, -ROUND($B321 * (InterestRate / PaymentsPerYear), 2))</f>
        <v>0</v>
      </c>
      <c r="F321" s="5">
        <f>ROUND(IFERROR(IF($B321&lt;=0,0,
MAX(-$B321, -(-PMT(InterestRate/PaymentsPerYear,LoanTerm*PaymentsPerYear,LoanAmount) + $E321))), 0), 2)</f>
        <v>0</v>
      </c>
      <c r="G321" s="5">
        <f t="shared" si="18"/>
        <v>0</v>
      </c>
      <c r="H321" s="5">
        <f t="shared" si="19"/>
        <v>0</v>
      </c>
    </row>
    <row r="322" spans="1:8" x14ac:dyDescent="0.2">
      <c r="A322" s="2">
        <v>321</v>
      </c>
      <c r="B322" s="5">
        <f t="shared" si="16"/>
        <v>0</v>
      </c>
      <c r="C322" s="5">
        <f t="shared" si="17"/>
        <v>0</v>
      </c>
      <c r="D322" s="5"/>
      <c r="E322" s="5">
        <f>IF($B322 &lt;= 0, 0, -ROUND($B322 * (InterestRate / PaymentsPerYear), 2))</f>
        <v>0</v>
      </c>
      <c r="F322" s="5">
        <f>ROUND(IFERROR(IF($B322&lt;=0,0,
MAX(-$B322, -(-PMT(InterestRate/PaymentsPerYear,LoanTerm*PaymentsPerYear,LoanAmount) + $E322))), 0), 2)</f>
        <v>0</v>
      </c>
      <c r="G322" s="5">
        <f t="shared" si="18"/>
        <v>0</v>
      </c>
      <c r="H322" s="5">
        <f t="shared" si="19"/>
        <v>0</v>
      </c>
    </row>
    <row r="323" spans="1:8" x14ac:dyDescent="0.2">
      <c r="A323" s="2">
        <v>322</v>
      </c>
      <c r="B323" s="5">
        <f t="shared" si="16"/>
        <v>0</v>
      </c>
      <c r="C323" s="5">
        <f t="shared" si="17"/>
        <v>0</v>
      </c>
      <c r="D323" s="5"/>
      <c r="E323" s="5">
        <f>IF($B323 &lt;= 0, 0, -ROUND($B323 * (InterestRate / PaymentsPerYear), 2))</f>
        <v>0</v>
      </c>
      <c r="F323" s="5">
        <f>ROUND(IFERROR(IF($B323&lt;=0,0,
MAX(-$B323, -(-PMT(InterestRate/PaymentsPerYear,LoanTerm*PaymentsPerYear,LoanAmount) + $E323))), 0), 2)</f>
        <v>0</v>
      </c>
      <c r="G323" s="5">
        <f t="shared" si="18"/>
        <v>0</v>
      </c>
      <c r="H323" s="5">
        <f t="shared" si="19"/>
        <v>0</v>
      </c>
    </row>
    <row r="324" spans="1:8" x14ac:dyDescent="0.2">
      <c r="A324" s="2">
        <v>323</v>
      </c>
      <c r="B324" s="5">
        <f t="shared" ref="B324:B387" si="20">ROUND(IF($H323 &gt;= 0, MAX($H323, $F323), 0), 2)</f>
        <v>0</v>
      </c>
      <c r="C324" s="5">
        <f t="shared" ref="C324:C387" si="21">IF($B324 &lt;= 0, 0, $E324+$F324)</f>
        <v>0</v>
      </c>
      <c r="D324" s="5"/>
      <c r="E324" s="5">
        <f>IF($B324 &lt;= 0, 0, -ROUND($B324 * (InterestRate / PaymentsPerYear), 2))</f>
        <v>0</v>
      </c>
      <c r="F324" s="5">
        <f>ROUND(IFERROR(IF($B324&lt;=0,0,
MAX(-$B324, -(-PMT(InterestRate/PaymentsPerYear,LoanTerm*PaymentsPerYear,LoanAmount) + $E324))), 0), 2)</f>
        <v>0</v>
      </c>
      <c r="G324" s="5">
        <f t="shared" ref="G324:G387" si="22">$F324</f>
        <v>0</v>
      </c>
      <c r="H324" s="5">
        <f t="shared" ref="H324:H387" si="23">ROUND(IF($B324 &lt;= 0, 0,MAX(0, $B324 + $G324)), 2)</f>
        <v>0</v>
      </c>
    </row>
    <row r="325" spans="1:8" x14ac:dyDescent="0.2">
      <c r="A325" s="2">
        <v>324</v>
      </c>
      <c r="B325" s="5">
        <f t="shared" si="20"/>
        <v>0</v>
      </c>
      <c r="C325" s="5">
        <f t="shared" si="21"/>
        <v>0</v>
      </c>
      <c r="D325" s="5"/>
      <c r="E325" s="5">
        <f>IF($B325 &lt;= 0, 0, -ROUND($B325 * (InterestRate / PaymentsPerYear), 2))</f>
        <v>0</v>
      </c>
      <c r="F325" s="5">
        <f>ROUND(IFERROR(IF($B325&lt;=0,0,
MAX(-$B325, -(-PMT(InterestRate/PaymentsPerYear,LoanTerm*PaymentsPerYear,LoanAmount) + $E325))), 0), 2)</f>
        <v>0</v>
      </c>
      <c r="G325" s="5">
        <f t="shared" si="22"/>
        <v>0</v>
      </c>
      <c r="H325" s="5">
        <f t="shared" si="23"/>
        <v>0</v>
      </c>
    </row>
    <row r="326" spans="1:8" x14ac:dyDescent="0.2">
      <c r="A326" s="2">
        <v>325</v>
      </c>
      <c r="B326" s="5">
        <f t="shared" si="20"/>
        <v>0</v>
      </c>
      <c r="C326" s="5">
        <f t="shared" si="21"/>
        <v>0</v>
      </c>
      <c r="D326" s="5"/>
      <c r="E326" s="5">
        <f>IF($B326 &lt;= 0, 0, -ROUND($B326 * (InterestRate / PaymentsPerYear), 2))</f>
        <v>0</v>
      </c>
      <c r="F326" s="5">
        <f>ROUND(IFERROR(IF($B326&lt;=0,0,
MAX(-$B326, -(-PMT(InterestRate/PaymentsPerYear,LoanTerm*PaymentsPerYear,LoanAmount) + $E326))), 0), 2)</f>
        <v>0</v>
      </c>
      <c r="G326" s="5">
        <f t="shared" si="22"/>
        <v>0</v>
      </c>
      <c r="H326" s="5">
        <f t="shared" si="23"/>
        <v>0</v>
      </c>
    </row>
    <row r="327" spans="1:8" x14ac:dyDescent="0.2">
      <c r="A327" s="2">
        <v>326</v>
      </c>
      <c r="B327" s="5">
        <f t="shared" si="20"/>
        <v>0</v>
      </c>
      <c r="C327" s="5">
        <f t="shared" si="21"/>
        <v>0</v>
      </c>
      <c r="D327" s="5"/>
      <c r="E327" s="5">
        <f>IF($B327 &lt;= 0, 0, -ROUND($B327 * (InterestRate / PaymentsPerYear), 2))</f>
        <v>0</v>
      </c>
      <c r="F327" s="5">
        <f>ROUND(IFERROR(IF($B327&lt;=0,0,
MAX(-$B327, -(-PMT(InterestRate/PaymentsPerYear,LoanTerm*PaymentsPerYear,LoanAmount) + $E327))), 0), 2)</f>
        <v>0</v>
      </c>
      <c r="G327" s="5">
        <f t="shared" si="22"/>
        <v>0</v>
      </c>
      <c r="H327" s="5">
        <f t="shared" si="23"/>
        <v>0</v>
      </c>
    </row>
    <row r="328" spans="1:8" x14ac:dyDescent="0.2">
      <c r="A328" s="2">
        <v>327</v>
      </c>
      <c r="B328" s="5">
        <f t="shared" si="20"/>
        <v>0</v>
      </c>
      <c r="C328" s="5">
        <f t="shared" si="21"/>
        <v>0</v>
      </c>
      <c r="D328" s="5"/>
      <c r="E328" s="5">
        <f>IF($B328 &lt;= 0, 0, -ROUND($B328 * (InterestRate / PaymentsPerYear), 2))</f>
        <v>0</v>
      </c>
      <c r="F328" s="5">
        <f>ROUND(IFERROR(IF($B328&lt;=0,0,
MAX(-$B328, -(-PMT(InterestRate/PaymentsPerYear,LoanTerm*PaymentsPerYear,LoanAmount) + $E328))), 0), 2)</f>
        <v>0</v>
      </c>
      <c r="G328" s="5">
        <f t="shared" si="22"/>
        <v>0</v>
      </c>
      <c r="H328" s="5">
        <f t="shared" si="23"/>
        <v>0</v>
      </c>
    </row>
    <row r="329" spans="1:8" x14ac:dyDescent="0.2">
      <c r="A329" s="2">
        <v>328</v>
      </c>
      <c r="B329" s="5">
        <f t="shared" si="20"/>
        <v>0</v>
      </c>
      <c r="C329" s="5">
        <f t="shared" si="21"/>
        <v>0</v>
      </c>
      <c r="D329" s="5"/>
      <c r="E329" s="5">
        <f>IF($B329 &lt;= 0, 0, -ROUND($B329 * (InterestRate / PaymentsPerYear), 2))</f>
        <v>0</v>
      </c>
      <c r="F329" s="5">
        <f>ROUND(IFERROR(IF($B329&lt;=0,0,
MAX(-$B329, -(-PMT(InterestRate/PaymentsPerYear,LoanTerm*PaymentsPerYear,LoanAmount) + $E329))), 0), 2)</f>
        <v>0</v>
      </c>
      <c r="G329" s="5">
        <f t="shared" si="22"/>
        <v>0</v>
      </c>
      <c r="H329" s="5">
        <f t="shared" si="23"/>
        <v>0</v>
      </c>
    </row>
    <row r="330" spans="1:8" x14ac:dyDescent="0.2">
      <c r="A330" s="2">
        <v>329</v>
      </c>
      <c r="B330" s="5">
        <f t="shared" si="20"/>
        <v>0</v>
      </c>
      <c r="C330" s="5">
        <f t="shared" si="21"/>
        <v>0</v>
      </c>
      <c r="D330" s="5"/>
      <c r="E330" s="5">
        <f>IF($B330 &lt;= 0, 0, -ROUND($B330 * (InterestRate / PaymentsPerYear), 2))</f>
        <v>0</v>
      </c>
      <c r="F330" s="5">
        <f>ROUND(IFERROR(IF($B330&lt;=0,0,
MAX(-$B330, -(-PMT(InterestRate/PaymentsPerYear,LoanTerm*PaymentsPerYear,LoanAmount) + $E330))), 0), 2)</f>
        <v>0</v>
      </c>
      <c r="G330" s="5">
        <f t="shared" si="22"/>
        <v>0</v>
      </c>
      <c r="H330" s="5">
        <f t="shared" si="23"/>
        <v>0</v>
      </c>
    </row>
    <row r="331" spans="1:8" x14ac:dyDescent="0.2">
      <c r="A331" s="2">
        <v>330</v>
      </c>
      <c r="B331" s="5">
        <f t="shared" si="20"/>
        <v>0</v>
      </c>
      <c r="C331" s="5">
        <f t="shared" si="21"/>
        <v>0</v>
      </c>
      <c r="D331" s="5"/>
      <c r="E331" s="5">
        <f>IF($B331 &lt;= 0, 0, -ROUND($B331 * (InterestRate / PaymentsPerYear), 2))</f>
        <v>0</v>
      </c>
      <c r="F331" s="5">
        <f>ROUND(IFERROR(IF($B331&lt;=0,0,
MAX(-$B331, -(-PMT(InterestRate/PaymentsPerYear,LoanTerm*PaymentsPerYear,LoanAmount) + $E331))), 0), 2)</f>
        <v>0</v>
      </c>
      <c r="G331" s="5">
        <f t="shared" si="22"/>
        <v>0</v>
      </c>
      <c r="H331" s="5">
        <f t="shared" si="23"/>
        <v>0</v>
      </c>
    </row>
    <row r="332" spans="1:8" x14ac:dyDescent="0.2">
      <c r="A332" s="2">
        <v>331</v>
      </c>
      <c r="B332" s="5">
        <f t="shared" si="20"/>
        <v>0</v>
      </c>
      <c r="C332" s="5">
        <f t="shared" si="21"/>
        <v>0</v>
      </c>
      <c r="D332" s="5"/>
      <c r="E332" s="5">
        <f>IF($B332 &lt;= 0, 0, -ROUND($B332 * (InterestRate / PaymentsPerYear), 2))</f>
        <v>0</v>
      </c>
      <c r="F332" s="5">
        <f>ROUND(IFERROR(IF($B332&lt;=0,0,
MAX(-$B332, -(-PMT(InterestRate/PaymentsPerYear,LoanTerm*PaymentsPerYear,LoanAmount) + $E332))), 0), 2)</f>
        <v>0</v>
      </c>
      <c r="G332" s="5">
        <f t="shared" si="22"/>
        <v>0</v>
      </c>
      <c r="H332" s="5">
        <f t="shared" si="23"/>
        <v>0</v>
      </c>
    </row>
    <row r="333" spans="1:8" x14ac:dyDescent="0.2">
      <c r="A333" s="2">
        <v>332</v>
      </c>
      <c r="B333" s="5">
        <f t="shared" si="20"/>
        <v>0</v>
      </c>
      <c r="C333" s="5">
        <f t="shared" si="21"/>
        <v>0</v>
      </c>
      <c r="D333" s="5"/>
      <c r="E333" s="5">
        <f>IF($B333 &lt;= 0, 0, -ROUND($B333 * (InterestRate / PaymentsPerYear), 2))</f>
        <v>0</v>
      </c>
      <c r="F333" s="5">
        <f>ROUND(IFERROR(IF($B333&lt;=0,0,
MAX(-$B333, -(-PMT(InterestRate/PaymentsPerYear,LoanTerm*PaymentsPerYear,LoanAmount) + $E333))), 0), 2)</f>
        <v>0</v>
      </c>
      <c r="G333" s="5">
        <f t="shared" si="22"/>
        <v>0</v>
      </c>
      <c r="H333" s="5">
        <f t="shared" si="23"/>
        <v>0</v>
      </c>
    </row>
    <row r="334" spans="1:8" x14ac:dyDescent="0.2">
      <c r="A334" s="2">
        <v>333</v>
      </c>
      <c r="B334" s="5">
        <f t="shared" si="20"/>
        <v>0</v>
      </c>
      <c r="C334" s="5">
        <f t="shared" si="21"/>
        <v>0</v>
      </c>
      <c r="D334" s="5"/>
      <c r="E334" s="5">
        <f>IF($B334 &lt;= 0, 0, -ROUND($B334 * (InterestRate / PaymentsPerYear), 2))</f>
        <v>0</v>
      </c>
      <c r="F334" s="5">
        <f>ROUND(IFERROR(IF($B334&lt;=0,0,
MAX(-$B334, -(-PMT(InterestRate/PaymentsPerYear,LoanTerm*PaymentsPerYear,LoanAmount) + $E334))), 0), 2)</f>
        <v>0</v>
      </c>
      <c r="G334" s="5">
        <f t="shared" si="22"/>
        <v>0</v>
      </c>
      <c r="H334" s="5">
        <f t="shared" si="23"/>
        <v>0</v>
      </c>
    </row>
    <row r="335" spans="1:8" x14ac:dyDescent="0.2">
      <c r="A335" s="2">
        <v>334</v>
      </c>
      <c r="B335" s="5">
        <f t="shared" si="20"/>
        <v>0</v>
      </c>
      <c r="C335" s="5">
        <f t="shared" si="21"/>
        <v>0</v>
      </c>
      <c r="D335" s="5"/>
      <c r="E335" s="5">
        <f>IF($B335 &lt;= 0, 0, -ROUND($B335 * (InterestRate / PaymentsPerYear), 2))</f>
        <v>0</v>
      </c>
      <c r="F335" s="5">
        <f>ROUND(IFERROR(IF($B335&lt;=0,0,
MAX(-$B335, -(-PMT(InterestRate/PaymentsPerYear,LoanTerm*PaymentsPerYear,LoanAmount) + $E335))), 0), 2)</f>
        <v>0</v>
      </c>
      <c r="G335" s="5">
        <f t="shared" si="22"/>
        <v>0</v>
      </c>
      <c r="H335" s="5">
        <f t="shared" si="23"/>
        <v>0</v>
      </c>
    </row>
    <row r="336" spans="1:8" x14ac:dyDescent="0.2">
      <c r="A336" s="2">
        <v>335</v>
      </c>
      <c r="B336" s="5">
        <f t="shared" si="20"/>
        <v>0</v>
      </c>
      <c r="C336" s="5">
        <f t="shared" si="21"/>
        <v>0</v>
      </c>
      <c r="D336" s="5"/>
      <c r="E336" s="5">
        <f>IF($B336 &lt;= 0, 0, -ROUND($B336 * (InterestRate / PaymentsPerYear), 2))</f>
        <v>0</v>
      </c>
      <c r="F336" s="5">
        <f>ROUND(IFERROR(IF($B336&lt;=0,0,
MAX(-$B336, -(-PMT(InterestRate/PaymentsPerYear,LoanTerm*PaymentsPerYear,LoanAmount) + $E336))), 0), 2)</f>
        <v>0</v>
      </c>
      <c r="G336" s="5">
        <f t="shared" si="22"/>
        <v>0</v>
      </c>
      <c r="H336" s="5">
        <f t="shared" si="23"/>
        <v>0</v>
      </c>
    </row>
    <row r="337" spans="1:8" x14ac:dyDescent="0.2">
      <c r="A337" s="2">
        <v>336</v>
      </c>
      <c r="B337" s="5">
        <f t="shared" si="20"/>
        <v>0</v>
      </c>
      <c r="C337" s="5">
        <f t="shared" si="21"/>
        <v>0</v>
      </c>
      <c r="D337" s="5"/>
      <c r="E337" s="5">
        <f>IF($B337 &lt;= 0, 0, -ROUND($B337 * (InterestRate / PaymentsPerYear), 2))</f>
        <v>0</v>
      </c>
      <c r="F337" s="5">
        <f>ROUND(IFERROR(IF($B337&lt;=0,0,
MAX(-$B337, -(-PMT(InterestRate/PaymentsPerYear,LoanTerm*PaymentsPerYear,LoanAmount) + $E337))), 0), 2)</f>
        <v>0</v>
      </c>
      <c r="G337" s="5">
        <f t="shared" si="22"/>
        <v>0</v>
      </c>
      <c r="H337" s="5">
        <f t="shared" si="23"/>
        <v>0</v>
      </c>
    </row>
    <row r="338" spans="1:8" x14ac:dyDescent="0.2">
      <c r="A338" s="2">
        <v>337</v>
      </c>
      <c r="B338" s="5">
        <f t="shared" si="20"/>
        <v>0</v>
      </c>
      <c r="C338" s="5">
        <f t="shared" si="21"/>
        <v>0</v>
      </c>
      <c r="D338" s="5"/>
      <c r="E338" s="5">
        <f>IF($B338 &lt;= 0, 0, -ROUND($B338 * (InterestRate / PaymentsPerYear), 2))</f>
        <v>0</v>
      </c>
      <c r="F338" s="5">
        <f>ROUND(IFERROR(IF($B338&lt;=0,0,
MAX(-$B338, -(-PMT(InterestRate/PaymentsPerYear,LoanTerm*PaymentsPerYear,LoanAmount) + $E338))), 0), 2)</f>
        <v>0</v>
      </c>
      <c r="G338" s="5">
        <f t="shared" si="22"/>
        <v>0</v>
      </c>
      <c r="H338" s="5">
        <f t="shared" si="23"/>
        <v>0</v>
      </c>
    </row>
    <row r="339" spans="1:8" x14ac:dyDescent="0.2">
      <c r="A339" s="2">
        <v>338</v>
      </c>
      <c r="B339" s="5">
        <f t="shared" si="20"/>
        <v>0</v>
      </c>
      <c r="C339" s="5">
        <f t="shared" si="21"/>
        <v>0</v>
      </c>
      <c r="D339" s="5"/>
      <c r="E339" s="5">
        <f>IF($B339 &lt;= 0, 0, -ROUND($B339 * (InterestRate / PaymentsPerYear), 2))</f>
        <v>0</v>
      </c>
      <c r="F339" s="5">
        <f>ROUND(IFERROR(IF($B339&lt;=0,0,
MAX(-$B339, -(-PMT(InterestRate/PaymentsPerYear,LoanTerm*PaymentsPerYear,LoanAmount) + $E339))), 0), 2)</f>
        <v>0</v>
      </c>
      <c r="G339" s="5">
        <f t="shared" si="22"/>
        <v>0</v>
      </c>
      <c r="H339" s="5">
        <f t="shared" si="23"/>
        <v>0</v>
      </c>
    </row>
    <row r="340" spans="1:8" x14ac:dyDescent="0.2">
      <c r="A340" s="2">
        <v>339</v>
      </c>
      <c r="B340" s="5">
        <f t="shared" si="20"/>
        <v>0</v>
      </c>
      <c r="C340" s="5">
        <f t="shared" si="21"/>
        <v>0</v>
      </c>
      <c r="D340" s="5"/>
      <c r="E340" s="5">
        <f>IF($B340 &lt;= 0, 0, -ROUND($B340 * (InterestRate / PaymentsPerYear), 2))</f>
        <v>0</v>
      </c>
      <c r="F340" s="5">
        <f>ROUND(IFERROR(IF($B340&lt;=0,0,
MAX(-$B340, -(-PMT(InterestRate/PaymentsPerYear,LoanTerm*PaymentsPerYear,LoanAmount) + $E340))), 0), 2)</f>
        <v>0</v>
      </c>
      <c r="G340" s="5">
        <f t="shared" si="22"/>
        <v>0</v>
      </c>
      <c r="H340" s="5">
        <f t="shared" si="23"/>
        <v>0</v>
      </c>
    </row>
    <row r="341" spans="1:8" x14ac:dyDescent="0.2">
      <c r="A341" s="2">
        <v>340</v>
      </c>
      <c r="B341" s="5">
        <f t="shared" si="20"/>
        <v>0</v>
      </c>
      <c r="C341" s="5">
        <f t="shared" si="21"/>
        <v>0</v>
      </c>
      <c r="D341" s="5"/>
      <c r="E341" s="5">
        <f>IF($B341 &lt;= 0, 0, -ROUND($B341 * (InterestRate / PaymentsPerYear), 2))</f>
        <v>0</v>
      </c>
      <c r="F341" s="5">
        <f>ROUND(IFERROR(IF($B341&lt;=0,0,
MAX(-$B341, -(-PMT(InterestRate/PaymentsPerYear,LoanTerm*PaymentsPerYear,LoanAmount) + $E341))), 0), 2)</f>
        <v>0</v>
      </c>
      <c r="G341" s="5">
        <f t="shared" si="22"/>
        <v>0</v>
      </c>
      <c r="H341" s="5">
        <f t="shared" si="23"/>
        <v>0</v>
      </c>
    </row>
    <row r="342" spans="1:8" x14ac:dyDescent="0.2">
      <c r="A342" s="2">
        <v>341</v>
      </c>
      <c r="B342" s="5">
        <f t="shared" si="20"/>
        <v>0</v>
      </c>
      <c r="C342" s="5">
        <f t="shared" si="21"/>
        <v>0</v>
      </c>
      <c r="D342" s="5"/>
      <c r="E342" s="5">
        <f>IF($B342 &lt;= 0, 0, -ROUND($B342 * (InterestRate / PaymentsPerYear), 2))</f>
        <v>0</v>
      </c>
      <c r="F342" s="5">
        <f>ROUND(IFERROR(IF($B342&lt;=0,0,
MAX(-$B342, -(-PMT(InterestRate/PaymentsPerYear,LoanTerm*PaymentsPerYear,LoanAmount) + $E342))), 0), 2)</f>
        <v>0</v>
      </c>
      <c r="G342" s="5">
        <f t="shared" si="22"/>
        <v>0</v>
      </c>
      <c r="H342" s="5">
        <f t="shared" si="23"/>
        <v>0</v>
      </c>
    </row>
    <row r="343" spans="1:8" x14ac:dyDescent="0.2">
      <c r="A343" s="2">
        <v>342</v>
      </c>
      <c r="B343" s="5">
        <f t="shared" si="20"/>
        <v>0</v>
      </c>
      <c r="C343" s="5">
        <f t="shared" si="21"/>
        <v>0</v>
      </c>
      <c r="D343" s="5"/>
      <c r="E343" s="5">
        <f>IF($B343 &lt;= 0, 0, -ROUND($B343 * (InterestRate / PaymentsPerYear), 2))</f>
        <v>0</v>
      </c>
      <c r="F343" s="5">
        <f>ROUND(IFERROR(IF($B343&lt;=0,0,
MAX(-$B343, -(-PMT(InterestRate/PaymentsPerYear,LoanTerm*PaymentsPerYear,LoanAmount) + $E343))), 0), 2)</f>
        <v>0</v>
      </c>
      <c r="G343" s="5">
        <f t="shared" si="22"/>
        <v>0</v>
      </c>
      <c r="H343" s="5">
        <f t="shared" si="23"/>
        <v>0</v>
      </c>
    </row>
    <row r="344" spans="1:8" x14ac:dyDescent="0.2">
      <c r="A344" s="2">
        <v>343</v>
      </c>
      <c r="B344" s="5">
        <f t="shared" si="20"/>
        <v>0</v>
      </c>
      <c r="C344" s="5">
        <f t="shared" si="21"/>
        <v>0</v>
      </c>
      <c r="D344" s="5"/>
      <c r="E344" s="5">
        <f>IF($B344 &lt;= 0, 0, -ROUND($B344 * (InterestRate / PaymentsPerYear), 2))</f>
        <v>0</v>
      </c>
      <c r="F344" s="5">
        <f>ROUND(IFERROR(IF($B344&lt;=0,0,
MAX(-$B344, -(-PMT(InterestRate/PaymentsPerYear,LoanTerm*PaymentsPerYear,LoanAmount) + $E344))), 0), 2)</f>
        <v>0</v>
      </c>
      <c r="G344" s="5">
        <f t="shared" si="22"/>
        <v>0</v>
      </c>
      <c r="H344" s="5">
        <f t="shared" si="23"/>
        <v>0</v>
      </c>
    </row>
    <row r="345" spans="1:8" x14ac:dyDescent="0.2">
      <c r="A345" s="2">
        <v>344</v>
      </c>
      <c r="B345" s="5">
        <f t="shared" si="20"/>
        <v>0</v>
      </c>
      <c r="C345" s="5">
        <f t="shared" si="21"/>
        <v>0</v>
      </c>
      <c r="D345" s="5"/>
      <c r="E345" s="5">
        <f>IF($B345 &lt;= 0, 0, -ROUND($B345 * (InterestRate / PaymentsPerYear), 2))</f>
        <v>0</v>
      </c>
      <c r="F345" s="5">
        <f>ROUND(IFERROR(IF($B345&lt;=0,0,
MAX(-$B345, -(-PMT(InterestRate/PaymentsPerYear,LoanTerm*PaymentsPerYear,LoanAmount) + $E345))), 0), 2)</f>
        <v>0</v>
      </c>
      <c r="G345" s="5">
        <f t="shared" si="22"/>
        <v>0</v>
      </c>
      <c r="H345" s="5">
        <f t="shared" si="23"/>
        <v>0</v>
      </c>
    </row>
    <row r="346" spans="1:8" x14ac:dyDescent="0.2">
      <c r="A346" s="2">
        <v>345</v>
      </c>
      <c r="B346" s="5">
        <f t="shared" si="20"/>
        <v>0</v>
      </c>
      <c r="C346" s="5">
        <f t="shared" si="21"/>
        <v>0</v>
      </c>
      <c r="D346" s="5"/>
      <c r="E346" s="5">
        <f>IF($B346 &lt;= 0, 0, -ROUND($B346 * (InterestRate / PaymentsPerYear), 2))</f>
        <v>0</v>
      </c>
      <c r="F346" s="5">
        <f>ROUND(IFERROR(IF($B346&lt;=0,0,
MAX(-$B346, -(-PMT(InterestRate/PaymentsPerYear,LoanTerm*PaymentsPerYear,LoanAmount) + $E346))), 0), 2)</f>
        <v>0</v>
      </c>
      <c r="G346" s="5">
        <f t="shared" si="22"/>
        <v>0</v>
      </c>
      <c r="H346" s="5">
        <f t="shared" si="23"/>
        <v>0</v>
      </c>
    </row>
    <row r="347" spans="1:8" x14ac:dyDescent="0.2">
      <c r="A347" s="2">
        <v>346</v>
      </c>
      <c r="B347" s="5">
        <f t="shared" si="20"/>
        <v>0</v>
      </c>
      <c r="C347" s="5">
        <f t="shared" si="21"/>
        <v>0</v>
      </c>
      <c r="D347" s="5"/>
      <c r="E347" s="5">
        <f>IF($B347 &lt;= 0, 0, -ROUND($B347 * (InterestRate / PaymentsPerYear), 2))</f>
        <v>0</v>
      </c>
      <c r="F347" s="5">
        <f>ROUND(IFERROR(IF($B347&lt;=0,0,
MAX(-$B347, -(-PMT(InterestRate/PaymentsPerYear,LoanTerm*PaymentsPerYear,LoanAmount) + $E347))), 0), 2)</f>
        <v>0</v>
      </c>
      <c r="G347" s="5">
        <f t="shared" si="22"/>
        <v>0</v>
      </c>
      <c r="H347" s="5">
        <f t="shared" si="23"/>
        <v>0</v>
      </c>
    </row>
    <row r="348" spans="1:8" x14ac:dyDescent="0.2">
      <c r="A348" s="2">
        <v>347</v>
      </c>
      <c r="B348" s="5">
        <f t="shared" si="20"/>
        <v>0</v>
      </c>
      <c r="C348" s="5">
        <f t="shared" si="21"/>
        <v>0</v>
      </c>
      <c r="D348" s="5"/>
      <c r="E348" s="5">
        <f>IF($B348 &lt;= 0, 0, -ROUND($B348 * (InterestRate / PaymentsPerYear), 2))</f>
        <v>0</v>
      </c>
      <c r="F348" s="5">
        <f>ROUND(IFERROR(IF($B348&lt;=0,0,
MAX(-$B348, -(-PMT(InterestRate/PaymentsPerYear,LoanTerm*PaymentsPerYear,LoanAmount) + $E348))), 0), 2)</f>
        <v>0</v>
      </c>
      <c r="G348" s="5">
        <f t="shared" si="22"/>
        <v>0</v>
      </c>
      <c r="H348" s="5">
        <f t="shared" si="23"/>
        <v>0</v>
      </c>
    </row>
    <row r="349" spans="1:8" x14ac:dyDescent="0.2">
      <c r="A349" s="2">
        <v>348</v>
      </c>
      <c r="B349" s="5">
        <f t="shared" si="20"/>
        <v>0</v>
      </c>
      <c r="C349" s="5">
        <f t="shared" si="21"/>
        <v>0</v>
      </c>
      <c r="D349" s="5"/>
      <c r="E349" s="5">
        <f>IF($B349 &lt;= 0, 0, -ROUND($B349 * (InterestRate / PaymentsPerYear), 2))</f>
        <v>0</v>
      </c>
      <c r="F349" s="5">
        <f>ROUND(IFERROR(IF($B349&lt;=0,0,
MAX(-$B349, -(-PMT(InterestRate/PaymentsPerYear,LoanTerm*PaymentsPerYear,LoanAmount) + $E349))), 0), 2)</f>
        <v>0</v>
      </c>
      <c r="G349" s="5">
        <f t="shared" si="22"/>
        <v>0</v>
      </c>
      <c r="H349" s="5">
        <f t="shared" si="23"/>
        <v>0</v>
      </c>
    </row>
    <row r="350" spans="1:8" x14ac:dyDescent="0.2">
      <c r="A350" s="2">
        <v>349</v>
      </c>
      <c r="B350" s="5">
        <f t="shared" si="20"/>
        <v>0</v>
      </c>
      <c r="C350" s="5">
        <f t="shared" si="21"/>
        <v>0</v>
      </c>
      <c r="D350" s="5"/>
      <c r="E350" s="5">
        <f>IF($B350 &lt;= 0, 0, -ROUND($B350 * (InterestRate / PaymentsPerYear), 2))</f>
        <v>0</v>
      </c>
      <c r="F350" s="5">
        <f>ROUND(IFERROR(IF($B350&lt;=0,0,
MAX(-$B350, -(-PMT(InterestRate/PaymentsPerYear,LoanTerm*PaymentsPerYear,LoanAmount) + $E350))), 0), 2)</f>
        <v>0</v>
      </c>
      <c r="G350" s="5">
        <f t="shared" si="22"/>
        <v>0</v>
      </c>
      <c r="H350" s="5">
        <f t="shared" si="23"/>
        <v>0</v>
      </c>
    </row>
    <row r="351" spans="1:8" x14ac:dyDescent="0.2">
      <c r="A351" s="2">
        <v>350</v>
      </c>
      <c r="B351" s="5">
        <f t="shared" si="20"/>
        <v>0</v>
      </c>
      <c r="C351" s="5">
        <f t="shared" si="21"/>
        <v>0</v>
      </c>
      <c r="D351" s="5"/>
      <c r="E351" s="5">
        <f>IF($B351 &lt;= 0, 0, -ROUND($B351 * (InterestRate / PaymentsPerYear), 2))</f>
        <v>0</v>
      </c>
      <c r="F351" s="5">
        <f>ROUND(IFERROR(IF($B351&lt;=0,0,
MAX(-$B351, -(-PMT(InterestRate/PaymentsPerYear,LoanTerm*PaymentsPerYear,LoanAmount) + $E351))), 0), 2)</f>
        <v>0</v>
      </c>
      <c r="G351" s="5">
        <f t="shared" si="22"/>
        <v>0</v>
      </c>
      <c r="H351" s="5">
        <f t="shared" si="23"/>
        <v>0</v>
      </c>
    </row>
    <row r="352" spans="1:8" x14ac:dyDescent="0.2">
      <c r="A352" s="2">
        <v>351</v>
      </c>
      <c r="B352" s="5">
        <f t="shared" si="20"/>
        <v>0</v>
      </c>
      <c r="C352" s="5">
        <f t="shared" si="21"/>
        <v>0</v>
      </c>
      <c r="D352" s="5"/>
      <c r="E352" s="5">
        <f>IF($B352 &lt;= 0, 0, -ROUND($B352 * (InterestRate / PaymentsPerYear), 2))</f>
        <v>0</v>
      </c>
      <c r="F352" s="5">
        <f>ROUND(IFERROR(IF($B352&lt;=0,0,
MAX(-$B352, -(-PMT(InterestRate/PaymentsPerYear,LoanTerm*PaymentsPerYear,LoanAmount) + $E352))), 0), 2)</f>
        <v>0</v>
      </c>
      <c r="G352" s="5">
        <f t="shared" si="22"/>
        <v>0</v>
      </c>
      <c r="H352" s="5">
        <f t="shared" si="23"/>
        <v>0</v>
      </c>
    </row>
    <row r="353" spans="1:8" x14ac:dyDescent="0.2">
      <c r="A353" s="2">
        <v>352</v>
      </c>
      <c r="B353" s="5">
        <f t="shared" si="20"/>
        <v>0</v>
      </c>
      <c r="C353" s="5">
        <f t="shared" si="21"/>
        <v>0</v>
      </c>
      <c r="D353" s="5"/>
      <c r="E353" s="5">
        <f>IF($B353 &lt;= 0, 0, -ROUND($B353 * (InterestRate / PaymentsPerYear), 2))</f>
        <v>0</v>
      </c>
      <c r="F353" s="5">
        <f>ROUND(IFERROR(IF($B353&lt;=0,0,
MAX(-$B353, -(-PMT(InterestRate/PaymentsPerYear,LoanTerm*PaymentsPerYear,LoanAmount) + $E353))), 0), 2)</f>
        <v>0</v>
      </c>
      <c r="G353" s="5">
        <f t="shared" si="22"/>
        <v>0</v>
      </c>
      <c r="H353" s="5">
        <f t="shared" si="23"/>
        <v>0</v>
      </c>
    </row>
    <row r="354" spans="1:8" x14ac:dyDescent="0.2">
      <c r="A354" s="2">
        <v>353</v>
      </c>
      <c r="B354" s="5">
        <f t="shared" si="20"/>
        <v>0</v>
      </c>
      <c r="C354" s="5">
        <f t="shared" si="21"/>
        <v>0</v>
      </c>
      <c r="D354" s="5"/>
      <c r="E354" s="5">
        <f>IF($B354 &lt;= 0, 0, -ROUND($B354 * (InterestRate / PaymentsPerYear), 2))</f>
        <v>0</v>
      </c>
      <c r="F354" s="5">
        <f>ROUND(IFERROR(IF($B354&lt;=0,0,
MAX(-$B354, -(-PMT(InterestRate/PaymentsPerYear,LoanTerm*PaymentsPerYear,LoanAmount) + $E354))), 0), 2)</f>
        <v>0</v>
      </c>
      <c r="G354" s="5">
        <f t="shared" si="22"/>
        <v>0</v>
      </c>
      <c r="H354" s="5">
        <f t="shared" si="23"/>
        <v>0</v>
      </c>
    </row>
    <row r="355" spans="1:8" x14ac:dyDescent="0.2">
      <c r="A355" s="2">
        <v>354</v>
      </c>
      <c r="B355" s="5">
        <f t="shared" si="20"/>
        <v>0</v>
      </c>
      <c r="C355" s="5">
        <f t="shared" si="21"/>
        <v>0</v>
      </c>
      <c r="D355" s="5"/>
      <c r="E355" s="5">
        <f>IF($B355 &lt;= 0, 0, -ROUND($B355 * (InterestRate / PaymentsPerYear), 2))</f>
        <v>0</v>
      </c>
      <c r="F355" s="5">
        <f>ROUND(IFERROR(IF($B355&lt;=0,0,
MAX(-$B355, -(-PMT(InterestRate/PaymentsPerYear,LoanTerm*PaymentsPerYear,LoanAmount) + $E355))), 0), 2)</f>
        <v>0</v>
      </c>
      <c r="G355" s="5">
        <f t="shared" si="22"/>
        <v>0</v>
      </c>
      <c r="H355" s="5">
        <f t="shared" si="23"/>
        <v>0</v>
      </c>
    </row>
    <row r="356" spans="1:8" x14ac:dyDescent="0.2">
      <c r="A356" s="2">
        <v>355</v>
      </c>
      <c r="B356" s="5">
        <f t="shared" si="20"/>
        <v>0</v>
      </c>
      <c r="C356" s="5">
        <f t="shared" si="21"/>
        <v>0</v>
      </c>
      <c r="D356" s="5"/>
      <c r="E356" s="5">
        <f>IF($B356 &lt;= 0, 0, -ROUND($B356 * (InterestRate / PaymentsPerYear), 2))</f>
        <v>0</v>
      </c>
      <c r="F356" s="5">
        <f>ROUND(IFERROR(IF($B356&lt;=0,0,
MAX(-$B356, -(-PMT(InterestRate/PaymentsPerYear,LoanTerm*PaymentsPerYear,LoanAmount) + $E356))), 0), 2)</f>
        <v>0</v>
      </c>
      <c r="G356" s="5">
        <f t="shared" si="22"/>
        <v>0</v>
      </c>
      <c r="H356" s="5">
        <f t="shared" si="23"/>
        <v>0</v>
      </c>
    </row>
    <row r="357" spans="1:8" x14ac:dyDescent="0.2">
      <c r="A357" s="2">
        <v>356</v>
      </c>
      <c r="B357" s="5">
        <f t="shared" si="20"/>
        <v>0</v>
      </c>
      <c r="C357" s="5">
        <f t="shared" si="21"/>
        <v>0</v>
      </c>
      <c r="D357" s="5"/>
      <c r="E357" s="5">
        <f>IF($B357 &lt;= 0, 0, -ROUND($B357 * (InterestRate / PaymentsPerYear), 2))</f>
        <v>0</v>
      </c>
      <c r="F357" s="5">
        <f>ROUND(IFERROR(IF($B357&lt;=0,0,
MAX(-$B357, -(-PMT(InterestRate/PaymentsPerYear,LoanTerm*PaymentsPerYear,LoanAmount) + $E357))), 0), 2)</f>
        <v>0</v>
      </c>
      <c r="G357" s="5">
        <f t="shared" si="22"/>
        <v>0</v>
      </c>
      <c r="H357" s="5">
        <f t="shared" si="23"/>
        <v>0</v>
      </c>
    </row>
    <row r="358" spans="1:8" x14ac:dyDescent="0.2">
      <c r="A358" s="2">
        <v>357</v>
      </c>
      <c r="B358" s="5">
        <f t="shared" si="20"/>
        <v>0</v>
      </c>
      <c r="C358" s="5">
        <f t="shared" si="21"/>
        <v>0</v>
      </c>
      <c r="D358" s="5"/>
      <c r="E358" s="5">
        <f>IF($B358 &lt;= 0, 0, -ROUND($B358 * (InterestRate / PaymentsPerYear), 2))</f>
        <v>0</v>
      </c>
      <c r="F358" s="5">
        <f>ROUND(IFERROR(IF($B358&lt;=0,0,
MAX(-$B358, -(-PMT(InterestRate/PaymentsPerYear,LoanTerm*PaymentsPerYear,LoanAmount) + $E358))), 0), 2)</f>
        <v>0</v>
      </c>
      <c r="G358" s="5">
        <f t="shared" si="22"/>
        <v>0</v>
      </c>
      <c r="H358" s="5">
        <f t="shared" si="23"/>
        <v>0</v>
      </c>
    </row>
    <row r="359" spans="1:8" x14ac:dyDescent="0.2">
      <c r="A359" s="2">
        <v>358</v>
      </c>
      <c r="B359" s="5">
        <f t="shared" si="20"/>
        <v>0</v>
      </c>
      <c r="C359" s="5">
        <f t="shared" si="21"/>
        <v>0</v>
      </c>
      <c r="D359" s="5"/>
      <c r="E359" s="5">
        <f>IF($B359 &lt;= 0, 0, -ROUND($B359 * (InterestRate / PaymentsPerYear), 2))</f>
        <v>0</v>
      </c>
      <c r="F359" s="5">
        <f>ROUND(IFERROR(IF($B359&lt;=0,0,
MAX(-$B359, -(-PMT(InterestRate/PaymentsPerYear,LoanTerm*PaymentsPerYear,LoanAmount) + $E359))), 0), 2)</f>
        <v>0</v>
      </c>
      <c r="G359" s="5">
        <f t="shared" si="22"/>
        <v>0</v>
      </c>
      <c r="H359" s="5">
        <f t="shared" si="23"/>
        <v>0</v>
      </c>
    </row>
    <row r="360" spans="1:8" x14ac:dyDescent="0.2">
      <c r="A360" s="2">
        <v>359</v>
      </c>
      <c r="B360" s="5">
        <f t="shared" si="20"/>
        <v>0</v>
      </c>
      <c r="C360" s="5">
        <f t="shared" si="21"/>
        <v>0</v>
      </c>
      <c r="D360" s="5"/>
      <c r="E360" s="5">
        <f>IF($B360 &lt;= 0, 0, -ROUND($B360 * (InterestRate / PaymentsPerYear), 2))</f>
        <v>0</v>
      </c>
      <c r="F360" s="5">
        <f>ROUND(IFERROR(IF($B360&lt;=0,0,
MAX(-$B360, -(-PMT(InterestRate/PaymentsPerYear,LoanTerm*PaymentsPerYear,LoanAmount) + $E360))), 0), 2)</f>
        <v>0</v>
      </c>
      <c r="G360" s="5">
        <f t="shared" si="22"/>
        <v>0</v>
      </c>
      <c r="H360" s="5">
        <f t="shared" si="23"/>
        <v>0</v>
      </c>
    </row>
    <row r="361" spans="1:8" x14ac:dyDescent="0.2">
      <c r="A361" s="2">
        <v>360</v>
      </c>
      <c r="B361" s="5">
        <f t="shared" si="20"/>
        <v>0</v>
      </c>
      <c r="C361" s="5">
        <f t="shared" si="21"/>
        <v>0</v>
      </c>
      <c r="D361" s="5"/>
      <c r="E361" s="5">
        <f>IF($B361 &lt;= 0, 0, -ROUND($B361 * (InterestRate / PaymentsPerYear), 2))</f>
        <v>0</v>
      </c>
      <c r="F361" s="5">
        <f>ROUND(IFERROR(IF($B361&lt;=0,0,
MAX(-$B361, -(-PMT(InterestRate/PaymentsPerYear,LoanTerm*PaymentsPerYear,LoanAmount) + $E361))), 0), 2)</f>
        <v>0</v>
      </c>
      <c r="G361" s="5">
        <f t="shared" si="22"/>
        <v>0</v>
      </c>
      <c r="H361" s="5">
        <f t="shared" si="23"/>
        <v>0</v>
      </c>
    </row>
    <row r="362" spans="1:8" x14ac:dyDescent="0.2">
      <c r="A362" s="2">
        <v>361</v>
      </c>
      <c r="B362" s="5">
        <f t="shared" si="20"/>
        <v>0</v>
      </c>
      <c r="C362" s="5">
        <f t="shared" si="21"/>
        <v>0</v>
      </c>
      <c r="D362" s="5"/>
      <c r="E362" s="5">
        <f>IF($B362 &lt;= 0, 0, -ROUND($B362 * (InterestRate / PaymentsPerYear), 2))</f>
        <v>0</v>
      </c>
      <c r="F362" s="5">
        <f>ROUND(IFERROR(IF($B362&lt;=0,0,
MAX(-$B362, -(-PMT(InterestRate/PaymentsPerYear,LoanTerm*PaymentsPerYear,LoanAmount) + $E362))), 0), 2)</f>
        <v>0</v>
      </c>
      <c r="G362" s="5">
        <f t="shared" si="22"/>
        <v>0</v>
      </c>
      <c r="H362" s="5">
        <f t="shared" si="23"/>
        <v>0</v>
      </c>
    </row>
    <row r="363" spans="1:8" x14ac:dyDescent="0.2">
      <c r="A363" s="2">
        <v>362</v>
      </c>
      <c r="B363" s="5">
        <f t="shared" si="20"/>
        <v>0</v>
      </c>
      <c r="C363" s="5">
        <f t="shared" si="21"/>
        <v>0</v>
      </c>
      <c r="D363" s="5"/>
      <c r="E363" s="5">
        <f>IF($B363 &lt;= 0, 0, -ROUND($B363 * (InterestRate / PaymentsPerYear), 2))</f>
        <v>0</v>
      </c>
      <c r="F363" s="5">
        <f>ROUND(IFERROR(IF($B363&lt;=0,0,
MAX(-$B363, -(-PMT(InterestRate/PaymentsPerYear,LoanTerm*PaymentsPerYear,LoanAmount) + $E363))), 0), 2)</f>
        <v>0</v>
      </c>
      <c r="G363" s="5">
        <f t="shared" si="22"/>
        <v>0</v>
      </c>
      <c r="H363" s="5">
        <f t="shared" si="23"/>
        <v>0</v>
      </c>
    </row>
    <row r="364" spans="1:8" x14ac:dyDescent="0.2">
      <c r="A364" s="2">
        <v>363</v>
      </c>
      <c r="B364" s="5">
        <f t="shared" si="20"/>
        <v>0</v>
      </c>
      <c r="C364" s="5">
        <f t="shared" si="21"/>
        <v>0</v>
      </c>
      <c r="D364" s="5"/>
      <c r="E364" s="5">
        <f>IF($B364 &lt;= 0, 0, -ROUND($B364 * (InterestRate / PaymentsPerYear), 2))</f>
        <v>0</v>
      </c>
      <c r="F364" s="5">
        <f>ROUND(IFERROR(IF($B364&lt;=0,0,
MAX(-$B364, -(-PMT(InterestRate/PaymentsPerYear,LoanTerm*PaymentsPerYear,LoanAmount) + $E364))), 0), 2)</f>
        <v>0</v>
      </c>
      <c r="G364" s="5">
        <f t="shared" si="22"/>
        <v>0</v>
      </c>
      <c r="H364" s="5">
        <f t="shared" si="23"/>
        <v>0</v>
      </c>
    </row>
    <row r="365" spans="1:8" x14ac:dyDescent="0.2">
      <c r="A365" s="2">
        <v>364</v>
      </c>
      <c r="B365" s="5">
        <f t="shared" si="20"/>
        <v>0</v>
      </c>
      <c r="C365" s="5">
        <f t="shared" si="21"/>
        <v>0</v>
      </c>
      <c r="D365" s="5"/>
      <c r="E365" s="5">
        <f>IF($B365 &lt;= 0, 0, -ROUND($B365 * (InterestRate / PaymentsPerYear), 2))</f>
        <v>0</v>
      </c>
      <c r="F365" s="5">
        <f>ROUND(IFERROR(IF($B365&lt;=0,0,
MAX(-$B365, -(-PMT(InterestRate/PaymentsPerYear,LoanTerm*PaymentsPerYear,LoanAmount) + $E365))), 0), 2)</f>
        <v>0</v>
      </c>
      <c r="G365" s="5">
        <f t="shared" si="22"/>
        <v>0</v>
      </c>
      <c r="H365" s="5">
        <f t="shared" si="23"/>
        <v>0</v>
      </c>
    </row>
    <row r="366" spans="1:8" x14ac:dyDescent="0.2">
      <c r="A366" s="2">
        <v>365</v>
      </c>
      <c r="B366" s="5">
        <f t="shared" si="20"/>
        <v>0</v>
      </c>
      <c r="C366" s="5">
        <f t="shared" si="21"/>
        <v>0</v>
      </c>
      <c r="D366" s="5"/>
      <c r="E366" s="5">
        <f>IF($B366 &lt;= 0, 0, -ROUND($B366 * (InterestRate / PaymentsPerYear), 2))</f>
        <v>0</v>
      </c>
      <c r="F366" s="5">
        <f>ROUND(IFERROR(IF($B366&lt;=0,0,
MAX(-$B366, -(-PMT(InterestRate/PaymentsPerYear,LoanTerm*PaymentsPerYear,LoanAmount) + $E366))), 0), 2)</f>
        <v>0</v>
      </c>
      <c r="G366" s="5">
        <f t="shared" si="22"/>
        <v>0</v>
      </c>
      <c r="H366" s="5">
        <f t="shared" si="23"/>
        <v>0</v>
      </c>
    </row>
    <row r="367" spans="1:8" x14ac:dyDescent="0.2">
      <c r="A367" s="2">
        <v>366</v>
      </c>
      <c r="B367" s="5">
        <f t="shared" si="20"/>
        <v>0</v>
      </c>
      <c r="C367" s="5">
        <f t="shared" si="21"/>
        <v>0</v>
      </c>
      <c r="D367" s="5"/>
      <c r="E367" s="5">
        <f>IF($B367 &lt;= 0, 0, -ROUND($B367 * (InterestRate / PaymentsPerYear), 2))</f>
        <v>0</v>
      </c>
      <c r="F367" s="5">
        <f>ROUND(IFERROR(IF($B367&lt;=0,0,
MAX(-$B367, -(-PMT(InterestRate/PaymentsPerYear,LoanTerm*PaymentsPerYear,LoanAmount) + $E367))), 0), 2)</f>
        <v>0</v>
      </c>
      <c r="G367" s="5">
        <f t="shared" si="22"/>
        <v>0</v>
      </c>
      <c r="H367" s="5">
        <f t="shared" si="23"/>
        <v>0</v>
      </c>
    </row>
    <row r="368" spans="1:8" x14ac:dyDescent="0.2">
      <c r="A368" s="2">
        <v>367</v>
      </c>
      <c r="B368" s="5">
        <f t="shared" si="20"/>
        <v>0</v>
      </c>
      <c r="C368" s="5">
        <f t="shared" si="21"/>
        <v>0</v>
      </c>
      <c r="D368" s="5"/>
      <c r="E368" s="5">
        <f>IF($B368 &lt;= 0, 0, -ROUND($B368 * (InterestRate / PaymentsPerYear), 2))</f>
        <v>0</v>
      </c>
      <c r="F368" s="5">
        <f>ROUND(IFERROR(IF($B368&lt;=0,0,
MAX(-$B368, -(-PMT(InterestRate/PaymentsPerYear,LoanTerm*PaymentsPerYear,LoanAmount) + $E368))), 0), 2)</f>
        <v>0</v>
      </c>
      <c r="G368" s="5">
        <f t="shared" si="22"/>
        <v>0</v>
      </c>
      <c r="H368" s="5">
        <f t="shared" si="23"/>
        <v>0</v>
      </c>
    </row>
    <row r="369" spans="1:8" x14ac:dyDescent="0.2">
      <c r="A369" s="2">
        <v>368</v>
      </c>
      <c r="B369" s="5">
        <f t="shared" si="20"/>
        <v>0</v>
      </c>
      <c r="C369" s="5">
        <f t="shared" si="21"/>
        <v>0</v>
      </c>
      <c r="D369" s="5"/>
      <c r="E369" s="5">
        <f>IF($B369 &lt;= 0, 0, -ROUND($B369 * (InterestRate / PaymentsPerYear), 2))</f>
        <v>0</v>
      </c>
      <c r="F369" s="5">
        <f>ROUND(IFERROR(IF($B369&lt;=0,0,
MAX(-$B369, -(-PMT(InterestRate/PaymentsPerYear,LoanTerm*PaymentsPerYear,LoanAmount) + $E369))), 0), 2)</f>
        <v>0</v>
      </c>
      <c r="G369" s="5">
        <f t="shared" si="22"/>
        <v>0</v>
      </c>
      <c r="H369" s="5">
        <f t="shared" si="23"/>
        <v>0</v>
      </c>
    </row>
    <row r="370" spans="1:8" x14ac:dyDescent="0.2">
      <c r="A370" s="2">
        <v>369</v>
      </c>
      <c r="B370" s="5">
        <f t="shared" si="20"/>
        <v>0</v>
      </c>
      <c r="C370" s="5">
        <f t="shared" si="21"/>
        <v>0</v>
      </c>
      <c r="D370" s="5"/>
      <c r="E370" s="5">
        <f>IF($B370 &lt;= 0, 0, -ROUND($B370 * (InterestRate / PaymentsPerYear), 2))</f>
        <v>0</v>
      </c>
      <c r="F370" s="5">
        <f>ROUND(IFERROR(IF($B370&lt;=0,0,
MAX(-$B370, -(-PMT(InterestRate/PaymentsPerYear,LoanTerm*PaymentsPerYear,LoanAmount) + $E370))), 0), 2)</f>
        <v>0</v>
      </c>
      <c r="G370" s="5">
        <f t="shared" si="22"/>
        <v>0</v>
      </c>
      <c r="H370" s="5">
        <f t="shared" si="23"/>
        <v>0</v>
      </c>
    </row>
    <row r="371" spans="1:8" x14ac:dyDescent="0.2">
      <c r="A371" s="2">
        <v>370</v>
      </c>
      <c r="B371" s="5">
        <f t="shared" si="20"/>
        <v>0</v>
      </c>
      <c r="C371" s="5">
        <f t="shared" si="21"/>
        <v>0</v>
      </c>
      <c r="D371" s="5"/>
      <c r="E371" s="5">
        <f>IF($B371 &lt;= 0, 0, -ROUND($B371 * (InterestRate / PaymentsPerYear), 2))</f>
        <v>0</v>
      </c>
      <c r="F371" s="5">
        <f>ROUND(IFERROR(IF($B371&lt;=0,0,
MAX(-$B371, -(-PMT(InterestRate/PaymentsPerYear,LoanTerm*PaymentsPerYear,LoanAmount) + $E371))), 0), 2)</f>
        <v>0</v>
      </c>
      <c r="G371" s="5">
        <f t="shared" si="22"/>
        <v>0</v>
      </c>
      <c r="H371" s="5">
        <f t="shared" si="23"/>
        <v>0</v>
      </c>
    </row>
    <row r="372" spans="1:8" x14ac:dyDescent="0.2">
      <c r="A372" s="2">
        <v>371</v>
      </c>
      <c r="B372" s="5">
        <f t="shared" si="20"/>
        <v>0</v>
      </c>
      <c r="C372" s="5">
        <f t="shared" si="21"/>
        <v>0</v>
      </c>
      <c r="D372" s="5"/>
      <c r="E372" s="5">
        <f>IF($B372 &lt;= 0, 0, -ROUND($B372 * (InterestRate / PaymentsPerYear), 2))</f>
        <v>0</v>
      </c>
      <c r="F372" s="5">
        <f>ROUND(IFERROR(IF($B372&lt;=0,0,
MAX(-$B372, -(-PMT(InterestRate/PaymentsPerYear,LoanTerm*PaymentsPerYear,LoanAmount) + $E372))), 0), 2)</f>
        <v>0</v>
      </c>
      <c r="G372" s="5">
        <f t="shared" si="22"/>
        <v>0</v>
      </c>
      <c r="H372" s="5">
        <f t="shared" si="23"/>
        <v>0</v>
      </c>
    </row>
    <row r="373" spans="1:8" x14ac:dyDescent="0.2">
      <c r="A373" s="2">
        <v>372</v>
      </c>
      <c r="B373" s="5">
        <f t="shared" si="20"/>
        <v>0</v>
      </c>
      <c r="C373" s="5">
        <f t="shared" si="21"/>
        <v>0</v>
      </c>
      <c r="D373" s="5"/>
      <c r="E373" s="5">
        <f>IF($B373 &lt;= 0, 0, -ROUND($B373 * (InterestRate / PaymentsPerYear), 2))</f>
        <v>0</v>
      </c>
      <c r="F373" s="5">
        <f>ROUND(IFERROR(IF($B373&lt;=0,0,
MAX(-$B373, -(-PMT(InterestRate/PaymentsPerYear,LoanTerm*PaymentsPerYear,LoanAmount) + $E373))), 0), 2)</f>
        <v>0</v>
      </c>
      <c r="G373" s="5">
        <f t="shared" si="22"/>
        <v>0</v>
      </c>
      <c r="H373" s="5">
        <f t="shared" si="23"/>
        <v>0</v>
      </c>
    </row>
    <row r="374" spans="1:8" x14ac:dyDescent="0.2">
      <c r="A374" s="2">
        <v>373</v>
      </c>
      <c r="B374" s="5">
        <f t="shared" si="20"/>
        <v>0</v>
      </c>
      <c r="C374" s="5">
        <f t="shared" si="21"/>
        <v>0</v>
      </c>
      <c r="D374" s="5"/>
      <c r="E374" s="5">
        <f>IF($B374 &lt;= 0, 0, -ROUND($B374 * (InterestRate / PaymentsPerYear), 2))</f>
        <v>0</v>
      </c>
      <c r="F374" s="5">
        <f>ROUND(IFERROR(IF($B374&lt;=0,0,
MAX(-$B374, -(-PMT(InterestRate/PaymentsPerYear,LoanTerm*PaymentsPerYear,LoanAmount) + $E374))), 0), 2)</f>
        <v>0</v>
      </c>
      <c r="G374" s="5">
        <f t="shared" si="22"/>
        <v>0</v>
      </c>
      <c r="H374" s="5">
        <f t="shared" si="23"/>
        <v>0</v>
      </c>
    </row>
    <row r="375" spans="1:8" x14ac:dyDescent="0.2">
      <c r="A375" s="2">
        <v>374</v>
      </c>
      <c r="B375" s="5">
        <f t="shared" si="20"/>
        <v>0</v>
      </c>
      <c r="C375" s="5">
        <f t="shared" si="21"/>
        <v>0</v>
      </c>
      <c r="D375" s="5"/>
      <c r="E375" s="5">
        <f>IF($B375 &lt;= 0, 0, -ROUND($B375 * (InterestRate / PaymentsPerYear), 2))</f>
        <v>0</v>
      </c>
      <c r="F375" s="5">
        <f>ROUND(IFERROR(IF($B375&lt;=0,0,
MAX(-$B375, -(-PMT(InterestRate/PaymentsPerYear,LoanTerm*PaymentsPerYear,LoanAmount) + $E375))), 0), 2)</f>
        <v>0</v>
      </c>
      <c r="G375" s="5">
        <f t="shared" si="22"/>
        <v>0</v>
      </c>
      <c r="H375" s="5">
        <f t="shared" si="23"/>
        <v>0</v>
      </c>
    </row>
    <row r="376" spans="1:8" x14ac:dyDescent="0.2">
      <c r="A376" s="2">
        <v>375</v>
      </c>
      <c r="B376" s="5">
        <f t="shared" si="20"/>
        <v>0</v>
      </c>
      <c r="C376" s="5">
        <f t="shared" si="21"/>
        <v>0</v>
      </c>
      <c r="D376" s="5"/>
      <c r="E376" s="5">
        <f>IF($B376 &lt;= 0, 0, -ROUND($B376 * (InterestRate / PaymentsPerYear), 2))</f>
        <v>0</v>
      </c>
      <c r="F376" s="5">
        <f>ROUND(IFERROR(IF($B376&lt;=0,0,
MAX(-$B376, -(-PMT(InterestRate/PaymentsPerYear,LoanTerm*PaymentsPerYear,LoanAmount) + $E376))), 0), 2)</f>
        <v>0</v>
      </c>
      <c r="G376" s="5">
        <f t="shared" si="22"/>
        <v>0</v>
      </c>
      <c r="H376" s="5">
        <f t="shared" si="23"/>
        <v>0</v>
      </c>
    </row>
    <row r="377" spans="1:8" x14ac:dyDescent="0.2">
      <c r="A377" s="2">
        <v>376</v>
      </c>
      <c r="B377" s="5">
        <f t="shared" si="20"/>
        <v>0</v>
      </c>
      <c r="C377" s="5">
        <f t="shared" si="21"/>
        <v>0</v>
      </c>
      <c r="D377" s="5"/>
      <c r="E377" s="5">
        <f>IF($B377 &lt;= 0, 0, -ROUND($B377 * (InterestRate / PaymentsPerYear), 2))</f>
        <v>0</v>
      </c>
      <c r="F377" s="5">
        <f>ROUND(IFERROR(IF($B377&lt;=0,0,
MAX(-$B377, -(-PMT(InterestRate/PaymentsPerYear,LoanTerm*PaymentsPerYear,LoanAmount) + $E377))), 0), 2)</f>
        <v>0</v>
      </c>
      <c r="G377" s="5">
        <f t="shared" si="22"/>
        <v>0</v>
      </c>
      <c r="H377" s="5">
        <f t="shared" si="23"/>
        <v>0</v>
      </c>
    </row>
    <row r="378" spans="1:8" x14ac:dyDescent="0.2">
      <c r="A378" s="2">
        <v>377</v>
      </c>
      <c r="B378" s="5">
        <f t="shared" si="20"/>
        <v>0</v>
      </c>
      <c r="C378" s="5">
        <f t="shared" si="21"/>
        <v>0</v>
      </c>
      <c r="D378" s="5"/>
      <c r="E378" s="5">
        <f>IF($B378 &lt;= 0, 0, -ROUND($B378 * (InterestRate / PaymentsPerYear), 2))</f>
        <v>0</v>
      </c>
      <c r="F378" s="5">
        <f>ROUND(IFERROR(IF($B378&lt;=0,0,
MAX(-$B378, -(-PMT(InterestRate/PaymentsPerYear,LoanTerm*PaymentsPerYear,LoanAmount) + $E378))), 0), 2)</f>
        <v>0</v>
      </c>
      <c r="G378" s="5">
        <f t="shared" si="22"/>
        <v>0</v>
      </c>
      <c r="H378" s="5">
        <f t="shared" si="23"/>
        <v>0</v>
      </c>
    </row>
    <row r="379" spans="1:8" x14ac:dyDescent="0.2">
      <c r="A379" s="2">
        <v>378</v>
      </c>
      <c r="B379" s="5">
        <f t="shared" si="20"/>
        <v>0</v>
      </c>
      <c r="C379" s="5">
        <f t="shared" si="21"/>
        <v>0</v>
      </c>
      <c r="D379" s="5"/>
      <c r="E379" s="5">
        <f>IF($B379 &lt;= 0, 0, -ROUND($B379 * (InterestRate / PaymentsPerYear), 2))</f>
        <v>0</v>
      </c>
      <c r="F379" s="5">
        <f>ROUND(IFERROR(IF($B379&lt;=0,0,
MAX(-$B379, -(-PMT(InterestRate/PaymentsPerYear,LoanTerm*PaymentsPerYear,LoanAmount) + $E379))), 0), 2)</f>
        <v>0</v>
      </c>
      <c r="G379" s="5">
        <f t="shared" si="22"/>
        <v>0</v>
      </c>
      <c r="H379" s="5">
        <f t="shared" si="23"/>
        <v>0</v>
      </c>
    </row>
    <row r="380" spans="1:8" x14ac:dyDescent="0.2">
      <c r="A380" s="2">
        <v>379</v>
      </c>
      <c r="B380" s="5">
        <f t="shared" si="20"/>
        <v>0</v>
      </c>
      <c r="C380" s="5">
        <f t="shared" si="21"/>
        <v>0</v>
      </c>
      <c r="D380" s="5"/>
      <c r="E380" s="5">
        <f>IF($B380 &lt;= 0, 0, -ROUND($B380 * (InterestRate / PaymentsPerYear), 2))</f>
        <v>0</v>
      </c>
      <c r="F380" s="5">
        <f>ROUND(IFERROR(IF($B380&lt;=0,0,
MAX(-$B380, -(-PMT(InterestRate/PaymentsPerYear,LoanTerm*PaymentsPerYear,LoanAmount) + $E380))), 0), 2)</f>
        <v>0</v>
      </c>
      <c r="G380" s="5">
        <f t="shared" si="22"/>
        <v>0</v>
      </c>
      <c r="H380" s="5">
        <f t="shared" si="23"/>
        <v>0</v>
      </c>
    </row>
    <row r="381" spans="1:8" x14ac:dyDescent="0.2">
      <c r="A381" s="2">
        <v>380</v>
      </c>
      <c r="B381" s="5">
        <f t="shared" si="20"/>
        <v>0</v>
      </c>
      <c r="C381" s="5">
        <f t="shared" si="21"/>
        <v>0</v>
      </c>
      <c r="D381" s="5"/>
      <c r="E381" s="5">
        <f>IF($B381 &lt;= 0, 0, -ROUND($B381 * (InterestRate / PaymentsPerYear), 2))</f>
        <v>0</v>
      </c>
      <c r="F381" s="5">
        <f>ROUND(IFERROR(IF($B381&lt;=0,0,
MAX(-$B381, -(-PMT(InterestRate/PaymentsPerYear,LoanTerm*PaymentsPerYear,LoanAmount) + $E381))), 0), 2)</f>
        <v>0</v>
      </c>
      <c r="G381" s="5">
        <f t="shared" si="22"/>
        <v>0</v>
      </c>
      <c r="H381" s="5">
        <f t="shared" si="23"/>
        <v>0</v>
      </c>
    </row>
    <row r="382" spans="1:8" x14ac:dyDescent="0.2">
      <c r="A382" s="2">
        <v>381</v>
      </c>
      <c r="B382" s="5">
        <f t="shared" si="20"/>
        <v>0</v>
      </c>
      <c r="C382" s="5">
        <f t="shared" si="21"/>
        <v>0</v>
      </c>
      <c r="D382" s="5"/>
      <c r="E382" s="5">
        <f>IF($B382 &lt;= 0, 0, -ROUND($B382 * (InterestRate / PaymentsPerYear), 2))</f>
        <v>0</v>
      </c>
      <c r="F382" s="5">
        <f>ROUND(IFERROR(IF($B382&lt;=0,0,
MAX(-$B382, -(-PMT(InterestRate/PaymentsPerYear,LoanTerm*PaymentsPerYear,LoanAmount) + $E382))), 0), 2)</f>
        <v>0</v>
      </c>
      <c r="G382" s="5">
        <f t="shared" si="22"/>
        <v>0</v>
      </c>
      <c r="H382" s="5">
        <f t="shared" si="23"/>
        <v>0</v>
      </c>
    </row>
    <row r="383" spans="1:8" x14ac:dyDescent="0.2">
      <c r="A383" s="2">
        <v>382</v>
      </c>
      <c r="B383" s="5">
        <f t="shared" si="20"/>
        <v>0</v>
      </c>
      <c r="C383" s="5">
        <f t="shared" si="21"/>
        <v>0</v>
      </c>
      <c r="D383" s="5"/>
      <c r="E383" s="5">
        <f>IF($B383 &lt;= 0, 0, -ROUND($B383 * (InterestRate / PaymentsPerYear), 2))</f>
        <v>0</v>
      </c>
      <c r="F383" s="5">
        <f>ROUND(IFERROR(IF($B383&lt;=0,0,
MAX(-$B383, -(-PMT(InterestRate/PaymentsPerYear,LoanTerm*PaymentsPerYear,LoanAmount) + $E383))), 0), 2)</f>
        <v>0</v>
      </c>
      <c r="G383" s="5">
        <f t="shared" si="22"/>
        <v>0</v>
      </c>
      <c r="H383" s="5">
        <f t="shared" si="23"/>
        <v>0</v>
      </c>
    </row>
    <row r="384" spans="1:8" x14ac:dyDescent="0.2">
      <c r="A384" s="2">
        <v>383</v>
      </c>
      <c r="B384" s="5">
        <f t="shared" si="20"/>
        <v>0</v>
      </c>
      <c r="C384" s="5">
        <f t="shared" si="21"/>
        <v>0</v>
      </c>
      <c r="D384" s="5"/>
      <c r="E384" s="5">
        <f>IF($B384 &lt;= 0, 0, -ROUND($B384 * (InterestRate / PaymentsPerYear), 2))</f>
        <v>0</v>
      </c>
      <c r="F384" s="5">
        <f>ROUND(IFERROR(IF($B384&lt;=0,0,
MAX(-$B384, -(-PMT(InterestRate/PaymentsPerYear,LoanTerm*PaymentsPerYear,LoanAmount) + $E384))), 0), 2)</f>
        <v>0</v>
      </c>
      <c r="G384" s="5">
        <f t="shared" si="22"/>
        <v>0</v>
      </c>
      <c r="H384" s="5">
        <f t="shared" si="23"/>
        <v>0</v>
      </c>
    </row>
    <row r="385" spans="1:8" x14ac:dyDescent="0.2">
      <c r="A385" s="2">
        <v>384</v>
      </c>
      <c r="B385" s="5">
        <f t="shared" si="20"/>
        <v>0</v>
      </c>
      <c r="C385" s="5">
        <f t="shared" si="21"/>
        <v>0</v>
      </c>
      <c r="D385" s="5"/>
      <c r="E385" s="5">
        <f>IF($B385 &lt;= 0, 0, -ROUND($B385 * (InterestRate / PaymentsPerYear), 2))</f>
        <v>0</v>
      </c>
      <c r="F385" s="5">
        <f>ROUND(IFERROR(IF($B385&lt;=0,0,
MAX(-$B385, -(-PMT(InterestRate/PaymentsPerYear,LoanTerm*PaymentsPerYear,LoanAmount) + $E385))), 0), 2)</f>
        <v>0</v>
      </c>
      <c r="G385" s="5">
        <f t="shared" si="22"/>
        <v>0</v>
      </c>
      <c r="H385" s="5">
        <f t="shared" si="23"/>
        <v>0</v>
      </c>
    </row>
    <row r="386" spans="1:8" x14ac:dyDescent="0.2">
      <c r="A386" s="2">
        <v>385</v>
      </c>
      <c r="B386" s="5">
        <f t="shared" si="20"/>
        <v>0</v>
      </c>
      <c r="C386" s="5">
        <f t="shared" si="21"/>
        <v>0</v>
      </c>
      <c r="D386" s="5"/>
      <c r="E386" s="5">
        <f>IF($B386 &lt;= 0, 0, -ROUND($B386 * (InterestRate / PaymentsPerYear), 2))</f>
        <v>0</v>
      </c>
      <c r="F386" s="5">
        <f>ROUND(IFERROR(IF($B386&lt;=0,0,
MAX(-$B386, -(-PMT(InterestRate/PaymentsPerYear,LoanTerm*PaymentsPerYear,LoanAmount) + $E386))), 0), 2)</f>
        <v>0</v>
      </c>
      <c r="G386" s="5">
        <f t="shared" si="22"/>
        <v>0</v>
      </c>
      <c r="H386" s="5">
        <f t="shared" si="23"/>
        <v>0</v>
      </c>
    </row>
    <row r="387" spans="1:8" x14ac:dyDescent="0.2">
      <c r="A387" s="2">
        <v>386</v>
      </c>
      <c r="B387" s="5">
        <f t="shared" si="20"/>
        <v>0</v>
      </c>
      <c r="C387" s="5">
        <f t="shared" si="21"/>
        <v>0</v>
      </c>
      <c r="D387" s="5"/>
      <c r="E387" s="5">
        <f>IF($B387 &lt;= 0, 0, -ROUND($B387 * (InterestRate / PaymentsPerYear), 2))</f>
        <v>0</v>
      </c>
      <c r="F387" s="5">
        <f>ROUND(IFERROR(IF($B387&lt;=0,0,
MAX(-$B387, -(-PMT(InterestRate/PaymentsPerYear,LoanTerm*PaymentsPerYear,LoanAmount) + $E387))), 0), 2)</f>
        <v>0</v>
      </c>
      <c r="G387" s="5">
        <f t="shared" si="22"/>
        <v>0</v>
      </c>
      <c r="H387" s="5">
        <f t="shared" si="23"/>
        <v>0</v>
      </c>
    </row>
    <row r="388" spans="1:8" x14ac:dyDescent="0.2">
      <c r="A388" s="2">
        <v>387</v>
      </c>
      <c r="B388" s="5">
        <f t="shared" ref="B388:B451" si="24">ROUND(IF($H387 &gt;= 0, MAX($H387, $F387), 0), 2)</f>
        <v>0</v>
      </c>
      <c r="C388" s="5">
        <f t="shared" ref="C388:C451" si="25">IF($B388 &lt;= 0, 0, $E388+$F388)</f>
        <v>0</v>
      </c>
      <c r="D388" s="5"/>
      <c r="E388" s="5">
        <f>IF($B388 &lt;= 0, 0, -ROUND($B388 * (InterestRate / PaymentsPerYear), 2))</f>
        <v>0</v>
      </c>
      <c r="F388" s="5">
        <f>ROUND(IFERROR(IF($B388&lt;=0,0,
MAX(-$B388, -(-PMT(InterestRate/PaymentsPerYear,LoanTerm*PaymentsPerYear,LoanAmount) + $E388))), 0), 2)</f>
        <v>0</v>
      </c>
      <c r="G388" s="5">
        <f t="shared" ref="G388:G451" si="26">$F388</f>
        <v>0</v>
      </c>
      <c r="H388" s="5">
        <f t="shared" ref="H388:H451" si="27">ROUND(IF($B388 &lt;= 0, 0,MAX(0, $B388 + $G388)), 2)</f>
        <v>0</v>
      </c>
    </row>
    <row r="389" spans="1:8" x14ac:dyDescent="0.2">
      <c r="A389" s="2">
        <v>388</v>
      </c>
      <c r="B389" s="5">
        <f t="shared" si="24"/>
        <v>0</v>
      </c>
      <c r="C389" s="5">
        <f t="shared" si="25"/>
        <v>0</v>
      </c>
      <c r="D389" s="5"/>
      <c r="E389" s="5">
        <f>IF($B389 &lt;= 0, 0, -ROUND($B389 * (InterestRate / PaymentsPerYear), 2))</f>
        <v>0</v>
      </c>
      <c r="F389" s="5">
        <f>ROUND(IFERROR(IF($B389&lt;=0,0,
MAX(-$B389, -(-PMT(InterestRate/PaymentsPerYear,LoanTerm*PaymentsPerYear,LoanAmount) + $E389))), 0), 2)</f>
        <v>0</v>
      </c>
      <c r="G389" s="5">
        <f t="shared" si="26"/>
        <v>0</v>
      </c>
      <c r="H389" s="5">
        <f t="shared" si="27"/>
        <v>0</v>
      </c>
    </row>
    <row r="390" spans="1:8" x14ac:dyDescent="0.2">
      <c r="A390" s="2">
        <v>389</v>
      </c>
      <c r="B390" s="5">
        <f t="shared" si="24"/>
        <v>0</v>
      </c>
      <c r="C390" s="5">
        <f t="shared" si="25"/>
        <v>0</v>
      </c>
      <c r="D390" s="5"/>
      <c r="E390" s="5">
        <f>IF($B390 &lt;= 0, 0, -ROUND($B390 * (InterestRate / PaymentsPerYear), 2))</f>
        <v>0</v>
      </c>
      <c r="F390" s="5">
        <f>ROUND(IFERROR(IF($B390&lt;=0,0,
MAX(-$B390, -(-PMT(InterestRate/PaymentsPerYear,LoanTerm*PaymentsPerYear,LoanAmount) + $E390))), 0), 2)</f>
        <v>0</v>
      </c>
      <c r="G390" s="5">
        <f t="shared" si="26"/>
        <v>0</v>
      </c>
      <c r="H390" s="5">
        <f t="shared" si="27"/>
        <v>0</v>
      </c>
    </row>
    <row r="391" spans="1:8" x14ac:dyDescent="0.2">
      <c r="A391" s="2">
        <v>390</v>
      </c>
      <c r="B391" s="5">
        <f t="shared" si="24"/>
        <v>0</v>
      </c>
      <c r="C391" s="5">
        <f t="shared" si="25"/>
        <v>0</v>
      </c>
      <c r="D391" s="5"/>
      <c r="E391" s="5">
        <f>IF($B391 &lt;= 0, 0, -ROUND($B391 * (InterestRate / PaymentsPerYear), 2))</f>
        <v>0</v>
      </c>
      <c r="F391" s="5">
        <f>ROUND(IFERROR(IF($B391&lt;=0,0,
MAX(-$B391, -(-PMT(InterestRate/PaymentsPerYear,LoanTerm*PaymentsPerYear,LoanAmount) + $E391))), 0), 2)</f>
        <v>0</v>
      </c>
      <c r="G391" s="5">
        <f t="shared" si="26"/>
        <v>0</v>
      </c>
      <c r="H391" s="5">
        <f t="shared" si="27"/>
        <v>0</v>
      </c>
    </row>
    <row r="392" spans="1:8" x14ac:dyDescent="0.2">
      <c r="A392" s="2">
        <v>391</v>
      </c>
      <c r="B392" s="5">
        <f t="shared" si="24"/>
        <v>0</v>
      </c>
      <c r="C392" s="5">
        <f t="shared" si="25"/>
        <v>0</v>
      </c>
      <c r="D392" s="5"/>
      <c r="E392" s="5">
        <f>IF($B392 &lt;= 0, 0, -ROUND($B392 * (InterestRate / PaymentsPerYear), 2))</f>
        <v>0</v>
      </c>
      <c r="F392" s="5">
        <f>ROUND(IFERROR(IF($B392&lt;=0,0,
MAX(-$B392, -(-PMT(InterestRate/PaymentsPerYear,LoanTerm*PaymentsPerYear,LoanAmount) + $E392))), 0), 2)</f>
        <v>0</v>
      </c>
      <c r="G392" s="5">
        <f t="shared" si="26"/>
        <v>0</v>
      </c>
      <c r="H392" s="5">
        <f t="shared" si="27"/>
        <v>0</v>
      </c>
    </row>
    <row r="393" spans="1:8" x14ac:dyDescent="0.2">
      <c r="A393" s="2">
        <v>392</v>
      </c>
      <c r="B393" s="5">
        <f t="shared" si="24"/>
        <v>0</v>
      </c>
      <c r="C393" s="5">
        <f t="shared" si="25"/>
        <v>0</v>
      </c>
      <c r="D393" s="5"/>
      <c r="E393" s="5">
        <f>IF($B393 &lt;= 0, 0, -ROUND($B393 * (InterestRate / PaymentsPerYear), 2))</f>
        <v>0</v>
      </c>
      <c r="F393" s="5">
        <f>ROUND(IFERROR(IF($B393&lt;=0,0,
MAX(-$B393, -(-PMT(InterestRate/PaymentsPerYear,LoanTerm*PaymentsPerYear,LoanAmount) + $E393))), 0), 2)</f>
        <v>0</v>
      </c>
      <c r="G393" s="5">
        <f t="shared" si="26"/>
        <v>0</v>
      </c>
      <c r="H393" s="5">
        <f t="shared" si="27"/>
        <v>0</v>
      </c>
    </row>
    <row r="394" spans="1:8" x14ac:dyDescent="0.2">
      <c r="A394" s="2">
        <v>393</v>
      </c>
      <c r="B394" s="5">
        <f t="shared" si="24"/>
        <v>0</v>
      </c>
      <c r="C394" s="5">
        <f t="shared" si="25"/>
        <v>0</v>
      </c>
      <c r="D394" s="5"/>
      <c r="E394" s="5">
        <f>IF($B394 &lt;= 0, 0, -ROUND($B394 * (InterestRate / PaymentsPerYear), 2))</f>
        <v>0</v>
      </c>
      <c r="F394" s="5">
        <f>ROUND(IFERROR(IF($B394&lt;=0,0,
MAX(-$B394, -(-PMT(InterestRate/PaymentsPerYear,LoanTerm*PaymentsPerYear,LoanAmount) + $E394))), 0), 2)</f>
        <v>0</v>
      </c>
      <c r="G394" s="5">
        <f t="shared" si="26"/>
        <v>0</v>
      </c>
      <c r="H394" s="5">
        <f t="shared" si="27"/>
        <v>0</v>
      </c>
    </row>
    <row r="395" spans="1:8" x14ac:dyDescent="0.2">
      <c r="A395" s="2">
        <v>394</v>
      </c>
      <c r="B395" s="5">
        <f t="shared" si="24"/>
        <v>0</v>
      </c>
      <c r="C395" s="5">
        <f t="shared" si="25"/>
        <v>0</v>
      </c>
      <c r="D395" s="5"/>
      <c r="E395" s="5">
        <f>IF($B395 &lt;= 0, 0, -ROUND($B395 * (InterestRate / PaymentsPerYear), 2))</f>
        <v>0</v>
      </c>
      <c r="F395" s="5">
        <f>ROUND(IFERROR(IF($B395&lt;=0,0,
MAX(-$B395, -(-PMT(InterestRate/PaymentsPerYear,LoanTerm*PaymentsPerYear,LoanAmount) + $E395))), 0), 2)</f>
        <v>0</v>
      </c>
      <c r="G395" s="5">
        <f t="shared" si="26"/>
        <v>0</v>
      </c>
      <c r="H395" s="5">
        <f t="shared" si="27"/>
        <v>0</v>
      </c>
    </row>
    <row r="396" spans="1:8" x14ac:dyDescent="0.2">
      <c r="A396" s="2">
        <v>395</v>
      </c>
      <c r="B396" s="5">
        <f t="shared" si="24"/>
        <v>0</v>
      </c>
      <c r="C396" s="5">
        <f t="shared" si="25"/>
        <v>0</v>
      </c>
      <c r="D396" s="5"/>
      <c r="E396" s="5">
        <f>IF($B396 &lt;= 0, 0, -ROUND($B396 * (InterestRate / PaymentsPerYear), 2))</f>
        <v>0</v>
      </c>
      <c r="F396" s="5">
        <f>ROUND(IFERROR(IF($B396&lt;=0,0,
MAX(-$B396, -(-PMT(InterestRate/PaymentsPerYear,LoanTerm*PaymentsPerYear,LoanAmount) + $E396))), 0), 2)</f>
        <v>0</v>
      </c>
      <c r="G396" s="5">
        <f t="shared" si="26"/>
        <v>0</v>
      </c>
      <c r="H396" s="5">
        <f t="shared" si="27"/>
        <v>0</v>
      </c>
    </row>
    <row r="397" spans="1:8" x14ac:dyDescent="0.2">
      <c r="A397" s="2">
        <v>396</v>
      </c>
      <c r="B397" s="5">
        <f t="shared" si="24"/>
        <v>0</v>
      </c>
      <c r="C397" s="5">
        <f t="shared" si="25"/>
        <v>0</v>
      </c>
      <c r="D397" s="5"/>
      <c r="E397" s="5">
        <f>IF($B397 &lt;= 0, 0, -ROUND($B397 * (InterestRate / PaymentsPerYear), 2))</f>
        <v>0</v>
      </c>
      <c r="F397" s="5">
        <f>ROUND(IFERROR(IF($B397&lt;=0,0,
MAX(-$B397, -(-PMT(InterestRate/PaymentsPerYear,LoanTerm*PaymentsPerYear,LoanAmount) + $E397))), 0), 2)</f>
        <v>0</v>
      </c>
      <c r="G397" s="5">
        <f t="shared" si="26"/>
        <v>0</v>
      </c>
      <c r="H397" s="5">
        <f t="shared" si="27"/>
        <v>0</v>
      </c>
    </row>
    <row r="398" spans="1:8" x14ac:dyDescent="0.2">
      <c r="A398" s="2">
        <v>397</v>
      </c>
      <c r="B398" s="5">
        <f t="shared" si="24"/>
        <v>0</v>
      </c>
      <c r="C398" s="5">
        <f t="shared" si="25"/>
        <v>0</v>
      </c>
      <c r="D398" s="5"/>
      <c r="E398" s="5">
        <f>IF($B398 &lt;= 0, 0, -ROUND($B398 * (InterestRate / PaymentsPerYear), 2))</f>
        <v>0</v>
      </c>
      <c r="F398" s="5">
        <f>ROUND(IFERROR(IF($B398&lt;=0,0,
MAX(-$B398, -(-PMT(InterestRate/PaymentsPerYear,LoanTerm*PaymentsPerYear,LoanAmount) + $E398))), 0), 2)</f>
        <v>0</v>
      </c>
      <c r="G398" s="5">
        <f t="shared" si="26"/>
        <v>0</v>
      </c>
      <c r="H398" s="5">
        <f t="shared" si="27"/>
        <v>0</v>
      </c>
    </row>
    <row r="399" spans="1:8" x14ac:dyDescent="0.2">
      <c r="A399" s="2">
        <v>398</v>
      </c>
      <c r="B399" s="5">
        <f t="shared" si="24"/>
        <v>0</v>
      </c>
      <c r="C399" s="5">
        <f t="shared" si="25"/>
        <v>0</v>
      </c>
      <c r="D399" s="5"/>
      <c r="E399" s="5">
        <f>IF($B399 &lt;= 0, 0, -ROUND($B399 * (InterestRate / PaymentsPerYear), 2))</f>
        <v>0</v>
      </c>
      <c r="F399" s="5">
        <f>ROUND(IFERROR(IF($B399&lt;=0,0,
MAX(-$B399, -(-PMT(InterestRate/PaymentsPerYear,LoanTerm*PaymentsPerYear,LoanAmount) + $E399))), 0), 2)</f>
        <v>0</v>
      </c>
      <c r="G399" s="5">
        <f t="shared" si="26"/>
        <v>0</v>
      </c>
      <c r="H399" s="5">
        <f t="shared" si="27"/>
        <v>0</v>
      </c>
    </row>
    <row r="400" spans="1:8" x14ac:dyDescent="0.2">
      <c r="A400" s="2">
        <v>399</v>
      </c>
      <c r="B400" s="5">
        <f t="shared" si="24"/>
        <v>0</v>
      </c>
      <c r="C400" s="5">
        <f t="shared" si="25"/>
        <v>0</v>
      </c>
      <c r="D400" s="5"/>
      <c r="E400" s="5">
        <f>IF($B400 &lt;= 0, 0, -ROUND($B400 * (InterestRate / PaymentsPerYear), 2))</f>
        <v>0</v>
      </c>
      <c r="F400" s="5">
        <f>ROUND(IFERROR(IF($B400&lt;=0,0,
MAX(-$B400, -(-PMT(InterestRate/PaymentsPerYear,LoanTerm*PaymentsPerYear,LoanAmount) + $E400))), 0), 2)</f>
        <v>0</v>
      </c>
      <c r="G400" s="5">
        <f t="shared" si="26"/>
        <v>0</v>
      </c>
      <c r="H400" s="5">
        <f t="shared" si="27"/>
        <v>0</v>
      </c>
    </row>
    <row r="401" spans="1:8" x14ac:dyDescent="0.2">
      <c r="A401" s="2">
        <v>400</v>
      </c>
      <c r="B401" s="5">
        <f t="shared" si="24"/>
        <v>0</v>
      </c>
      <c r="C401" s="5">
        <f t="shared" si="25"/>
        <v>0</v>
      </c>
      <c r="D401" s="5"/>
      <c r="E401" s="5">
        <f>IF($B401 &lt;= 0, 0, -ROUND($B401 * (InterestRate / PaymentsPerYear), 2))</f>
        <v>0</v>
      </c>
      <c r="F401" s="5">
        <f>ROUND(IFERROR(IF($B401&lt;=0,0,
MAX(-$B401, -(-PMT(InterestRate/PaymentsPerYear,LoanTerm*PaymentsPerYear,LoanAmount) + $E401))), 0), 2)</f>
        <v>0</v>
      </c>
      <c r="G401" s="5">
        <f t="shared" si="26"/>
        <v>0</v>
      </c>
      <c r="H401" s="5">
        <f t="shared" si="27"/>
        <v>0</v>
      </c>
    </row>
    <row r="402" spans="1:8" x14ac:dyDescent="0.2">
      <c r="A402" s="2">
        <v>401</v>
      </c>
      <c r="B402" s="5">
        <f t="shared" si="24"/>
        <v>0</v>
      </c>
      <c r="C402" s="5">
        <f t="shared" si="25"/>
        <v>0</v>
      </c>
      <c r="D402" s="5"/>
      <c r="E402" s="5">
        <f>IF($B402 &lt;= 0, 0, -ROUND($B402 * (InterestRate / PaymentsPerYear), 2))</f>
        <v>0</v>
      </c>
      <c r="F402" s="5">
        <f>ROUND(IFERROR(IF($B402&lt;=0,0,
MAX(-$B402, -(-PMT(InterestRate/PaymentsPerYear,LoanTerm*PaymentsPerYear,LoanAmount) + $E402))), 0), 2)</f>
        <v>0</v>
      </c>
      <c r="G402" s="5">
        <f t="shared" si="26"/>
        <v>0</v>
      </c>
      <c r="H402" s="5">
        <f t="shared" si="27"/>
        <v>0</v>
      </c>
    </row>
    <row r="403" spans="1:8" x14ac:dyDescent="0.2">
      <c r="A403" s="2">
        <v>402</v>
      </c>
      <c r="B403" s="5">
        <f t="shared" si="24"/>
        <v>0</v>
      </c>
      <c r="C403" s="5">
        <f t="shared" si="25"/>
        <v>0</v>
      </c>
      <c r="D403" s="5"/>
      <c r="E403" s="5">
        <f>IF($B403 &lt;= 0, 0, -ROUND($B403 * (InterestRate / PaymentsPerYear), 2))</f>
        <v>0</v>
      </c>
      <c r="F403" s="5">
        <f>ROUND(IFERROR(IF($B403&lt;=0,0,
MAX(-$B403, -(-PMT(InterestRate/PaymentsPerYear,LoanTerm*PaymentsPerYear,LoanAmount) + $E403))), 0), 2)</f>
        <v>0</v>
      </c>
      <c r="G403" s="5">
        <f t="shared" si="26"/>
        <v>0</v>
      </c>
      <c r="H403" s="5">
        <f t="shared" si="27"/>
        <v>0</v>
      </c>
    </row>
    <row r="404" spans="1:8" x14ac:dyDescent="0.2">
      <c r="A404" s="2">
        <v>403</v>
      </c>
      <c r="B404" s="5">
        <f t="shared" si="24"/>
        <v>0</v>
      </c>
      <c r="C404" s="5">
        <f t="shared" si="25"/>
        <v>0</v>
      </c>
      <c r="D404" s="5"/>
      <c r="E404" s="5">
        <f>IF($B404 &lt;= 0, 0, -ROUND($B404 * (InterestRate / PaymentsPerYear), 2))</f>
        <v>0</v>
      </c>
      <c r="F404" s="5">
        <f>ROUND(IFERROR(IF($B404&lt;=0,0,
MAX(-$B404, -(-PMT(InterestRate/PaymentsPerYear,LoanTerm*PaymentsPerYear,LoanAmount) + $E404))), 0), 2)</f>
        <v>0</v>
      </c>
      <c r="G404" s="5">
        <f t="shared" si="26"/>
        <v>0</v>
      </c>
      <c r="H404" s="5">
        <f t="shared" si="27"/>
        <v>0</v>
      </c>
    </row>
    <row r="405" spans="1:8" x14ac:dyDescent="0.2">
      <c r="A405" s="2">
        <v>404</v>
      </c>
      <c r="B405" s="5">
        <f t="shared" si="24"/>
        <v>0</v>
      </c>
      <c r="C405" s="5">
        <f t="shared" si="25"/>
        <v>0</v>
      </c>
      <c r="D405" s="5"/>
      <c r="E405" s="5">
        <f>IF($B405 &lt;= 0, 0, -ROUND($B405 * (InterestRate / PaymentsPerYear), 2))</f>
        <v>0</v>
      </c>
      <c r="F405" s="5">
        <f>ROUND(IFERROR(IF($B405&lt;=0,0,
MAX(-$B405, -(-PMT(InterestRate/PaymentsPerYear,LoanTerm*PaymentsPerYear,LoanAmount) + $E405))), 0), 2)</f>
        <v>0</v>
      </c>
      <c r="G405" s="5">
        <f t="shared" si="26"/>
        <v>0</v>
      </c>
      <c r="H405" s="5">
        <f t="shared" si="27"/>
        <v>0</v>
      </c>
    </row>
    <row r="406" spans="1:8" x14ac:dyDescent="0.2">
      <c r="A406" s="2">
        <v>405</v>
      </c>
      <c r="B406" s="5">
        <f t="shared" si="24"/>
        <v>0</v>
      </c>
      <c r="C406" s="5">
        <f t="shared" si="25"/>
        <v>0</v>
      </c>
      <c r="D406" s="5"/>
      <c r="E406" s="5">
        <f>IF($B406 &lt;= 0, 0, -ROUND($B406 * (InterestRate / PaymentsPerYear), 2))</f>
        <v>0</v>
      </c>
      <c r="F406" s="5">
        <f>ROUND(IFERROR(IF($B406&lt;=0,0,
MAX(-$B406, -(-PMT(InterestRate/PaymentsPerYear,LoanTerm*PaymentsPerYear,LoanAmount) + $E406))), 0), 2)</f>
        <v>0</v>
      </c>
      <c r="G406" s="5">
        <f t="shared" si="26"/>
        <v>0</v>
      </c>
      <c r="H406" s="5">
        <f t="shared" si="27"/>
        <v>0</v>
      </c>
    </row>
    <row r="407" spans="1:8" x14ac:dyDescent="0.2">
      <c r="A407" s="2">
        <v>406</v>
      </c>
      <c r="B407" s="5">
        <f t="shared" si="24"/>
        <v>0</v>
      </c>
      <c r="C407" s="5">
        <f t="shared" si="25"/>
        <v>0</v>
      </c>
      <c r="D407" s="5"/>
      <c r="E407" s="5">
        <f>IF($B407 &lt;= 0, 0, -ROUND($B407 * (InterestRate / PaymentsPerYear), 2))</f>
        <v>0</v>
      </c>
      <c r="F407" s="5">
        <f>ROUND(IFERROR(IF($B407&lt;=0,0,
MAX(-$B407, -(-PMT(InterestRate/PaymentsPerYear,LoanTerm*PaymentsPerYear,LoanAmount) + $E407))), 0), 2)</f>
        <v>0</v>
      </c>
      <c r="G407" s="5">
        <f t="shared" si="26"/>
        <v>0</v>
      </c>
      <c r="H407" s="5">
        <f t="shared" si="27"/>
        <v>0</v>
      </c>
    </row>
    <row r="408" spans="1:8" x14ac:dyDescent="0.2">
      <c r="A408" s="2">
        <v>407</v>
      </c>
      <c r="B408" s="5">
        <f t="shared" si="24"/>
        <v>0</v>
      </c>
      <c r="C408" s="5">
        <f t="shared" si="25"/>
        <v>0</v>
      </c>
      <c r="D408" s="5"/>
      <c r="E408" s="5">
        <f>IF($B408 &lt;= 0, 0, -ROUND($B408 * (InterestRate / PaymentsPerYear), 2))</f>
        <v>0</v>
      </c>
      <c r="F408" s="5">
        <f>ROUND(IFERROR(IF($B408&lt;=0,0,
MAX(-$B408, -(-PMT(InterestRate/PaymentsPerYear,LoanTerm*PaymentsPerYear,LoanAmount) + $E408))), 0), 2)</f>
        <v>0</v>
      </c>
      <c r="G408" s="5">
        <f t="shared" si="26"/>
        <v>0</v>
      </c>
      <c r="H408" s="5">
        <f t="shared" si="27"/>
        <v>0</v>
      </c>
    </row>
    <row r="409" spans="1:8" x14ac:dyDescent="0.2">
      <c r="A409" s="2">
        <v>408</v>
      </c>
      <c r="B409" s="5">
        <f t="shared" si="24"/>
        <v>0</v>
      </c>
      <c r="C409" s="5">
        <f t="shared" si="25"/>
        <v>0</v>
      </c>
      <c r="D409" s="5"/>
      <c r="E409" s="5">
        <f>IF($B409 &lt;= 0, 0, -ROUND($B409 * (InterestRate / PaymentsPerYear), 2))</f>
        <v>0</v>
      </c>
      <c r="F409" s="5">
        <f>ROUND(IFERROR(IF($B409&lt;=0,0,
MAX(-$B409, -(-PMT(InterestRate/PaymentsPerYear,LoanTerm*PaymentsPerYear,LoanAmount) + $E409))), 0), 2)</f>
        <v>0</v>
      </c>
      <c r="G409" s="5">
        <f t="shared" si="26"/>
        <v>0</v>
      </c>
      <c r="H409" s="5">
        <f t="shared" si="27"/>
        <v>0</v>
      </c>
    </row>
    <row r="410" spans="1:8" x14ac:dyDescent="0.2">
      <c r="A410" s="2">
        <v>409</v>
      </c>
      <c r="B410" s="5">
        <f t="shared" si="24"/>
        <v>0</v>
      </c>
      <c r="C410" s="5">
        <f t="shared" si="25"/>
        <v>0</v>
      </c>
      <c r="D410" s="5"/>
      <c r="E410" s="5">
        <f>IF($B410 &lt;= 0, 0, -ROUND($B410 * (InterestRate / PaymentsPerYear), 2))</f>
        <v>0</v>
      </c>
      <c r="F410" s="5">
        <f>ROUND(IFERROR(IF($B410&lt;=0,0,
MAX(-$B410, -(-PMT(InterestRate/PaymentsPerYear,LoanTerm*PaymentsPerYear,LoanAmount) + $E410))), 0), 2)</f>
        <v>0</v>
      </c>
      <c r="G410" s="5">
        <f t="shared" si="26"/>
        <v>0</v>
      </c>
      <c r="H410" s="5">
        <f t="shared" si="27"/>
        <v>0</v>
      </c>
    </row>
    <row r="411" spans="1:8" x14ac:dyDescent="0.2">
      <c r="A411" s="2">
        <v>410</v>
      </c>
      <c r="B411" s="5">
        <f t="shared" si="24"/>
        <v>0</v>
      </c>
      <c r="C411" s="5">
        <f t="shared" si="25"/>
        <v>0</v>
      </c>
      <c r="D411" s="5"/>
      <c r="E411" s="5">
        <f>IF($B411 &lt;= 0, 0, -ROUND($B411 * (InterestRate / PaymentsPerYear), 2))</f>
        <v>0</v>
      </c>
      <c r="F411" s="5">
        <f>ROUND(IFERROR(IF($B411&lt;=0,0,
MAX(-$B411, -(-PMT(InterestRate/PaymentsPerYear,LoanTerm*PaymentsPerYear,LoanAmount) + $E411))), 0), 2)</f>
        <v>0</v>
      </c>
      <c r="G411" s="5">
        <f t="shared" si="26"/>
        <v>0</v>
      </c>
      <c r="H411" s="5">
        <f t="shared" si="27"/>
        <v>0</v>
      </c>
    </row>
    <row r="412" spans="1:8" x14ac:dyDescent="0.2">
      <c r="A412" s="2">
        <v>411</v>
      </c>
      <c r="B412" s="5">
        <f t="shared" si="24"/>
        <v>0</v>
      </c>
      <c r="C412" s="5">
        <f t="shared" si="25"/>
        <v>0</v>
      </c>
      <c r="D412" s="5"/>
      <c r="E412" s="5">
        <f>IF($B412 &lt;= 0, 0, -ROUND($B412 * (InterestRate / PaymentsPerYear), 2))</f>
        <v>0</v>
      </c>
      <c r="F412" s="5">
        <f>ROUND(IFERROR(IF($B412&lt;=0,0,
MAX(-$B412, -(-PMT(InterestRate/PaymentsPerYear,LoanTerm*PaymentsPerYear,LoanAmount) + $E412))), 0), 2)</f>
        <v>0</v>
      </c>
      <c r="G412" s="5">
        <f t="shared" si="26"/>
        <v>0</v>
      </c>
      <c r="H412" s="5">
        <f t="shared" si="27"/>
        <v>0</v>
      </c>
    </row>
    <row r="413" spans="1:8" x14ac:dyDescent="0.2">
      <c r="A413" s="2">
        <v>412</v>
      </c>
      <c r="B413" s="5">
        <f t="shared" si="24"/>
        <v>0</v>
      </c>
      <c r="C413" s="5">
        <f t="shared" si="25"/>
        <v>0</v>
      </c>
      <c r="D413" s="5"/>
      <c r="E413" s="5">
        <f>IF($B413 &lt;= 0, 0, -ROUND($B413 * (InterestRate / PaymentsPerYear), 2))</f>
        <v>0</v>
      </c>
      <c r="F413" s="5">
        <f>ROUND(IFERROR(IF($B413&lt;=0,0,
MAX(-$B413, -(-PMT(InterestRate/PaymentsPerYear,LoanTerm*PaymentsPerYear,LoanAmount) + $E413))), 0), 2)</f>
        <v>0</v>
      </c>
      <c r="G413" s="5">
        <f t="shared" si="26"/>
        <v>0</v>
      </c>
      <c r="H413" s="5">
        <f t="shared" si="27"/>
        <v>0</v>
      </c>
    </row>
    <row r="414" spans="1:8" x14ac:dyDescent="0.2">
      <c r="A414" s="2">
        <v>413</v>
      </c>
      <c r="B414" s="5">
        <f t="shared" si="24"/>
        <v>0</v>
      </c>
      <c r="C414" s="5">
        <f t="shared" si="25"/>
        <v>0</v>
      </c>
      <c r="D414" s="5"/>
      <c r="E414" s="5">
        <f>IF($B414 &lt;= 0, 0, -ROUND($B414 * (InterestRate / PaymentsPerYear), 2))</f>
        <v>0</v>
      </c>
      <c r="F414" s="5">
        <f>ROUND(IFERROR(IF($B414&lt;=0,0,
MAX(-$B414, -(-PMT(InterestRate/PaymentsPerYear,LoanTerm*PaymentsPerYear,LoanAmount) + $E414))), 0), 2)</f>
        <v>0</v>
      </c>
      <c r="G414" s="5">
        <f t="shared" si="26"/>
        <v>0</v>
      </c>
      <c r="H414" s="5">
        <f t="shared" si="27"/>
        <v>0</v>
      </c>
    </row>
    <row r="415" spans="1:8" x14ac:dyDescent="0.2">
      <c r="A415" s="2">
        <v>414</v>
      </c>
      <c r="B415" s="5">
        <f t="shared" si="24"/>
        <v>0</v>
      </c>
      <c r="C415" s="5">
        <f t="shared" si="25"/>
        <v>0</v>
      </c>
      <c r="D415" s="5"/>
      <c r="E415" s="5">
        <f>IF($B415 &lt;= 0, 0, -ROUND($B415 * (InterestRate / PaymentsPerYear), 2))</f>
        <v>0</v>
      </c>
      <c r="F415" s="5">
        <f>ROUND(IFERROR(IF($B415&lt;=0,0,
MAX(-$B415, -(-PMT(InterestRate/PaymentsPerYear,LoanTerm*PaymentsPerYear,LoanAmount) + $E415))), 0), 2)</f>
        <v>0</v>
      </c>
      <c r="G415" s="5">
        <f t="shared" si="26"/>
        <v>0</v>
      </c>
      <c r="H415" s="5">
        <f t="shared" si="27"/>
        <v>0</v>
      </c>
    </row>
    <row r="416" spans="1:8" x14ac:dyDescent="0.2">
      <c r="A416" s="2">
        <v>415</v>
      </c>
      <c r="B416" s="5">
        <f t="shared" si="24"/>
        <v>0</v>
      </c>
      <c r="C416" s="5">
        <f t="shared" si="25"/>
        <v>0</v>
      </c>
      <c r="D416" s="5"/>
      <c r="E416" s="5">
        <f>IF($B416 &lt;= 0, 0, -ROUND($B416 * (InterestRate / PaymentsPerYear), 2))</f>
        <v>0</v>
      </c>
      <c r="F416" s="5">
        <f>ROUND(IFERROR(IF($B416&lt;=0,0,
MAX(-$B416, -(-PMT(InterestRate/PaymentsPerYear,LoanTerm*PaymentsPerYear,LoanAmount) + $E416))), 0), 2)</f>
        <v>0</v>
      </c>
      <c r="G416" s="5">
        <f t="shared" si="26"/>
        <v>0</v>
      </c>
      <c r="H416" s="5">
        <f t="shared" si="27"/>
        <v>0</v>
      </c>
    </row>
    <row r="417" spans="1:8" x14ac:dyDescent="0.2">
      <c r="A417" s="2">
        <v>416</v>
      </c>
      <c r="B417" s="5">
        <f t="shared" si="24"/>
        <v>0</v>
      </c>
      <c r="C417" s="5">
        <f t="shared" si="25"/>
        <v>0</v>
      </c>
      <c r="D417" s="5"/>
      <c r="E417" s="5">
        <f>IF($B417 &lt;= 0, 0, -ROUND($B417 * (InterestRate / PaymentsPerYear), 2))</f>
        <v>0</v>
      </c>
      <c r="F417" s="5">
        <f>ROUND(IFERROR(IF($B417&lt;=0,0,
MAX(-$B417, -(-PMT(InterestRate/PaymentsPerYear,LoanTerm*PaymentsPerYear,LoanAmount) + $E417))), 0), 2)</f>
        <v>0</v>
      </c>
      <c r="G417" s="5">
        <f t="shared" si="26"/>
        <v>0</v>
      </c>
      <c r="H417" s="5">
        <f t="shared" si="27"/>
        <v>0</v>
      </c>
    </row>
    <row r="418" spans="1:8" x14ac:dyDescent="0.2">
      <c r="A418" s="2">
        <v>417</v>
      </c>
      <c r="B418" s="5">
        <f t="shared" si="24"/>
        <v>0</v>
      </c>
      <c r="C418" s="5">
        <f t="shared" si="25"/>
        <v>0</v>
      </c>
      <c r="D418" s="5"/>
      <c r="E418" s="5">
        <f>IF($B418 &lt;= 0, 0, -ROUND($B418 * (InterestRate / PaymentsPerYear), 2))</f>
        <v>0</v>
      </c>
      <c r="F418" s="5">
        <f>ROUND(IFERROR(IF($B418&lt;=0,0,
MAX(-$B418, -(-PMT(InterestRate/PaymentsPerYear,LoanTerm*PaymentsPerYear,LoanAmount) + $E418))), 0), 2)</f>
        <v>0</v>
      </c>
      <c r="G418" s="5">
        <f t="shared" si="26"/>
        <v>0</v>
      </c>
      <c r="H418" s="5">
        <f t="shared" si="27"/>
        <v>0</v>
      </c>
    </row>
    <row r="419" spans="1:8" x14ac:dyDescent="0.2">
      <c r="A419" s="2">
        <v>418</v>
      </c>
      <c r="B419" s="5">
        <f t="shared" si="24"/>
        <v>0</v>
      </c>
      <c r="C419" s="5">
        <f t="shared" si="25"/>
        <v>0</v>
      </c>
      <c r="D419" s="5"/>
      <c r="E419" s="5">
        <f>IF($B419 &lt;= 0, 0, -ROUND($B419 * (InterestRate / PaymentsPerYear), 2))</f>
        <v>0</v>
      </c>
      <c r="F419" s="5">
        <f>ROUND(IFERROR(IF($B419&lt;=0,0,
MAX(-$B419, -(-PMT(InterestRate/PaymentsPerYear,LoanTerm*PaymentsPerYear,LoanAmount) + $E419))), 0), 2)</f>
        <v>0</v>
      </c>
      <c r="G419" s="5">
        <f t="shared" si="26"/>
        <v>0</v>
      </c>
      <c r="H419" s="5">
        <f t="shared" si="27"/>
        <v>0</v>
      </c>
    </row>
    <row r="420" spans="1:8" x14ac:dyDescent="0.2">
      <c r="A420" s="2">
        <v>419</v>
      </c>
      <c r="B420" s="5">
        <f t="shared" si="24"/>
        <v>0</v>
      </c>
      <c r="C420" s="5">
        <f t="shared" si="25"/>
        <v>0</v>
      </c>
      <c r="D420" s="5"/>
      <c r="E420" s="5">
        <f>IF($B420 &lt;= 0, 0, -ROUND($B420 * (InterestRate / PaymentsPerYear), 2))</f>
        <v>0</v>
      </c>
      <c r="F420" s="5">
        <f>ROUND(IFERROR(IF($B420&lt;=0,0,
MAX(-$B420, -(-PMT(InterestRate/PaymentsPerYear,LoanTerm*PaymentsPerYear,LoanAmount) + $E420))), 0), 2)</f>
        <v>0</v>
      </c>
      <c r="G420" s="5">
        <f t="shared" si="26"/>
        <v>0</v>
      </c>
      <c r="H420" s="5">
        <f t="shared" si="27"/>
        <v>0</v>
      </c>
    </row>
    <row r="421" spans="1:8" x14ac:dyDescent="0.2">
      <c r="A421" s="2">
        <v>420</v>
      </c>
      <c r="B421" s="5">
        <f t="shared" si="24"/>
        <v>0</v>
      </c>
      <c r="C421" s="5">
        <f t="shared" si="25"/>
        <v>0</v>
      </c>
      <c r="D421" s="5"/>
      <c r="E421" s="5">
        <f>IF($B421 &lt;= 0, 0, -ROUND($B421 * (InterestRate / PaymentsPerYear), 2))</f>
        <v>0</v>
      </c>
      <c r="F421" s="5">
        <f>ROUND(IFERROR(IF($B421&lt;=0,0,
MAX(-$B421, -(-PMT(InterestRate/PaymentsPerYear,LoanTerm*PaymentsPerYear,LoanAmount) + $E421))), 0), 2)</f>
        <v>0</v>
      </c>
      <c r="G421" s="5">
        <f t="shared" si="26"/>
        <v>0</v>
      </c>
      <c r="H421" s="5">
        <f t="shared" si="27"/>
        <v>0</v>
      </c>
    </row>
    <row r="422" spans="1:8" x14ac:dyDescent="0.2">
      <c r="A422" s="2">
        <v>421</v>
      </c>
      <c r="B422" s="5">
        <f t="shared" si="24"/>
        <v>0</v>
      </c>
      <c r="C422" s="5">
        <f t="shared" si="25"/>
        <v>0</v>
      </c>
      <c r="D422" s="5"/>
      <c r="E422" s="5">
        <f>IF($B422 &lt;= 0, 0, -ROUND($B422 * (InterestRate / PaymentsPerYear), 2))</f>
        <v>0</v>
      </c>
      <c r="F422" s="5">
        <f>ROUND(IFERROR(IF($B422&lt;=0,0,
MAX(-$B422, -(-PMT(InterestRate/PaymentsPerYear,LoanTerm*PaymentsPerYear,LoanAmount) + $E422))), 0), 2)</f>
        <v>0</v>
      </c>
      <c r="G422" s="5">
        <f t="shared" si="26"/>
        <v>0</v>
      </c>
      <c r="H422" s="5">
        <f t="shared" si="27"/>
        <v>0</v>
      </c>
    </row>
    <row r="423" spans="1:8" x14ac:dyDescent="0.2">
      <c r="A423" s="2">
        <v>422</v>
      </c>
      <c r="B423" s="5">
        <f t="shared" si="24"/>
        <v>0</v>
      </c>
      <c r="C423" s="5">
        <f t="shared" si="25"/>
        <v>0</v>
      </c>
      <c r="D423" s="5"/>
      <c r="E423" s="5">
        <f>IF($B423 &lt;= 0, 0, -ROUND($B423 * (InterestRate / PaymentsPerYear), 2))</f>
        <v>0</v>
      </c>
      <c r="F423" s="5">
        <f>ROUND(IFERROR(IF($B423&lt;=0,0,
MAX(-$B423, -(-PMT(InterestRate/PaymentsPerYear,LoanTerm*PaymentsPerYear,LoanAmount) + $E423))), 0), 2)</f>
        <v>0</v>
      </c>
      <c r="G423" s="5">
        <f t="shared" si="26"/>
        <v>0</v>
      </c>
      <c r="H423" s="5">
        <f t="shared" si="27"/>
        <v>0</v>
      </c>
    </row>
    <row r="424" spans="1:8" x14ac:dyDescent="0.2">
      <c r="A424" s="2">
        <v>423</v>
      </c>
      <c r="B424" s="5">
        <f t="shared" si="24"/>
        <v>0</v>
      </c>
      <c r="C424" s="5">
        <f t="shared" si="25"/>
        <v>0</v>
      </c>
      <c r="D424" s="5"/>
      <c r="E424" s="5">
        <f>IF($B424 &lt;= 0, 0, -ROUND($B424 * (InterestRate / PaymentsPerYear), 2))</f>
        <v>0</v>
      </c>
      <c r="F424" s="5">
        <f>ROUND(IFERROR(IF($B424&lt;=0,0,
MAX(-$B424, -(-PMT(InterestRate/PaymentsPerYear,LoanTerm*PaymentsPerYear,LoanAmount) + $E424))), 0), 2)</f>
        <v>0</v>
      </c>
      <c r="G424" s="5">
        <f t="shared" si="26"/>
        <v>0</v>
      </c>
      <c r="H424" s="5">
        <f t="shared" si="27"/>
        <v>0</v>
      </c>
    </row>
    <row r="425" spans="1:8" x14ac:dyDescent="0.2">
      <c r="A425" s="2">
        <v>424</v>
      </c>
      <c r="B425" s="5">
        <f t="shared" si="24"/>
        <v>0</v>
      </c>
      <c r="C425" s="5">
        <f t="shared" si="25"/>
        <v>0</v>
      </c>
      <c r="D425" s="5"/>
      <c r="E425" s="5">
        <f>IF($B425 &lt;= 0, 0, -ROUND($B425 * (InterestRate / PaymentsPerYear), 2))</f>
        <v>0</v>
      </c>
      <c r="F425" s="5">
        <f>ROUND(IFERROR(IF($B425&lt;=0,0,
MAX(-$B425, -(-PMT(InterestRate/PaymentsPerYear,LoanTerm*PaymentsPerYear,LoanAmount) + $E425))), 0), 2)</f>
        <v>0</v>
      </c>
      <c r="G425" s="5">
        <f t="shared" si="26"/>
        <v>0</v>
      </c>
      <c r="H425" s="5">
        <f t="shared" si="27"/>
        <v>0</v>
      </c>
    </row>
    <row r="426" spans="1:8" x14ac:dyDescent="0.2">
      <c r="A426" s="2">
        <v>425</v>
      </c>
      <c r="B426" s="5">
        <f t="shared" si="24"/>
        <v>0</v>
      </c>
      <c r="C426" s="5">
        <f t="shared" si="25"/>
        <v>0</v>
      </c>
      <c r="D426" s="5"/>
      <c r="E426" s="5">
        <f>IF($B426 &lt;= 0, 0, -ROUND($B426 * (InterestRate / PaymentsPerYear), 2))</f>
        <v>0</v>
      </c>
      <c r="F426" s="5">
        <f>ROUND(IFERROR(IF($B426&lt;=0,0,
MAX(-$B426, -(-PMT(InterestRate/PaymentsPerYear,LoanTerm*PaymentsPerYear,LoanAmount) + $E426))), 0), 2)</f>
        <v>0</v>
      </c>
      <c r="G426" s="5">
        <f t="shared" si="26"/>
        <v>0</v>
      </c>
      <c r="H426" s="5">
        <f t="shared" si="27"/>
        <v>0</v>
      </c>
    </row>
    <row r="427" spans="1:8" x14ac:dyDescent="0.2">
      <c r="A427" s="2">
        <v>426</v>
      </c>
      <c r="B427" s="5">
        <f t="shared" si="24"/>
        <v>0</v>
      </c>
      <c r="C427" s="5">
        <f t="shared" si="25"/>
        <v>0</v>
      </c>
      <c r="D427" s="5"/>
      <c r="E427" s="5">
        <f>IF($B427 &lt;= 0, 0, -ROUND($B427 * (InterestRate / PaymentsPerYear), 2))</f>
        <v>0</v>
      </c>
      <c r="F427" s="5">
        <f>ROUND(IFERROR(IF($B427&lt;=0,0,
MAX(-$B427, -(-PMT(InterestRate/PaymentsPerYear,LoanTerm*PaymentsPerYear,LoanAmount) + $E427))), 0), 2)</f>
        <v>0</v>
      </c>
      <c r="G427" s="5">
        <f t="shared" si="26"/>
        <v>0</v>
      </c>
      <c r="H427" s="5">
        <f t="shared" si="27"/>
        <v>0</v>
      </c>
    </row>
    <row r="428" spans="1:8" x14ac:dyDescent="0.2">
      <c r="A428" s="2">
        <v>427</v>
      </c>
      <c r="B428" s="5">
        <f t="shared" si="24"/>
        <v>0</v>
      </c>
      <c r="C428" s="5">
        <f t="shared" si="25"/>
        <v>0</v>
      </c>
      <c r="D428" s="5"/>
      <c r="E428" s="5">
        <f>IF($B428 &lt;= 0, 0, -ROUND($B428 * (InterestRate / PaymentsPerYear), 2))</f>
        <v>0</v>
      </c>
      <c r="F428" s="5">
        <f>ROUND(IFERROR(IF($B428&lt;=0,0,
MAX(-$B428, -(-PMT(InterestRate/PaymentsPerYear,LoanTerm*PaymentsPerYear,LoanAmount) + $E428))), 0), 2)</f>
        <v>0</v>
      </c>
      <c r="G428" s="5">
        <f t="shared" si="26"/>
        <v>0</v>
      </c>
      <c r="H428" s="5">
        <f t="shared" si="27"/>
        <v>0</v>
      </c>
    </row>
    <row r="429" spans="1:8" x14ac:dyDescent="0.2">
      <c r="A429" s="2">
        <v>428</v>
      </c>
      <c r="B429" s="5">
        <f t="shared" si="24"/>
        <v>0</v>
      </c>
      <c r="C429" s="5">
        <f t="shared" si="25"/>
        <v>0</v>
      </c>
      <c r="D429" s="5"/>
      <c r="E429" s="5">
        <f>IF($B429 &lt;= 0, 0, -ROUND($B429 * (InterestRate / PaymentsPerYear), 2))</f>
        <v>0</v>
      </c>
      <c r="F429" s="5">
        <f>ROUND(IFERROR(IF($B429&lt;=0,0,
MAX(-$B429, -(-PMT(InterestRate/PaymentsPerYear,LoanTerm*PaymentsPerYear,LoanAmount) + $E429))), 0), 2)</f>
        <v>0</v>
      </c>
      <c r="G429" s="5">
        <f t="shared" si="26"/>
        <v>0</v>
      </c>
      <c r="H429" s="5">
        <f t="shared" si="27"/>
        <v>0</v>
      </c>
    </row>
    <row r="430" spans="1:8" x14ac:dyDescent="0.2">
      <c r="A430" s="2">
        <v>429</v>
      </c>
      <c r="B430" s="5">
        <f t="shared" si="24"/>
        <v>0</v>
      </c>
      <c r="C430" s="5">
        <f t="shared" si="25"/>
        <v>0</v>
      </c>
      <c r="D430" s="5"/>
      <c r="E430" s="5">
        <f>IF($B430 &lt;= 0, 0, -ROUND($B430 * (InterestRate / PaymentsPerYear), 2))</f>
        <v>0</v>
      </c>
      <c r="F430" s="5">
        <f>ROUND(IFERROR(IF($B430&lt;=0,0,
MAX(-$B430, -(-PMT(InterestRate/PaymentsPerYear,LoanTerm*PaymentsPerYear,LoanAmount) + $E430))), 0), 2)</f>
        <v>0</v>
      </c>
      <c r="G430" s="5">
        <f t="shared" si="26"/>
        <v>0</v>
      </c>
      <c r="H430" s="5">
        <f t="shared" si="27"/>
        <v>0</v>
      </c>
    </row>
    <row r="431" spans="1:8" x14ac:dyDescent="0.2">
      <c r="A431" s="2">
        <v>430</v>
      </c>
      <c r="B431" s="5">
        <f t="shared" si="24"/>
        <v>0</v>
      </c>
      <c r="C431" s="5">
        <f t="shared" si="25"/>
        <v>0</v>
      </c>
      <c r="D431" s="5"/>
      <c r="E431" s="5">
        <f>IF($B431 &lt;= 0, 0, -ROUND($B431 * (InterestRate / PaymentsPerYear), 2))</f>
        <v>0</v>
      </c>
      <c r="F431" s="5">
        <f>ROUND(IFERROR(IF($B431&lt;=0,0,
MAX(-$B431, -(-PMT(InterestRate/PaymentsPerYear,LoanTerm*PaymentsPerYear,LoanAmount) + $E431))), 0), 2)</f>
        <v>0</v>
      </c>
      <c r="G431" s="5">
        <f t="shared" si="26"/>
        <v>0</v>
      </c>
      <c r="H431" s="5">
        <f t="shared" si="27"/>
        <v>0</v>
      </c>
    </row>
    <row r="432" spans="1:8" x14ac:dyDescent="0.2">
      <c r="A432" s="2">
        <v>431</v>
      </c>
      <c r="B432" s="5">
        <f t="shared" si="24"/>
        <v>0</v>
      </c>
      <c r="C432" s="5">
        <f t="shared" si="25"/>
        <v>0</v>
      </c>
      <c r="D432" s="5"/>
      <c r="E432" s="5">
        <f>IF($B432 &lt;= 0, 0, -ROUND($B432 * (InterestRate / PaymentsPerYear), 2))</f>
        <v>0</v>
      </c>
      <c r="F432" s="5">
        <f>ROUND(IFERROR(IF($B432&lt;=0,0,
MAX(-$B432, -(-PMT(InterestRate/PaymentsPerYear,LoanTerm*PaymentsPerYear,LoanAmount) + $E432))), 0), 2)</f>
        <v>0</v>
      </c>
      <c r="G432" s="5">
        <f t="shared" si="26"/>
        <v>0</v>
      </c>
      <c r="H432" s="5">
        <f t="shared" si="27"/>
        <v>0</v>
      </c>
    </row>
    <row r="433" spans="1:8" x14ac:dyDescent="0.2">
      <c r="A433" s="2">
        <v>432</v>
      </c>
      <c r="B433" s="5">
        <f t="shared" si="24"/>
        <v>0</v>
      </c>
      <c r="C433" s="5">
        <f t="shared" si="25"/>
        <v>0</v>
      </c>
      <c r="D433" s="5"/>
      <c r="E433" s="5">
        <f>IF($B433 &lt;= 0, 0, -ROUND($B433 * (InterestRate / PaymentsPerYear), 2))</f>
        <v>0</v>
      </c>
      <c r="F433" s="5">
        <f>ROUND(IFERROR(IF($B433&lt;=0,0,
MAX(-$B433, -(-PMT(InterestRate/PaymentsPerYear,LoanTerm*PaymentsPerYear,LoanAmount) + $E433))), 0), 2)</f>
        <v>0</v>
      </c>
      <c r="G433" s="5">
        <f t="shared" si="26"/>
        <v>0</v>
      </c>
      <c r="H433" s="5">
        <f t="shared" si="27"/>
        <v>0</v>
      </c>
    </row>
    <row r="434" spans="1:8" x14ac:dyDescent="0.2">
      <c r="A434" s="2">
        <v>433</v>
      </c>
      <c r="B434" s="5">
        <f t="shared" si="24"/>
        <v>0</v>
      </c>
      <c r="C434" s="5">
        <f t="shared" si="25"/>
        <v>0</v>
      </c>
      <c r="D434" s="5"/>
      <c r="E434" s="5">
        <f>IF($B434 &lt;= 0, 0, -ROUND($B434 * (InterestRate / PaymentsPerYear), 2))</f>
        <v>0</v>
      </c>
      <c r="F434" s="5">
        <f>ROUND(IFERROR(IF($B434&lt;=0,0,
MAX(-$B434, -(-PMT(InterestRate/PaymentsPerYear,LoanTerm*PaymentsPerYear,LoanAmount) + $E434))), 0), 2)</f>
        <v>0</v>
      </c>
      <c r="G434" s="5">
        <f t="shared" si="26"/>
        <v>0</v>
      </c>
      <c r="H434" s="5">
        <f t="shared" si="27"/>
        <v>0</v>
      </c>
    </row>
    <row r="435" spans="1:8" x14ac:dyDescent="0.2">
      <c r="A435" s="2">
        <v>434</v>
      </c>
      <c r="B435" s="5">
        <f t="shared" si="24"/>
        <v>0</v>
      </c>
      <c r="C435" s="5">
        <f t="shared" si="25"/>
        <v>0</v>
      </c>
      <c r="D435" s="5"/>
      <c r="E435" s="5">
        <f>IF($B435 &lt;= 0, 0, -ROUND($B435 * (InterestRate / PaymentsPerYear), 2))</f>
        <v>0</v>
      </c>
      <c r="F435" s="5">
        <f>ROUND(IFERROR(IF($B435&lt;=0,0,
MAX(-$B435, -(-PMT(InterestRate/PaymentsPerYear,LoanTerm*PaymentsPerYear,LoanAmount) + $E435))), 0), 2)</f>
        <v>0</v>
      </c>
      <c r="G435" s="5">
        <f t="shared" si="26"/>
        <v>0</v>
      </c>
      <c r="H435" s="5">
        <f t="shared" si="27"/>
        <v>0</v>
      </c>
    </row>
    <row r="436" spans="1:8" x14ac:dyDescent="0.2">
      <c r="A436" s="2">
        <v>435</v>
      </c>
      <c r="B436" s="5">
        <f t="shared" si="24"/>
        <v>0</v>
      </c>
      <c r="C436" s="5">
        <f t="shared" si="25"/>
        <v>0</v>
      </c>
      <c r="D436" s="5"/>
      <c r="E436" s="5">
        <f>IF($B436 &lt;= 0, 0, -ROUND($B436 * (InterestRate / PaymentsPerYear), 2))</f>
        <v>0</v>
      </c>
      <c r="F436" s="5">
        <f>ROUND(IFERROR(IF($B436&lt;=0,0,
MAX(-$B436, -(-PMT(InterestRate/PaymentsPerYear,LoanTerm*PaymentsPerYear,LoanAmount) + $E436))), 0), 2)</f>
        <v>0</v>
      </c>
      <c r="G436" s="5">
        <f t="shared" si="26"/>
        <v>0</v>
      </c>
      <c r="H436" s="5">
        <f t="shared" si="27"/>
        <v>0</v>
      </c>
    </row>
    <row r="437" spans="1:8" x14ac:dyDescent="0.2">
      <c r="A437" s="2">
        <v>436</v>
      </c>
      <c r="B437" s="5">
        <f t="shared" si="24"/>
        <v>0</v>
      </c>
      <c r="C437" s="5">
        <f t="shared" si="25"/>
        <v>0</v>
      </c>
      <c r="D437" s="5"/>
      <c r="E437" s="5">
        <f>IF($B437 &lt;= 0, 0, -ROUND($B437 * (InterestRate / PaymentsPerYear), 2))</f>
        <v>0</v>
      </c>
      <c r="F437" s="5">
        <f>ROUND(IFERROR(IF($B437&lt;=0,0,
MAX(-$B437, -(-PMT(InterestRate/PaymentsPerYear,LoanTerm*PaymentsPerYear,LoanAmount) + $E437))), 0), 2)</f>
        <v>0</v>
      </c>
      <c r="G437" s="5">
        <f t="shared" si="26"/>
        <v>0</v>
      </c>
      <c r="H437" s="5">
        <f t="shared" si="27"/>
        <v>0</v>
      </c>
    </row>
    <row r="438" spans="1:8" x14ac:dyDescent="0.2">
      <c r="A438" s="2">
        <v>437</v>
      </c>
      <c r="B438" s="5">
        <f t="shared" si="24"/>
        <v>0</v>
      </c>
      <c r="C438" s="5">
        <f t="shared" si="25"/>
        <v>0</v>
      </c>
      <c r="D438" s="5"/>
      <c r="E438" s="5">
        <f>IF($B438 &lt;= 0, 0, -ROUND($B438 * (InterestRate / PaymentsPerYear), 2))</f>
        <v>0</v>
      </c>
      <c r="F438" s="5">
        <f>ROUND(IFERROR(IF($B438&lt;=0,0,
MAX(-$B438, -(-PMT(InterestRate/PaymentsPerYear,LoanTerm*PaymentsPerYear,LoanAmount) + $E438))), 0), 2)</f>
        <v>0</v>
      </c>
      <c r="G438" s="5">
        <f t="shared" si="26"/>
        <v>0</v>
      </c>
      <c r="H438" s="5">
        <f t="shared" si="27"/>
        <v>0</v>
      </c>
    </row>
    <row r="439" spans="1:8" x14ac:dyDescent="0.2">
      <c r="A439" s="2">
        <v>438</v>
      </c>
      <c r="B439" s="5">
        <f t="shared" si="24"/>
        <v>0</v>
      </c>
      <c r="C439" s="5">
        <f t="shared" si="25"/>
        <v>0</v>
      </c>
      <c r="D439" s="5"/>
      <c r="E439" s="5">
        <f>IF($B439 &lt;= 0, 0, -ROUND($B439 * (InterestRate / PaymentsPerYear), 2))</f>
        <v>0</v>
      </c>
      <c r="F439" s="5">
        <f>ROUND(IFERROR(IF($B439&lt;=0,0,
MAX(-$B439, -(-PMT(InterestRate/PaymentsPerYear,LoanTerm*PaymentsPerYear,LoanAmount) + $E439))), 0), 2)</f>
        <v>0</v>
      </c>
      <c r="G439" s="5">
        <f t="shared" si="26"/>
        <v>0</v>
      </c>
      <c r="H439" s="5">
        <f t="shared" si="27"/>
        <v>0</v>
      </c>
    </row>
    <row r="440" spans="1:8" x14ac:dyDescent="0.2">
      <c r="A440" s="2">
        <v>439</v>
      </c>
      <c r="B440" s="5">
        <f t="shared" si="24"/>
        <v>0</v>
      </c>
      <c r="C440" s="5">
        <f t="shared" si="25"/>
        <v>0</v>
      </c>
      <c r="D440" s="5"/>
      <c r="E440" s="5">
        <f>IF($B440 &lt;= 0, 0, -ROUND($B440 * (InterestRate / PaymentsPerYear), 2))</f>
        <v>0</v>
      </c>
      <c r="F440" s="5">
        <f>ROUND(IFERROR(IF($B440&lt;=0,0,
MAX(-$B440, -(-PMT(InterestRate/PaymentsPerYear,LoanTerm*PaymentsPerYear,LoanAmount) + $E440))), 0), 2)</f>
        <v>0</v>
      </c>
      <c r="G440" s="5">
        <f t="shared" si="26"/>
        <v>0</v>
      </c>
      <c r="H440" s="5">
        <f t="shared" si="27"/>
        <v>0</v>
      </c>
    </row>
    <row r="441" spans="1:8" x14ac:dyDescent="0.2">
      <c r="A441" s="2">
        <v>440</v>
      </c>
      <c r="B441" s="5">
        <f t="shared" si="24"/>
        <v>0</v>
      </c>
      <c r="C441" s="5">
        <f t="shared" si="25"/>
        <v>0</v>
      </c>
      <c r="D441" s="5"/>
      <c r="E441" s="5">
        <f>IF($B441 &lt;= 0, 0, -ROUND($B441 * (InterestRate / PaymentsPerYear), 2))</f>
        <v>0</v>
      </c>
      <c r="F441" s="5">
        <f>ROUND(IFERROR(IF($B441&lt;=0,0,
MAX(-$B441, -(-PMT(InterestRate/PaymentsPerYear,LoanTerm*PaymentsPerYear,LoanAmount) + $E441))), 0), 2)</f>
        <v>0</v>
      </c>
      <c r="G441" s="5">
        <f t="shared" si="26"/>
        <v>0</v>
      </c>
      <c r="H441" s="5">
        <f t="shared" si="27"/>
        <v>0</v>
      </c>
    </row>
    <row r="442" spans="1:8" x14ac:dyDescent="0.2">
      <c r="A442" s="2">
        <v>441</v>
      </c>
      <c r="B442" s="5">
        <f t="shared" si="24"/>
        <v>0</v>
      </c>
      <c r="C442" s="5">
        <f t="shared" si="25"/>
        <v>0</v>
      </c>
      <c r="D442" s="5"/>
      <c r="E442" s="5">
        <f>IF($B442 &lt;= 0, 0, -ROUND($B442 * (InterestRate / PaymentsPerYear), 2))</f>
        <v>0</v>
      </c>
      <c r="F442" s="5">
        <f>ROUND(IFERROR(IF($B442&lt;=0,0,
MAX(-$B442, -(-PMT(InterestRate/PaymentsPerYear,LoanTerm*PaymentsPerYear,LoanAmount) + $E442))), 0), 2)</f>
        <v>0</v>
      </c>
      <c r="G442" s="5">
        <f t="shared" si="26"/>
        <v>0</v>
      </c>
      <c r="H442" s="5">
        <f t="shared" si="27"/>
        <v>0</v>
      </c>
    </row>
    <row r="443" spans="1:8" x14ac:dyDescent="0.2">
      <c r="A443" s="2">
        <v>442</v>
      </c>
      <c r="B443" s="5">
        <f t="shared" si="24"/>
        <v>0</v>
      </c>
      <c r="C443" s="5">
        <f t="shared" si="25"/>
        <v>0</v>
      </c>
      <c r="D443" s="5"/>
      <c r="E443" s="5">
        <f>IF($B443 &lt;= 0, 0, -ROUND($B443 * (InterestRate / PaymentsPerYear), 2))</f>
        <v>0</v>
      </c>
      <c r="F443" s="5">
        <f>ROUND(IFERROR(IF($B443&lt;=0,0,
MAX(-$B443, -(-PMT(InterestRate/PaymentsPerYear,LoanTerm*PaymentsPerYear,LoanAmount) + $E443))), 0), 2)</f>
        <v>0</v>
      </c>
      <c r="G443" s="5">
        <f t="shared" si="26"/>
        <v>0</v>
      </c>
      <c r="H443" s="5">
        <f t="shared" si="27"/>
        <v>0</v>
      </c>
    </row>
    <row r="444" spans="1:8" x14ac:dyDescent="0.2">
      <c r="A444" s="2">
        <v>443</v>
      </c>
      <c r="B444" s="5">
        <f t="shared" si="24"/>
        <v>0</v>
      </c>
      <c r="C444" s="5">
        <f t="shared" si="25"/>
        <v>0</v>
      </c>
      <c r="D444" s="5"/>
      <c r="E444" s="5">
        <f>IF($B444 &lt;= 0, 0, -ROUND($B444 * (InterestRate / PaymentsPerYear), 2))</f>
        <v>0</v>
      </c>
      <c r="F444" s="5">
        <f>ROUND(IFERROR(IF($B444&lt;=0,0,
MAX(-$B444, -(-PMT(InterestRate/PaymentsPerYear,LoanTerm*PaymentsPerYear,LoanAmount) + $E444))), 0), 2)</f>
        <v>0</v>
      </c>
      <c r="G444" s="5">
        <f t="shared" si="26"/>
        <v>0</v>
      </c>
      <c r="H444" s="5">
        <f t="shared" si="27"/>
        <v>0</v>
      </c>
    </row>
    <row r="445" spans="1:8" x14ac:dyDescent="0.2">
      <c r="A445" s="2">
        <v>444</v>
      </c>
      <c r="B445" s="5">
        <f t="shared" si="24"/>
        <v>0</v>
      </c>
      <c r="C445" s="5">
        <f t="shared" si="25"/>
        <v>0</v>
      </c>
      <c r="D445" s="5"/>
      <c r="E445" s="5">
        <f>IF($B445 &lt;= 0, 0, -ROUND($B445 * (InterestRate / PaymentsPerYear), 2))</f>
        <v>0</v>
      </c>
      <c r="F445" s="5">
        <f>ROUND(IFERROR(IF($B445&lt;=0,0,
MAX(-$B445, -(-PMT(InterestRate/PaymentsPerYear,LoanTerm*PaymentsPerYear,LoanAmount) + $E445))), 0), 2)</f>
        <v>0</v>
      </c>
      <c r="G445" s="5">
        <f t="shared" si="26"/>
        <v>0</v>
      </c>
      <c r="H445" s="5">
        <f t="shared" si="27"/>
        <v>0</v>
      </c>
    </row>
    <row r="446" spans="1:8" x14ac:dyDescent="0.2">
      <c r="A446" s="2">
        <v>445</v>
      </c>
      <c r="B446" s="5">
        <f t="shared" si="24"/>
        <v>0</v>
      </c>
      <c r="C446" s="5">
        <f t="shared" si="25"/>
        <v>0</v>
      </c>
      <c r="D446" s="5"/>
      <c r="E446" s="5">
        <f>IF($B446 &lt;= 0, 0, -ROUND($B446 * (InterestRate / PaymentsPerYear), 2))</f>
        <v>0</v>
      </c>
      <c r="F446" s="5">
        <f>ROUND(IFERROR(IF($B446&lt;=0,0,
MAX(-$B446, -(-PMT(InterestRate/PaymentsPerYear,LoanTerm*PaymentsPerYear,LoanAmount) + $E446))), 0), 2)</f>
        <v>0</v>
      </c>
      <c r="G446" s="5">
        <f t="shared" si="26"/>
        <v>0</v>
      </c>
      <c r="H446" s="5">
        <f t="shared" si="27"/>
        <v>0</v>
      </c>
    </row>
    <row r="447" spans="1:8" x14ac:dyDescent="0.2">
      <c r="A447" s="2">
        <v>446</v>
      </c>
      <c r="B447" s="5">
        <f t="shared" si="24"/>
        <v>0</v>
      </c>
      <c r="C447" s="5">
        <f t="shared" si="25"/>
        <v>0</v>
      </c>
      <c r="D447" s="5"/>
      <c r="E447" s="5">
        <f>IF($B447 &lt;= 0, 0, -ROUND($B447 * (InterestRate / PaymentsPerYear), 2))</f>
        <v>0</v>
      </c>
      <c r="F447" s="5">
        <f>ROUND(IFERROR(IF($B447&lt;=0,0,
MAX(-$B447, -(-PMT(InterestRate/PaymentsPerYear,LoanTerm*PaymentsPerYear,LoanAmount) + $E447))), 0), 2)</f>
        <v>0</v>
      </c>
      <c r="G447" s="5">
        <f t="shared" si="26"/>
        <v>0</v>
      </c>
      <c r="H447" s="5">
        <f t="shared" si="27"/>
        <v>0</v>
      </c>
    </row>
    <row r="448" spans="1:8" x14ac:dyDescent="0.2">
      <c r="A448" s="2">
        <v>447</v>
      </c>
      <c r="B448" s="5">
        <f t="shared" si="24"/>
        <v>0</v>
      </c>
      <c r="C448" s="5">
        <f t="shared" si="25"/>
        <v>0</v>
      </c>
      <c r="D448" s="5"/>
      <c r="E448" s="5">
        <f>IF($B448 &lt;= 0, 0, -ROUND($B448 * (InterestRate / PaymentsPerYear), 2))</f>
        <v>0</v>
      </c>
      <c r="F448" s="5">
        <f>ROUND(IFERROR(IF($B448&lt;=0,0,
MAX(-$B448, -(-PMT(InterestRate/PaymentsPerYear,LoanTerm*PaymentsPerYear,LoanAmount) + $E448))), 0), 2)</f>
        <v>0</v>
      </c>
      <c r="G448" s="5">
        <f t="shared" si="26"/>
        <v>0</v>
      </c>
      <c r="H448" s="5">
        <f t="shared" si="27"/>
        <v>0</v>
      </c>
    </row>
    <row r="449" spans="1:8" x14ac:dyDescent="0.2">
      <c r="A449" s="2">
        <v>448</v>
      </c>
      <c r="B449" s="5">
        <f t="shared" si="24"/>
        <v>0</v>
      </c>
      <c r="C449" s="5">
        <f t="shared" si="25"/>
        <v>0</v>
      </c>
      <c r="D449" s="5"/>
      <c r="E449" s="5">
        <f>IF($B449 &lt;= 0, 0, -ROUND($B449 * (InterestRate / PaymentsPerYear), 2))</f>
        <v>0</v>
      </c>
      <c r="F449" s="5">
        <f>ROUND(IFERROR(IF($B449&lt;=0,0,
MAX(-$B449, -(-PMT(InterestRate/PaymentsPerYear,LoanTerm*PaymentsPerYear,LoanAmount) + $E449))), 0), 2)</f>
        <v>0</v>
      </c>
      <c r="G449" s="5">
        <f t="shared" si="26"/>
        <v>0</v>
      </c>
      <c r="H449" s="5">
        <f t="shared" si="27"/>
        <v>0</v>
      </c>
    </row>
    <row r="450" spans="1:8" x14ac:dyDescent="0.2">
      <c r="A450" s="2">
        <v>449</v>
      </c>
      <c r="B450" s="5">
        <f t="shared" si="24"/>
        <v>0</v>
      </c>
      <c r="C450" s="5">
        <f t="shared" si="25"/>
        <v>0</v>
      </c>
      <c r="D450" s="5"/>
      <c r="E450" s="5">
        <f>IF($B450 &lt;= 0, 0, -ROUND($B450 * (InterestRate / PaymentsPerYear), 2))</f>
        <v>0</v>
      </c>
      <c r="F450" s="5">
        <f>ROUND(IFERROR(IF($B450&lt;=0,0,
MAX(-$B450, -(-PMT(InterestRate/PaymentsPerYear,LoanTerm*PaymentsPerYear,LoanAmount) + $E450))), 0), 2)</f>
        <v>0</v>
      </c>
      <c r="G450" s="5">
        <f t="shared" si="26"/>
        <v>0</v>
      </c>
      <c r="H450" s="5">
        <f t="shared" si="27"/>
        <v>0</v>
      </c>
    </row>
    <row r="451" spans="1:8" x14ac:dyDescent="0.2">
      <c r="A451" s="2">
        <v>450</v>
      </c>
      <c r="B451" s="5">
        <f t="shared" si="24"/>
        <v>0</v>
      </c>
      <c r="C451" s="5">
        <f t="shared" si="25"/>
        <v>0</v>
      </c>
      <c r="D451" s="5"/>
      <c r="E451" s="5">
        <f>IF($B451 &lt;= 0, 0, -ROUND($B451 * (InterestRate / PaymentsPerYear), 2))</f>
        <v>0</v>
      </c>
      <c r="F451" s="5">
        <f>ROUND(IFERROR(IF($B451&lt;=0,0,
MAX(-$B451, -(-PMT(InterestRate/PaymentsPerYear,LoanTerm*PaymentsPerYear,LoanAmount) + $E451))), 0), 2)</f>
        <v>0</v>
      </c>
      <c r="G451" s="5">
        <f t="shared" si="26"/>
        <v>0</v>
      </c>
      <c r="H451" s="5">
        <f t="shared" si="27"/>
        <v>0</v>
      </c>
    </row>
    <row r="452" spans="1:8" x14ac:dyDescent="0.2">
      <c r="A452" s="2">
        <v>451</v>
      </c>
      <c r="B452" s="5">
        <f t="shared" ref="B452:B515" si="28">ROUND(IF($H451 &gt;= 0, MAX($H451, $F451), 0), 2)</f>
        <v>0</v>
      </c>
      <c r="C452" s="5">
        <f t="shared" ref="C452:C515" si="29">IF($B452 &lt;= 0, 0, $E452+$F452)</f>
        <v>0</v>
      </c>
      <c r="D452" s="5"/>
      <c r="E452" s="5">
        <f>IF($B452 &lt;= 0, 0, -ROUND($B452 * (InterestRate / PaymentsPerYear), 2))</f>
        <v>0</v>
      </c>
      <c r="F452" s="5">
        <f>ROUND(IFERROR(IF($B452&lt;=0,0,
MAX(-$B452, -(-PMT(InterestRate/PaymentsPerYear,LoanTerm*PaymentsPerYear,LoanAmount) + $E452))), 0), 2)</f>
        <v>0</v>
      </c>
      <c r="G452" s="5">
        <f t="shared" ref="G452:G515" si="30">$F452</f>
        <v>0</v>
      </c>
      <c r="H452" s="5">
        <f t="shared" ref="H452:H515" si="31">ROUND(IF($B452 &lt;= 0, 0,MAX(0, $B452 + $G452)), 2)</f>
        <v>0</v>
      </c>
    </row>
    <row r="453" spans="1:8" x14ac:dyDescent="0.2">
      <c r="A453" s="2">
        <v>452</v>
      </c>
      <c r="B453" s="5">
        <f t="shared" si="28"/>
        <v>0</v>
      </c>
      <c r="C453" s="5">
        <f t="shared" si="29"/>
        <v>0</v>
      </c>
      <c r="D453" s="5"/>
      <c r="E453" s="5">
        <f>IF($B453 &lt;= 0, 0, -ROUND($B453 * (InterestRate / PaymentsPerYear), 2))</f>
        <v>0</v>
      </c>
      <c r="F453" s="5">
        <f>ROUND(IFERROR(IF($B453&lt;=0,0,
MAX(-$B453, -(-PMT(InterestRate/PaymentsPerYear,LoanTerm*PaymentsPerYear,LoanAmount) + $E453))), 0), 2)</f>
        <v>0</v>
      </c>
      <c r="G453" s="5">
        <f t="shared" si="30"/>
        <v>0</v>
      </c>
      <c r="H453" s="5">
        <f t="shared" si="31"/>
        <v>0</v>
      </c>
    </row>
    <row r="454" spans="1:8" x14ac:dyDescent="0.2">
      <c r="A454" s="2">
        <v>453</v>
      </c>
      <c r="B454" s="5">
        <f t="shared" si="28"/>
        <v>0</v>
      </c>
      <c r="C454" s="5">
        <f t="shared" si="29"/>
        <v>0</v>
      </c>
      <c r="D454" s="5"/>
      <c r="E454" s="5">
        <f>IF($B454 &lt;= 0, 0, -ROUND($B454 * (InterestRate / PaymentsPerYear), 2))</f>
        <v>0</v>
      </c>
      <c r="F454" s="5">
        <f>ROUND(IFERROR(IF($B454&lt;=0,0,
MAX(-$B454, -(-PMT(InterestRate/PaymentsPerYear,LoanTerm*PaymentsPerYear,LoanAmount) + $E454))), 0), 2)</f>
        <v>0</v>
      </c>
      <c r="G454" s="5">
        <f t="shared" si="30"/>
        <v>0</v>
      </c>
      <c r="H454" s="5">
        <f t="shared" si="31"/>
        <v>0</v>
      </c>
    </row>
    <row r="455" spans="1:8" x14ac:dyDescent="0.2">
      <c r="A455" s="2">
        <v>454</v>
      </c>
      <c r="B455" s="5">
        <f t="shared" si="28"/>
        <v>0</v>
      </c>
      <c r="C455" s="5">
        <f t="shared" si="29"/>
        <v>0</v>
      </c>
      <c r="D455" s="5"/>
      <c r="E455" s="5">
        <f>IF($B455 &lt;= 0, 0, -ROUND($B455 * (InterestRate / PaymentsPerYear), 2))</f>
        <v>0</v>
      </c>
      <c r="F455" s="5">
        <f>ROUND(IFERROR(IF($B455&lt;=0,0,
MAX(-$B455, -(-PMT(InterestRate/PaymentsPerYear,LoanTerm*PaymentsPerYear,LoanAmount) + $E455))), 0), 2)</f>
        <v>0</v>
      </c>
      <c r="G455" s="5">
        <f t="shared" si="30"/>
        <v>0</v>
      </c>
      <c r="H455" s="5">
        <f t="shared" si="31"/>
        <v>0</v>
      </c>
    </row>
    <row r="456" spans="1:8" x14ac:dyDescent="0.2">
      <c r="A456" s="2">
        <v>455</v>
      </c>
      <c r="B456" s="5">
        <f t="shared" si="28"/>
        <v>0</v>
      </c>
      <c r="C456" s="5">
        <f t="shared" si="29"/>
        <v>0</v>
      </c>
      <c r="D456" s="5"/>
      <c r="E456" s="5">
        <f>IF($B456 &lt;= 0, 0, -ROUND($B456 * (InterestRate / PaymentsPerYear), 2))</f>
        <v>0</v>
      </c>
      <c r="F456" s="5">
        <f>ROUND(IFERROR(IF($B456&lt;=0,0,
MAX(-$B456, -(-PMT(InterestRate/PaymentsPerYear,LoanTerm*PaymentsPerYear,LoanAmount) + $E456))), 0), 2)</f>
        <v>0</v>
      </c>
      <c r="G456" s="5">
        <f t="shared" si="30"/>
        <v>0</v>
      </c>
      <c r="H456" s="5">
        <f t="shared" si="31"/>
        <v>0</v>
      </c>
    </row>
    <row r="457" spans="1:8" x14ac:dyDescent="0.2">
      <c r="A457" s="2">
        <v>456</v>
      </c>
      <c r="B457" s="5">
        <f t="shared" si="28"/>
        <v>0</v>
      </c>
      <c r="C457" s="5">
        <f t="shared" si="29"/>
        <v>0</v>
      </c>
      <c r="D457" s="5"/>
      <c r="E457" s="5">
        <f>IF($B457 &lt;= 0, 0, -ROUND($B457 * (InterestRate / PaymentsPerYear), 2))</f>
        <v>0</v>
      </c>
      <c r="F457" s="5">
        <f>ROUND(IFERROR(IF($B457&lt;=0,0,
MAX(-$B457, -(-PMT(InterestRate/PaymentsPerYear,LoanTerm*PaymentsPerYear,LoanAmount) + $E457))), 0), 2)</f>
        <v>0</v>
      </c>
      <c r="G457" s="5">
        <f t="shared" si="30"/>
        <v>0</v>
      </c>
      <c r="H457" s="5">
        <f t="shared" si="31"/>
        <v>0</v>
      </c>
    </row>
    <row r="458" spans="1:8" x14ac:dyDescent="0.2">
      <c r="A458" s="2">
        <v>457</v>
      </c>
      <c r="B458" s="5">
        <f t="shared" si="28"/>
        <v>0</v>
      </c>
      <c r="C458" s="5">
        <f t="shared" si="29"/>
        <v>0</v>
      </c>
      <c r="D458" s="5"/>
      <c r="E458" s="5">
        <f>IF($B458 &lt;= 0, 0, -ROUND($B458 * (InterestRate / PaymentsPerYear), 2))</f>
        <v>0</v>
      </c>
      <c r="F458" s="5">
        <f>ROUND(IFERROR(IF($B458&lt;=0,0,
MAX(-$B458, -(-PMT(InterestRate/PaymentsPerYear,LoanTerm*PaymentsPerYear,LoanAmount) + $E458))), 0), 2)</f>
        <v>0</v>
      </c>
      <c r="G458" s="5">
        <f t="shared" si="30"/>
        <v>0</v>
      </c>
      <c r="H458" s="5">
        <f t="shared" si="31"/>
        <v>0</v>
      </c>
    </row>
    <row r="459" spans="1:8" x14ac:dyDescent="0.2">
      <c r="A459" s="2">
        <v>458</v>
      </c>
      <c r="B459" s="5">
        <f t="shared" si="28"/>
        <v>0</v>
      </c>
      <c r="C459" s="5">
        <f t="shared" si="29"/>
        <v>0</v>
      </c>
      <c r="D459" s="5"/>
      <c r="E459" s="5">
        <f>IF($B459 &lt;= 0, 0, -ROUND($B459 * (InterestRate / PaymentsPerYear), 2))</f>
        <v>0</v>
      </c>
      <c r="F459" s="5">
        <f>ROUND(IFERROR(IF($B459&lt;=0,0,
MAX(-$B459, -(-PMT(InterestRate/PaymentsPerYear,LoanTerm*PaymentsPerYear,LoanAmount) + $E459))), 0), 2)</f>
        <v>0</v>
      </c>
      <c r="G459" s="5">
        <f t="shared" si="30"/>
        <v>0</v>
      </c>
      <c r="H459" s="5">
        <f t="shared" si="31"/>
        <v>0</v>
      </c>
    </row>
    <row r="460" spans="1:8" x14ac:dyDescent="0.2">
      <c r="A460" s="2">
        <v>459</v>
      </c>
      <c r="B460" s="5">
        <f t="shared" si="28"/>
        <v>0</v>
      </c>
      <c r="C460" s="5">
        <f t="shared" si="29"/>
        <v>0</v>
      </c>
      <c r="D460" s="5"/>
      <c r="E460" s="5">
        <f>IF($B460 &lt;= 0, 0, -ROUND($B460 * (InterestRate / PaymentsPerYear), 2))</f>
        <v>0</v>
      </c>
      <c r="F460" s="5">
        <f>ROUND(IFERROR(IF($B460&lt;=0,0,
MAX(-$B460, -(-PMT(InterestRate/PaymentsPerYear,LoanTerm*PaymentsPerYear,LoanAmount) + $E460))), 0), 2)</f>
        <v>0</v>
      </c>
      <c r="G460" s="5">
        <f t="shared" si="30"/>
        <v>0</v>
      </c>
      <c r="H460" s="5">
        <f t="shared" si="31"/>
        <v>0</v>
      </c>
    </row>
    <row r="461" spans="1:8" x14ac:dyDescent="0.2">
      <c r="A461" s="2">
        <v>460</v>
      </c>
      <c r="B461" s="5">
        <f t="shared" si="28"/>
        <v>0</v>
      </c>
      <c r="C461" s="5">
        <f t="shared" si="29"/>
        <v>0</v>
      </c>
      <c r="D461" s="5"/>
      <c r="E461" s="5">
        <f>IF($B461 &lt;= 0, 0, -ROUND($B461 * (InterestRate / PaymentsPerYear), 2))</f>
        <v>0</v>
      </c>
      <c r="F461" s="5">
        <f>ROUND(IFERROR(IF($B461&lt;=0,0,
MAX(-$B461, -(-PMT(InterestRate/PaymentsPerYear,LoanTerm*PaymentsPerYear,LoanAmount) + $E461))), 0), 2)</f>
        <v>0</v>
      </c>
      <c r="G461" s="5">
        <f t="shared" si="30"/>
        <v>0</v>
      </c>
      <c r="H461" s="5">
        <f t="shared" si="31"/>
        <v>0</v>
      </c>
    </row>
    <row r="462" spans="1:8" x14ac:dyDescent="0.2">
      <c r="A462" s="2">
        <v>461</v>
      </c>
      <c r="B462" s="5">
        <f t="shared" si="28"/>
        <v>0</v>
      </c>
      <c r="C462" s="5">
        <f t="shared" si="29"/>
        <v>0</v>
      </c>
      <c r="D462" s="5"/>
      <c r="E462" s="5">
        <f>IF($B462 &lt;= 0, 0, -ROUND($B462 * (InterestRate / PaymentsPerYear), 2))</f>
        <v>0</v>
      </c>
      <c r="F462" s="5">
        <f>ROUND(IFERROR(IF($B462&lt;=0,0,
MAX(-$B462, -(-PMT(InterestRate/PaymentsPerYear,LoanTerm*PaymentsPerYear,LoanAmount) + $E462))), 0), 2)</f>
        <v>0</v>
      </c>
      <c r="G462" s="5">
        <f t="shared" si="30"/>
        <v>0</v>
      </c>
      <c r="H462" s="5">
        <f t="shared" si="31"/>
        <v>0</v>
      </c>
    </row>
    <row r="463" spans="1:8" x14ac:dyDescent="0.2">
      <c r="A463" s="2">
        <v>462</v>
      </c>
      <c r="B463" s="5">
        <f t="shared" si="28"/>
        <v>0</v>
      </c>
      <c r="C463" s="5">
        <f t="shared" si="29"/>
        <v>0</v>
      </c>
      <c r="D463" s="5"/>
      <c r="E463" s="5">
        <f>IF($B463 &lt;= 0, 0, -ROUND($B463 * (InterestRate / PaymentsPerYear), 2))</f>
        <v>0</v>
      </c>
      <c r="F463" s="5">
        <f>ROUND(IFERROR(IF($B463&lt;=0,0,
MAX(-$B463, -(-PMT(InterestRate/PaymentsPerYear,LoanTerm*PaymentsPerYear,LoanAmount) + $E463))), 0), 2)</f>
        <v>0</v>
      </c>
      <c r="G463" s="5">
        <f t="shared" si="30"/>
        <v>0</v>
      </c>
      <c r="H463" s="5">
        <f t="shared" si="31"/>
        <v>0</v>
      </c>
    </row>
    <row r="464" spans="1:8" x14ac:dyDescent="0.2">
      <c r="A464" s="2">
        <v>463</v>
      </c>
      <c r="B464" s="5">
        <f t="shared" si="28"/>
        <v>0</v>
      </c>
      <c r="C464" s="5">
        <f t="shared" si="29"/>
        <v>0</v>
      </c>
      <c r="D464" s="5"/>
      <c r="E464" s="5">
        <f>IF($B464 &lt;= 0, 0, -ROUND($B464 * (InterestRate / PaymentsPerYear), 2))</f>
        <v>0</v>
      </c>
      <c r="F464" s="5">
        <f>ROUND(IFERROR(IF($B464&lt;=0,0,
MAX(-$B464, -(-PMT(InterestRate/PaymentsPerYear,LoanTerm*PaymentsPerYear,LoanAmount) + $E464))), 0), 2)</f>
        <v>0</v>
      </c>
      <c r="G464" s="5">
        <f t="shared" si="30"/>
        <v>0</v>
      </c>
      <c r="H464" s="5">
        <f t="shared" si="31"/>
        <v>0</v>
      </c>
    </row>
    <row r="465" spans="1:8" x14ac:dyDescent="0.2">
      <c r="A465" s="2">
        <v>464</v>
      </c>
      <c r="B465" s="5">
        <f t="shared" si="28"/>
        <v>0</v>
      </c>
      <c r="C465" s="5">
        <f t="shared" si="29"/>
        <v>0</v>
      </c>
      <c r="D465" s="5"/>
      <c r="E465" s="5">
        <f>IF($B465 &lt;= 0, 0, -ROUND($B465 * (InterestRate / PaymentsPerYear), 2))</f>
        <v>0</v>
      </c>
      <c r="F465" s="5">
        <f>ROUND(IFERROR(IF($B465&lt;=0,0,
MAX(-$B465, -(-PMT(InterestRate/PaymentsPerYear,LoanTerm*PaymentsPerYear,LoanAmount) + $E465))), 0), 2)</f>
        <v>0</v>
      </c>
      <c r="G465" s="5">
        <f t="shared" si="30"/>
        <v>0</v>
      </c>
      <c r="H465" s="5">
        <f t="shared" si="31"/>
        <v>0</v>
      </c>
    </row>
    <row r="466" spans="1:8" x14ac:dyDescent="0.2">
      <c r="A466" s="2">
        <v>465</v>
      </c>
      <c r="B466" s="5">
        <f t="shared" si="28"/>
        <v>0</v>
      </c>
      <c r="C466" s="5">
        <f t="shared" si="29"/>
        <v>0</v>
      </c>
      <c r="D466" s="5"/>
      <c r="E466" s="5">
        <f>IF($B466 &lt;= 0, 0, -ROUND($B466 * (InterestRate / PaymentsPerYear), 2))</f>
        <v>0</v>
      </c>
      <c r="F466" s="5">
        <f>ROUND(IFERROR(IF($B466&lt;=0,0,
MAX(-$B466, -(-PMT(InterestRate/PaymentsPerYear,LoanTerm*PaymentsPerYear,LoanAmount) + $E466))), 0), 2)</f>
        <v>0</v>
      </c>
      <c r="G466" s="5">
        <f t="shared" si="30"/>
        <v>0</v>
      </c>
      <c r="H466" s="5">
        <f t="shared" si="31"/>
        <v>0</v>
      </c>
    </row>
    <row r="467" spans="1:8" x14ac:dyDescent="0.2">
      <c r="A467" s="2">
        <v>466</v>
      </c>
      <c r="B467" s="5">
        <f t="shared" si="28"/>
        <v>0</v>
      </c>
      <c r="C467" s="5">
        <f t="shared" si="29"/>
        <v>0</v>
      </c>
      <c r="D467" s="5"/>
      <c r="E467" s="5">
        <f>IF($B467 &lt;= 0, 0, -ROUND($B467 * (InterestRate / PaymentsPerYear), 2))</f>
        <v>0</v>
      </c>
      <c r="F467" s="5">
        <f>ROUND(IFERROR(IF($B467&lt;=0,0,
MAX(-$B467, -(-PMT(InterestRate/PaymentsPerYear,LoanTerm*PaymentsPerYear,LoanAmount) + $E467))), 0), 2)</f>
        <v>0</v>
      </c>
      <c r="G467" s="5">
        <f t="shared" si="30"/>
        <v>0</v>
      </c>
      <c r="H467" s="5">
        <f t="shared" si="31"/>
        <v>0</v>
      </c>
    </row>
    <row r="468" spans="1:8" x14ac:dyDescent="0.2">
      <c r="A468" s="2">
        <v>467</v>
      </c>
      <c r="B468" s="5">
        <f t="shared" si="28"/>
        <v>0</v>
      </c>
      <c r="C468" s="5">
        <f t="shared" si="29"/>
        <v>0</v>
      </c>
      <c r="D468" s="5"/>
      <c r="E468" s="5">
        <f>IF($B468 &lt;= 0, 0, -ROUND($B468 * (InterestRate / PaymentsPerYear), 2))</f>
        <v>0</v>
      </c>
      <c r="F468" s="5">
        <f>ROUND(IFERROR(IF($B468&lt;=0,0,
MAX(-$B468, -(-PMT(InterestRate/PaymentsPerYear,LoanTerm*PaymentsPerYear,LoanAmount) + $E468))), 0), 2)</f>
        <v>0</v>
      </c>
      <c r="G468" s="5">
        <f t="shared" si="30"/>
        <v>0</v>
      </c>
      <c r="H468" s="5">
        <f t="shared" si="31"/>
        <v>0</v>
      </c>
    </row>
    <row r="469" spans="1:8" x14ac:dyDescent="0.2">
      <c r="A469" s="2">
        <v>468</v>
      </c>
      <c r="B469" s="5">
        <f t="shared" si="28"/>
        <v>0</v>
      </c>
      <c r="C469" s="5">
        <f t="shared" si="29"/>
        <v>0</v>
      </c>
      <c r="D469" s="5"/>
      <c r="E469" s="5">
        <f>IF($B469 &lt;= 0, 0, -ROUND($B469 * (InterestRate / PaymentsPerYear), 2))</f>
        <v>0</v>
      </c>
      <c r="F469" s="5">
        <f>ROUND(IFERROR(IF($B469&lt;=0,0,
MAX(-$B469, -(-PMT(InterestRate/PaymentsPerYear,LoanTerm*PaymentsPerYear,LoanAmount) + $E469))), 0), 2)</f>
        <v>0</v>
      </c>
      <c r="G469" s="5">
        <f t="shared" si="30"/>
        <v>0</v>
      </c>
      <c r="H469" s="5">
        <f t="shared" si="31"/>
        <v>0</v>
      </c>
    </row>
    <row r="470" spans="1:8" x14ac:dyDescent="0.2">
      <c r="A470" s="2">
        <v>469</v>
      </c>
      <c r="B470" s="5">
        <f t="shared" si="28"/>
        <v>0</v>
      </c>
      <c r="C470" s="5">
        <f t="shared" si="29"/>
        <v>0</v>
      </c>
      <c r="D470" s="5"/>
      <c r="E470" s="5">
        <f>IF($B470 &lt;= 0, 0, -ROUND($B470 * (InterestRate / PaymentsPerYear), 2))</f>
        <v>0</v>
      </c>
      <c r="F470" s="5">
        <f>ROUND(IFERROR(IF($B470&lt;=0,0,
MAX(-$B470, -(-PMT(InterestRate/PaymentsPerYear,LoanTerm*PaymentsPerYear,LoanAmount) + $E470))), 0), 2)</f>
        <v>0</v>
      </c>
      <c r="G470" s="5">
        <f t="shared" si="30"/>
        <v>0</v>
      </c>
      <c r="H470" s="5">
        <f t="shared" si="31"/>
        <v>0</v>
      </c>
    </row>
    <row r="471" spans="1:8" x14ac:dyDescent="0.2">
      <c r="A471" s="2">
        <v>470</v>
      </c>
      <c r="B471" s="5">
        <f t="shared" si="28"/>
        <v>0</v>
      </c>
      <c r="C471" s="5">
        <f t="shared" si="29"/>
        <v>0</v>
      </c>
      <c r="D471" s="5"/>
      <c r="E471" s="5">
        <f>IF($B471 &lt;= 0, 0, -ROUND($B471 * (InterestRate / PaymentsPerYear), 2))</f>
        <v>0</v>
      </c>
      <c r="F471" s="5">
        <f>ROUND(IFERROR(IF($B471&lt;=0,0,
MAX(-$B471, -(-PMT(InterestRate/PaymentsPerYear,LoanTerm*PaymentsPerYear,LoanAmount) + $E471))), 0), 2)</f>
        <v>0</v>
      </c>
      <c r="G471" s="5">
        <f t="shared" si="30"/>
        <v>0</v>
      </c>
      <c r="H471" s="5">
        <f t="shared" si="31"/>
        <v>0</v>
      </c>
    </row>
    <row r="472" spans="1:8" x14ac:dyDescent="0.2">
      <c r="A472" s="2">
        <v>471</v>
      </c>
      <c r="B472" s="5">
        <f t="shared" si="28"/>
        <v>0</v>
      </c>
      <c r="C472" s="5">
        <f t="shared" si="29"/>
        <v>0</v>
      </c>
      <c r="D472" s="5"/>
      <c r="E472" s="5">
        <f>IF($B472 &lt;= 0, 0, -ROUND($B472 * (InterestRate / PaymentsPerYear), 2))</f>
        <v>0</v>
      </c>
      <c r="F472" s="5">
        <f>ROUND(IFERROR(IF($B472&lt;=0,0,
MAX(-$B472, -(-PMT(InterestRate/PaymentsPerYear,LoanTerm*PaymentsPerYear,LoanAmount) + $E472))), 0), 2)</f>
        <v>0</v>
      </c>
      <c r="G472" s="5">
        <f t="shared" si="30"/>
        <v>0</v>
      </c>
      <c r="H472" s="5">
        <f t="shared" si="31"/>
        <v>0</v>
      </c>
    </row>
    <row r="473" spans="1:8" x14ac:dyDescent="0.2">
      <c r="A473" s="2">
        <v>472</v>
      </c>
      <c r="B473" s="5">
        <f t="shared" si="28"/>
        <v>0</v>
      </c>
      <c r="C473" s="5">
        <f t="shared" si="29"/>
        <v>0</v>
      </c>
      <c r="D473" s="5"/>
      <c r="E473" s="5">
        <f>IF($B473 &lt;= 0, 0, -ROUND($B473 * (InterestRate / PaymentsPerYear), 2))</f>
        <v>0</v>
      </c>
      <c r="F473" s="5">
        <f>ROUND(IFERROR(IF($B473&lt;=0,0,
MAX(-$B473, -(-PMT(InterestRate/PaymentsPerYear,LoanTerm*PaymentsPerYear,LoanAmount) + $E473))), 0), 2)</f>
        <v>0</v>
      </c>
      <c r="G473" s="5">
        <f t="shared" si="30"/>
        <v>0</v>
      </c>
      <c r="H473" s="5">
        <f t="shared" si="31"/>
        <v>0</v>
      </c>
    </row>
    <row r="474" spans="1:8" x14ac:dyDescent="0.2">
      <c r="A474" s="2">
        <v>473</v>
      </c>
      <c r="B474" s="5">
        <f t="shared" si="28"/>
        <v>0</v>
      </c>
      <c r="C474" s="5">
        <f t="shared" si="29"/>
        <v>0</v>
      </c>
      <c r="D474" s="5"/>
      <c r="E474" s="5">
        <f>IF($B474 &lt;= 0, 0, -ROUND($B474 * (InterestRate / PaymentsPerYear), 2))</f>
        <v>0</v>
      </c>
      <c r="F474" s="5">
        <f>ROUND(IFERROR(IF($B474&lt;=0,0,
MAX(-$B474, -(-PMT(InterestRate/PaymentsPerYear,LoanTerm*PaymentsPerYear,LoanAmount) + $E474))), 0), 2)</f>
        <v>0</v>
      </c>
      <c r="G474" s="5">
        <f t="shared" si="30"/>
        <v>0</v>
      </c>
      <c r="H474" s="5">
        <f t="shared" si="31"/>
        <v>0</v>
      </c>
    </row>
    <row r="475" spans="1:8" x14ac:dyDescent="0.2">
      <c r="A475" s="2">
        <v>474</v>
      </c>
      <c r="B475" s="5">
        <f t="shared" si="28"/>
        <v>0</v>
      </c>
      <c r="C475" s="5">
        <f t="shared" si="29"/>
        <v>0</v>
      </c>
      <c r="D475" s="5"/>
      <c r="E475" s="5">
        <f>IF($B475 &lt;= 0, 0, -ROUND($B475 * (InterestRate / PaymentsPerYear), 2))</f>
        <v>0</v>
      </c>
      <c r="F475" s="5">
        <f>ROUND(IFERROR(IF($B475&lt;=0,0,
MAX(-$B475, -(-PMT(InterestRate/PaymentsPerYear,LoanTerm*PaymentsPerYear,LoanAmount) + $E475))), 0), 2)</f>
        <v>0</v>
      </c>
      <c r="G475" s="5">
        <f t="shared" si="30"/>
        <v>0</v>
      </c>
      <c r="H475" s="5">
        <f t="shared" si="31"/>
        <v>0</v>
      </c>
    </row>
    <row r="476" spans="1:8" x14ac:dyDescent="0.2">
      <c r="A476" s="2">
        <v>475</v>
      </c>
      <c r="B476" s="5">
        <f t="shared" si="28"/>
        <v>0</v>
      </c>
      <c r="C476" s="5">
        <f t="shared" si="29"/>
        <v>0</v>
      </c>
      <c r="D476" s="5"/>
      <c r="E476" s="5">
        <f>IF($B476 &lt;= 0, 0, -ROUND($B476 * (InterestRate / PaymentsPerYear), 2))</f>
        <v>0</v>
      </c>
      <c r="F476" s="5">
        <f>ROUND(IFERROR(IF($B476&lt;=0,0,
MAX(-$B476, -(-PMT(InterestRate/PaymentsPerYear,LoanTerm*PaymentsPerYear,LoanAmount) + $E476))), 0), 2)</f>
        <v>0</v>
      </c>
      <c r="G476" s="5">
        <f t="shared" si="30"/>
        <v>0</v>
      </c>
      <c r="H476" s="5">
        <f t="shared" si="31"/>
        <v>0</v>
      </c>
    </row>
    <row r="477" spans="1:8" x14ac:dyDescent="0.2">
      <c r="A477" s="2">
        <v>476</v>
      </c>
      <c r="B477" s="5">
        <f t="shared" si="28"/>
        <v>0</v>
      </c>
      <c r="C477" s="5">
        <f t="shared" si="29"/>
        <v>0</v>
      </c>
      <c r="D477" s="5"/>
      <c r="E477" s="5">
        <f>IF($B477 &lt;= 0, 0, -ROUND($B477 * (InterestRate / PaymentsPerYear), 2))</f>
        <v>0</v>
      </c>
      <c r="F477" s="5">
        <f>ROUND(IFERROR(IF($B477&lt;=0,0,
MAX(-$B477, -(-PMT(InterestRate/PaymentsPerYear,LoanTerm*PaymentsPerYear,LoanAmount) + $E477))), 0), 2)</f>
        <v>0</v>
      </c>
      <c r="G477" s="5">
        <f t="shared" si="30"/>
        <v>0</v>
      </c>
      <c r="H477" s="5">
        <f t="shared" si="31"/>
        <v>0</v>
      </c>
    </row>
    <row r="478" spans="1:8" x14ac:dyDescent="0.2">
      <c r="A478" s="2">
        <v>477</v>
      </c>
      <c r="B478" s="5">
        <f t="shared" si="28"/>
        <v>0</v>
      </c>
      <c r="C478" s="5">
        <f t="shared" si="29"/>
        <v>0</v>
      </c>
      <c r="D478" s="5"/>
      <c r="E478" s="5">
        <f>IF($B478 &lt;= 0, 0, -ROUND($B478 * (InterestRate / PaymentsPerYear), 2))</f>
        <v>0</v>
      </c>
      <c r="F478" s="5">
        <f>ROUND(IFERROR(IF($B478&lt;=0,0,
MAX(-$B478, -(-PMT(InterestRate/PaymentsPerYear,LoanTerm*PaymentsPerYear,LoanAmount) + $E478))), 0), 2)</f>
        <v>0</v>
      </c>
      <c r="G478" s="5">
        <f t="shared" si="30"/>
        <v>0</v>
      </c>
      <c r="H478" s="5">
        <f t="shared" si="31"/>
        <v>0</v>
      </c>
    </row>
    <row r="479" spans="1:8" x14ac:dyDescent="0.2">
      <c r="A479" s="2">
        <v>478</v>
      </c>
      <c r="B479" s="5">
        <f t="shared" si="28"/>
        <v>0</v>
      </c>
      <c r="C479" s="5">
        <f t="shared" si="29"/>
        <v>0</v>
      </c>
      <c r="D479" s="5"/>
      <c r="E479" s="5">
        <f>IF($B479 &lt;= 0, 0, -ROUND($B479 * (InterestRate / PaymentsPerYear), 2))</f>
        <v>0</v>
      </c>
      <c r="F479" s="5">
        <f>ROUND(IFERROR(IF($B479&lt;=0,0,
MAX(-$B479, -(-PMT(InterestRate/PaymentsPerYear,LoanTerm*PaymentsPerYear,LoanAmount) + $E479))), 0), 2)</f>
        <v>0</v>
      </c>
      <c r="G479" s="5">
        <f t="shared" si="30"/>
        <v>0</v>
      </c>
      <c r="H479" s="5">
        <f t="shared" si="31"/>
        <v>0</v>
      </c>
    </row>
    <row r="480" spans="1:8" x14ac:dyDescent="0.2">
      <c r="A480" s="2">
        <v>479</v>
      </c>
      <c r="B480" s="5">
        <f t="shared" si="28"/>
        <v>0</v>
      </c>
      <c r="C480" s="5">
        <f t="shared" si="29"/>
        <v>0</v>
      </c>
      <c r="D480" s="5"/>
      <c r="E480" s="5">
        <f>IF($B480 &lt;= 0, 0, -ROUND($B480 * (InterestRate / PaymentsPerYear), 2))</f>
        <v>0</v>
      </c>
      <c r="F480" s="5">
        <f>ROUND(IFERROR(IF($B480&lt;=0,0,
MAX(-$B480, -(-PMT(InterestRate/PaymentsPerYear,LoanTerm*PaymentsPerYear,LoanAmount) + $E480))), 0), 2)</f>
        <v>0</v>
      </c>
      <c r="G480" s="5">
        <f t="shared" si="30"/>
        <v>0</v>
      </c>
      <c r="H480" s="5">
        <f t="shared" si="31"/>
        <v>0</v>
      </c>
    </row>
    <row r="481" spans="1:8" x14ac:dyDescent="0.2">
      <c r="A481" s="2">
        <v>480</v>
      </c>
      <c r="B481" s="5">
        <f t="shared" si="28"/>
        <v>0</v>
      </c>
      <c r="C481" s="5">
        <f t="shared" si="29"/>
        <v>0</v>
      </c>
      <c r="D481" s="5"/>
      <c r="E481" s="5">
        <f>IF($B481 &lt;= 0, 0, -ROUND($B481 * (InterestRate / PaymentsPerYear), 2))</f>
        <v>0</v>
      </c>
      <c r="F481" s="5">
        <f>ROUND(IFERROR(IF($B481&lt;=0,0,
MAX(-$B481, -(-PMT(InterestRate/PaymentsPerYear,LoanTerm*PaymentsPerYear,LoanAmount) + $E481))), 0), 2)</f>
        <v>0</v>
      </c>
      <c r="G481" s="5">
        <f t="shared" si="30"/>
        <v>0</v>
      </c>
      <c r="H481" s="5">
        <f t="shared" si="31"/>
        <v>0</v>
      </c>
    </row>
    <row r="482" spans="1:8" x14ac:dyDescent="0.2">
      <c r="A482" s="2">
        <v>481</v>
      </c>
      <c r="B482" s="5">
        <f t="shared" si="28"/>
        <v>0</v>
      </c>
      <c r="C482" s="5">
        <f t="shared" si="29"/>
        <v>0</v>
      </c>
      <c r="D482" s="5"/>
      <c r="E482" s="5">
        <f>IF($B482 &lt;= 0, 0, -ROUND($B482 * (InterestRate / PaymentsPerYear), 2))</f>
        <v>0</v>
      </c>
      <c r="F482" s="5">
        <f>ROUND(IFERROR(IF($B482&lt;=0,0,
MAX(-$B482, -(-PMT(InterestRate/PaymentsPerYear,LoanTerm*PaymentsPerYear,LoanAmount) + $E482))), 0), 2)</f>
        <v>0</v>
      </c>
      <c r="G482" s="5">
        <f t="shared" si="30"/>
        <v>0</v>
      </c>
      <c r="H482" s="5">
        <f t="shared" si="31"/>
        <v>0</v>
      </c>
    </row>
    <row r="483" spans="1:8" x14ac:dyDescent="0.2">
      <c r="A483" s="2">
        <v>482</v>
      </c>
      <c r="B483" s="5">
        <f t="shared" si="28"/>
        <v>0</v>
      </c>
      <c r="C483" s="5">
        <f t="shared" si="29"/>
        <v>0</v>
      </c>
      <c r="D483" s="5"/>
      <c r="E483" s="5">
        <f>IF($B483 &lt;= 0, 0, -ROUND($B483 * (InterestRate / PaymentsPerYear), 2))</f>
        <v>0</v>
      </c>
      <c r="F483" s="5">
        <f>ROUND(IFERROR(IF($B483&lt;=0,0,
MAX(-$B483, -(-PMT(InterestRate/PaymentsPerYear,LoanTerm*PaymentsPerYear,LoanAmount) + $E483))), 0), 2)</f>
        <v>0</v>
      </c>
      <c r="G483" s="5">
        <f t="shared" si="30"/>
        <v>0</v>
      </c>
      <c r="H483" s="5">
        <f t="shared" si="31"/>
        <v>0</v>
      </c>
    </row>
    <row r="484" spans="1:8" x14ac:dyDescent="0.2">
      <c r="A484" s="2">
        <v>483</v>
      </c>
      <c r="B484" s="5">
        <f t="shared" si="28"/>
        <v>0</v>
      </c>
      <c r="C484" s="5">
        <f t="shared" si="29"/>
        <v>0</v>
      </c>
      <c r="D484" s="5"/>
      <c r="E484" s="5">
        <f>IF($B484 &lt;= 0, 0, -ROUND($B484 * (InterestRate / PaymentsPerYear), 2))</f>
        <v>0</v>
      </c>
      <c r="F484" s="5">
        <f>ROUND(IFERROR(IF($B484&lt;=0,0,
MAX(-$B484, -(-PMT(InterestRate/PaymentsPerYear,LoanTerm*PaymentsPerYear,LoanAmount) + $E484))), 0), 2)</f>
        <v>0</v>
      </c>
      <c r="G484" s="5">
        <f t="shared" si="30"/>
        <v>0</v>
      </c>
      <c r="H484" s="5">
        <f t="shared" si="31"/>
        <v>0</v>
      </c>
    </row>
    <row r="485" spans="1:8" x14ac:dyDescent="0.2">
      <c r="A485" s="2">
        <v>484</v>
      </c>
      <c r="B485" s="5">
        <f t="shared" si="28"/>
        <v>0</v>
      </c>
      <c r="C485" s="5">
        <f t="shared" si="29"/>
        <v>0</v>
      </c>
      <c r="D485" s="5"/>
      <c r="E485" s="5">
        <f>IF($B485 &lt;= 0, 0, -ROUND($B485 * (InterestRate / PaymentsPerYear), 2))</f>
        <v>0</v>
      </c>
      <c r="F485" s="5">
        <f>ROUND(IFERROR(IF($B485&lt;=0,0,
MAX(-$B485, -(-PMT(InterestRate/PaymentsPerYear,LoanTerm*PaymentsPerYear,LoanAmount) + $E485))), 0), 2)</f>
        <v>0</v>
      </c>
      <c r="G485" s="5">
        <f t="shared" si="30"/>
        <v>0</v>
      </c>
      <c r="H485" s="5">
        <f t="shared" si="31"/>
        <v>0</v>
      </c>
    </row>
    <row r="486" spans="1:8" x14ac:dyDescent="0.2">
      <c r="A486" s="2">
        <v>485</v>
      </c>
      <c r="B486" s="5">
        <f t="shared" si="28"/>
        <v>0</v>
      </c>
      <c r="C486" s="5">
        <f t="shared" si="29"/>
        <v>0</v>
      </c>
      <c r="D486" s="5"/>
      <c r="E486" s="5">
        <f>IF($B486 &lt;= 0, 0, -ROUND($B486 * (InterestRate / PaymentsPerYear), 2))</f>
        <v>0</v>
      </c>
      <c r="F486" s="5">
        <f>ROUND(IFERROR(IF($B486&lt;=0,0,
MAX(-$B486, -(-PMT(InterestRate/PaymentsPerYear,LoanTerm*PaymentsPerYear,LoanAmount) + $E486))), 0), 2)</f>
        <v>0</v>
      </c>
      <c r="G486" s="5">
        <f t="shared" si="30"/>
        <v>0</v>
      </c>
      <c r="H486" s="5">
        <f t="shared" si="31"/>
        <v>0</v>
      </c>
    </row>
    <row r="487" spans="1:8" x14ac:dyDescent="0.2">
      <c r="A487" s="2">
        <v>486</v>
      </c>
      <c r="B487" s="5">
        <f t="shared" si="28"/>
        <v>0</v>
      </c>
      <c r="C487" s="5">
        <f t="shared" si="29"/>
        <v>0</v>
      </c>
      <c r="D487" s="5"/>
      <c r="E487" s="5">
        <f>IF($B487 &lt;= 0, 0, -ROUND($B487 * (InterestRate / PaymentsPerYear), 2))</f>
        <v>0</v>
      </c>
      <c r="F487" s="5">
        <f>ROUND(IFERROR(IF($B487&lt;=0,0,
MAX(-$B487, -(-PMT(InterestRate/PaymentsPerYear,LoanTerm*PaymentsPerYear,LoanAmount) + $E487))), 0), 2)</f>
        <v>0</v>
      </c>
      <c r="G487" s="5">
        <f t="shared" si="30"/>
        <v>0</v>
      </c>
      <c r="H487" s="5">
        <f t="shared" si="31"/>
        <v>0</v>
      </c>
    </row>
    <row r="488" spans="1:8" x14ac:dyDescent="0.2">
      <c r="A488" s="2">
        <v>487</v>
      </c>
      <c r="B488" s="5">
        <f t="shared" si="28"/>
        <v>0</v>
      </c>
      <c r="C488" s="5">
        <f t="shared" si="29"/>
        <v>0</v>
      </c>
      <c r="D488" s="5"/>
      <c r="E488" s="5">
        <f>IF($B488 &lt;= 0, 0, -ROUND($B488 * (InterestRate / PaymentsPerYear), 2))</f>
        <v>0</v>
      </c>
      <c r="F488" s="5">
        <f>ROUND(IFERROR(IF($B488&lt;=0,0,
MAX(-$B488, -(-PMT(InterestRate/PaymentsPerYear,LoanTerm*PaymentsPerYear,LoanAmount) + $E488))), 0), 2)</f>
        <v>0</v>
      </c>
      <c r="G488" s="5">
        <f t="shared" si="30"/>
        <v>0</v>
      </c>
      <c r="H488" s="5">
        <f t="shared" si="31"/>
        <v>0</v>
      </c>
    </row>
    <row r="489" spans="1:8" x14ac:dyDescent="0.2">
      <c r="A489" s="2">
        <v>488</v>
      </c>
      <c r="B489" s="5">
        <f t="shared" si="28"/>
        <v>0</v>
      </c>
      <c r="C489" s="5">
        <f t="shared" si="29"/>
        <v>0</v>
      </c>
      <c r="D489" s="5"/>
      <c r="E489" s="5">
        <f>IF($B489 &lt;= 0, 0, -ROUND($B489 * (InterestRate / PaymentsPerYear), 2))</f>
        <v>0</v>
      </c>
      <c r="F489" s="5">
        <f>ROUND(IFERROR(IF($B489&lt;=0,0,
MAX(-$B489, -(-PMT(InterestRate/PaymentsPerYear,LoanTerm*PaymentsPerYear,LoanAmount) + $E489))), 0), 2)</f>
        <v>0</v>
      </c>
      <c r="G489" s="5">
        <f t="shared" si="30"/>
        <v>0</v>
      </c>
      <c r="H489" s="5">
        <f t="shared" si="31"/>
        <v>0</v>
      </c>
    </row>
    <row r="490" spans="1:8" x14ac:dyDescent="0.2">
      <c r="A490" s="2">
        <v>489</v>
      </c>
      <c r="B490" s="5">
        <f t="shared" si="28"/>
        <v>0</v>
      </c>
      <c r="C490" s="5">
        <f t="shared" si="29"/>
        <v>0</v>
      </c>
      <c r="D490" s="5"/>
      <c r="E490" s="5">
        <f>IF($B490 &lt;= 0, 0, -ROUND($B490 * (InterestRate / PaymentsPerYear), 2))</f>
        <v>0</v>
      </c>
      <c r="F490" s="5">
        <f>ROUND(IFERROR(IF($B490&lt;=0,0,
MAX(-$B490, -(-PMT(InterestRate/PaymentsPerYear,LoanTerm*PaymentsPerYear,LoanAmount) + $E490))), 0), 2)</f>
        <v>0</v>
      </c>
      <c r="G490" s="5">
        <f t="shared" si="30"/>
        <v>0</v>
      </c>
      <c r="H490" s="5">
        <f t="shared" si="31"/>
        <v>0</v>
      </c>
    </row>
    <row r="491" spans="1:8" x14ac:dyDescent="0.2">
      <c r="A491" s="2">
        <v>490</v>
      </c>
      <c r="B491" s="5">
        <f t="shared" si="28"/>
        <v>0</v>
      </c>
      <c r="C491" s="5">
        <f t="shared" si="29"/>
        <v>0</v>
      </c>
      <c r="D491" s="5"/>
      <c r="E491" s="5">
        <f>IF($B491 &lt;= 0, 0, -ROUND($B491 * (InterestRate / PaymentsPerYear), 2))</f>
        <v>0</v>
      </c>
      <c r="F491" s="5">
        <f>ROUND(IFERROR(IF($B491&lt;=0,0,
MAX(-$B491, -(-PMT(InterestRate/PaymentsPerYear,LoanTerm*PaymentsPerYear,LoanAmount) + $E491))), 0), 2)</f>
        <v>0</v>
      </c>
      <c r="G491" s="5">
        <f t="shared" si="30"/>
        <v>0</v>
      </c>
      <c r="H491" s="5">
        <f t="shared" si="31"/>
        <v>0</v>
      </c>
    </row>
    <row r="492" spans="1:8" x14ac:dyDescent="0.2">
      <c r="A492" s="2">
        <v>491</v>
      </c>
      <c r="B492" s="5">
        <f t="shared" si="28"/>
        <v>0</v>
      </c>
      <c r="C492" s="5">
        <f t="shared" si="29"/>
        <v>0</v>
      </c>
      <c r="D492" s="5"/>
      <c r="E492" s="5">
        <f>IF($B492 &lt;= 0, 0, -ROUND($B492 * (InterestRate / PaymentsPerYear), 2))</f>
        <v>0</v>
      </c>
      <c r="F492" s="5">
        <f>ROUND(IFERROR(IF($B492&lt;=0,0,
MAX(-$B492, -(-PMT(InterestRate/PaymentsPerYear,LoanTerm*PaymentsPerYear,LoanAmount) + $E492))), 0), 2)</f>
        <v>0</v>
      </c>
      <c r="G492" s="5">
        <f t="shared" si="30"/>
        <v>0</v>
      </c>
      <c r="H492" s="5">
        <f t="shared" si="31"/>
        <v>0</v>
      </c>
    </row>
    <row r="493" spans="1:8" x14ac:dyDescent="0.2">
      <c r="A493" s="2">
        <v>492</v>
      </c>
      <c r="B493" s="5">
        <f t="shared" si="28"/>
        <v>0</v>
      </c>
      <c r="C493" s="5">
        <f t="shared" si="29"/>
        <v>0</v>
      </c>
      <c r="D493" s="5"/>
      <c r="E493" s="5">
        <f>IF($B493 &lt;= 0, 0, -ROUND($B493 * (InterestRate / PaymentsPerYear), 2))</f>
        <v>0</v>
      </c>
      <c r="F493" s="5">
        <f>ROUND(IFERROR(IF($B493&lt;=0,0,
MAX(-$B493, -(-PMT(InterestRate/PaymentsPerYear,LoanTerm*PaymentsPerYear,LoanAmount) + $E493))), 0), 2)</f>
        <v>0</v>
      </c>
      <c r="G493" s="5">
        <f t="shared" si="30"/>
        <v>0</v>
      </c>
      <c r="H493" s="5">
        <f t="shared" si="31"/>
        <v>0</v>
      </c>
    </row>
    <row r="494" spans="1:8" x14ac:dyDescent="0.2">
      <c r="A494" s="2">
        <v>493</v>
      </c>
      <c r="B494" s="5">
        <f t="shared" si="28"/>
        <v>0</v>
      </c>
      <c r="C494" s="5">
        <f t="shared" si="29"/>
        <v>0</v>
      </c>
      <c r="D494" s="5"/>
      <c r="E494" s="5">
        <f>IF($B494 &lt;= 0, 0, -ROUND($B494 * (InterestRate / PaymentsPerYear), 2))</f>
        <v>0</v>
      </c>
      <c r="F494" s="5">
        <f>ROUND(IFERROR(IF($B494&lt;=0,0,
MAX(-$B494, -(-PMT(InterestRate/PaymentsPerYear,LoanTerm*PaymentsPerYear,LoanAmount) + $E494))), 0), 2)</f>
        <v>0</v>
      </c>
      <c r="G494" s="5">
        <f t="shared" si="30"/>
        <v>0</v>
      </c>
      <c r="H494" s="5">
        <f t="shared" si="31"/>
        <v>0</v>
      </c>
    </row>
    <row r="495" spans="1:8" x14ac:dyDescent="0.2">
      <c r="A495" s="2">
        <v>494</v>
      </c>
      <c r="B495" s="5">
        <f t="shared" si="28"/>
        <v>0</v>
      </c>
      <c r="C495" s="5">
        <f t="shared" si="29"/>
        <v>0</v>
      </c>
      <c r="D495" s="5"/>
      <c r="E495" s="5">
        <f>IF($B495 &lt;= 0, 0, -ROUND($B495 * (InterestRate / PaymentsPerYear), 2))</f>
        <v>0</v>
      </c>
      <c r="F495" s="5">
        <f>ROUND(IFERROR(IF($B495&lt;=0,0,
MAX(-$B495, -(-PMT(InterestRate/PaymentsPerYear,LoanTerm*PaymentsPerYear,LoanAmount) + $E495))), 0), 2)</f>
        <v>0</v>
      </c>
      <c r="G495" s="5">
        <f t="shared" si="30"/>
        <v>0</v>
      </c>
      <c r="H495" s="5">
        <f t="shared" si="31"/>
        <v>0</v>
      </c>
    </row>
    <row r="496" spans="1:8" x14ac:dyDescent="0.2">
      <c r="A496" s="2">
        <v>495</v>
      </c>
      <c r="B496" s="5">
        <f t="shared" si="28"/>
        <v>0</v>
      </c>
      <c r="C496" s="5">
        <f t="shared" si="29"/>
        <v>0</v>
      </c>
      <c r="D496" s="5"/>
      <c r="E496" s="5">
        <f>IF($B496 &lt;= 0, 0, -ROUND($B496 * (InterestRate / PaymentsPerYear), 2))</f>
        <v>0</v>
      </c>
      <c r="F496" s="5">
        <f>ROUND(IFERROR(IF($B496&lt;=0,0,
MAX(-$B496, -(-PMT(InterestRate/PaymentsPerYear,LoanTerm*PaymentsPerYear,LoanAmount) + $E496))), 0), 2)</f>
        <v>0</v>
      </c>
      <c r="G496" s="5">
        <f t="shared" si="30"/>
        <v>0</v>
      </c>
      <c r="H496" s="5">
        <f t="shared" si="31"/>
        <v>0</v>
      </c>
    </row>
    <row r="497" spans="1:8" x14ac:dyDescent="0.2">
      <c r="A497" s="2">
        <v>496</v>
      </c>
      <c r="B497" s="5">
        <f t="shared" si="28"/>
        <v>0</v>
      </c>
      <c r="C497" s="5">
        <f t="shared" si="29"/>
        <v>0</v>
      </c>
      <c r="D497" s="5"/>
      <c r="E497" s="5">
        <f>IF($B497 &lt;= 0, 0, -ROUND($B497 * (InterestRate / PaymentsPerYear), 2))</f>
        <v>0</v>
      </c>
      <c r="F497" s="5">
        <f>ROUND(IFERROR(IF($B497&lt;=0,0,
MAX(-$B497, -(-PMT(InterestRate/PaymentsPerYear,LoanTerm*PaymentsPerYear,LoanAmount) + $E497))), 0), 2)</f>
        <v>0</v>
      </c>
      <c r="G497" s="5">
        <f t="shared" si="30"/>
        <v>0</v>
      </c>
      <c r="H497" s="5">
        <f t="shared" si="31"/>
        <v>0</v>
      </c>
    </row>
    <row r="498" spans="1:8" x14ac:dyDescent="0.2">
      <c r="A498" s="2">
        <v>497</v>
      </c>
      <c r="B498" s="5">
        <f t="shared" si="28"/>
        <v>0</v>
      </c>
      <c r="C498" s="5">
        <f t="shared" si="29"/>
        <v>0</v>
      </c>
      <c r="D498" s="5"/>
      <c r="E498" s="5">
        <f>IF($B498 &lt;= 0, 0, -ROUND($B498 * (InterestRate / PaymentsPerYear), 2))</f>
        <v>0</v>
      </c>
      <c r="F498" s="5">
        <f>ROUND(IFERROR(IF($B498&lt;=0,0,
MAX(-$B498, -(-PMT(InterestRate/PaymentsPerYear,LoanTerm*PaymentsPerYear,LoanAmount) + $E498))), 0), 2)</f>
        <v>0</v>
      </c>
      <c r="G498" s="5">
        <f t="shared" si="30"/>
        <v>0</v>
      </c>
      <c r="H498" s="5">
        <f t="shared" si="31"/>
        <v>0</v>
      </c>
    </row>
    <row r="499" spans="1:8" x14ac:dyDescent="0.2">
      <c r="A499" s="2">
        <v>498</v>
      </c>
      <c r="B499" s="5">
        <f t="shared" si="28"/>
        <v>0</v>
      </c>
      <c r="C499" s="5">
        <f t="shared" si="29"/>
        <v>0</v>
      </c>
      <c r="D499" s="5"/>
      <c r="E499" s="5">
        <f>IF($B499 &lt;= 0, 0, -ROUND($B499 * (InterestRate / PaymentsPerYear), 2))</f>
        <v>0</v>
      </c>
      <c r="F499" s="5">
        <f>ROUND(IFERROR(IF($B499&lt;=0,0,
MAX(-$B499, -(-PMT(InterestRate/PaymentsPerYear,LoanTerm*PaymentsPerYear,LoanAmount) + $E499))), 0), 2)</f>
        <v>0</v>
      </c>
      <c r="G499" s="5">
        <f t="shared" si="30"/>
        <v>0</v>
      </c>
      <c r="H499" s="5">
        <f t="shared" si="31"/>
        <v>0</v>
      </c>
    </row>
    <row r="500" spans="1:8" x14ac:dyDescent="0.2">
      <c r="A500" s="2">
        <v>499</v>
      </c>
      <c r="B500" s="5">
        <f t="shared" si="28"/>
        <v>0</v>
      </c>
      <c r="C500" s="5">
        <f t="shared" si="29"/>
        <v>0</v>
      </c>
      <c r="D500" s="5"/>
      <c r="E500" s="5">
        <f>IF($B500 &lt;= 0, 0, -ROUND($B500 * (InterestRate / PaymentsPerYear), 2))</f>
        <v>0</v>
      </c>
      <c r="F500" s="5">
        <f>ROUND(IFERROR(IF($B500&lt;=0,0,
MAX(-$B500, -(-PMT(InterestRate/PaymentsPerYear,LoanTerm*PaymentsPerYear,LoanAmount) + $E500))), 0), 2)</f>
        <v>0</v>
      </c>
      <c r="G500" s="5">
        <f t="shared" si="30"/>
        <v>0</v>
      </c>
      <c r="H500" s="5">
        <f t="shared" si="31"/>
        <v>0</v>
      </c>
    </row>
    <row r="501" spans="1:8" x14ac:dyDescent="0.2">
      <c r="A501" s="2">
        <v>500</v>
      </c>
      <c r="B501" s="5">
        <f t="shared" si="28"/>
        <v>0</v>
      </c>
      <c r="C501" s="5">
        <f t="shared" si="29"/>
        <v>0</v>
      </c>
      <c r="D501" s="5"/>
      <c r="E501" s="5">
        <f>IF($B501 &lt;= 0, 0, -ROUND($B501 * (InterestRate / PaymentsPerYear), 2))</f>
        <v>0</v>
      </c>
      <c r="F501" s="5">
        <f>ROUND(IFERROR(IF($B501&lt;=0,0,
MAX(-$B501, -(-PMT(InterestRate/PaymentsPerYear,LoanTerm*PaymentsPerYear,LoanAmount) + $E501))), 0), 2)</f>
        <v>0</v>
      </c>
      <c r="G501" s="5">
        <f t="shared" si="30"/>
        <v>0</v>
      </c>
      <c r="H501" s="5">
        <f t="shared" si="31"/>
        <v>0</v>
      </c>
    </row>
    <row r="502" spans="1:8" x14ac:dyDescent="0.2">
      <c r="A502" s="2">
        <v>501</v>
      </c>
      <c r="B502" s="5">
        <f t="shared" si="28"/>
        <v>0</v>
      </c>
      <c r="C502" s="5">
        <f t="shared" si="29"/>
        <v>0</v>
      </c>
      <c r="D502" s="5"/>
      <c r="E502" s="5">
        <f>IF($B502 &lt;= 0, 0, -ROUND($B502 * (InterestRate / PaymentsPerYear), 2))</f>
        <v>0</v>
      </c>
      <c r="F502" s="5">
        <f>ROUND(IFERROR(IF($B502&lt;=0,0,
MAX(-$B502, -(-PMT(InterestRate/PaymentsPerYear,LoanTerm*PaymentsPerYear,LoanAmount) + $E502))), 0), 2)</f>
        <v>0</v>
      </c>
      <c r="G502" s="5">
        <f t="shared" si="30"/>
        <v>0</v>
      </c>
      <c r="H502" s="5">
        <f t="shared" si="31"/>
        <v>0</v>
      </c>
    </row>
    <row r="503" spans="1:8" x14ac:dyDescent="0.2">
      <c r="A503" s="2">
        <v>502</v>
      </c>
      <c r="B503" s="5">
        <f t="shared" si="28"/>
        <v>0</v>
      </c>
      <c r="C503" s="5">
        <f t="shared" si="29"/>
        <v>0</v>
      </c>
      <c r="D503" s="5"/>
      <c r="E503" s="5">
        <f>IF($B503 &lt;= 0, 0, -ROUND($B503 * (InterestRate / PaymentsPerYear), 2))</f>
        <v>0</v>
      </c>
      <c r="F503" s="5">
        <f>ROUND(IFERROR(IF($B503&lt;=0,0,
MAX(-$B503, -(-PMT(InterestRate/PaymentsPerYear,LoanTerm*PaymentsPerYear,LoanAmount) + $E503))), 0), 2)</f>
        <v>0</v>
      </c>
      <c r="G503" s="5">
        <f t="shared" si="30"/>
        <v>0</v>
      </c>
      <c r="H503" s="5">
        <f t="shared" si="31"/>
        <v>0</v>
      </c>
    </row>
    <row r="504" spans="1:8" x14ac:dyDescent="0.2">
      <c r="A504" s="2">
        <v>503</v>
      </c>
      <c r="B504" s="5">
        <f t="shared" si="28"/>
        <v>0</v>
      </c>
      <c r="C504" s="5">
        <f t="shared" si="29"/>
        <v>0</v>
      </c>
      <c r="D504" s="5"/>
      <c r="E504" s="5">
        <f>IF($B504 &lt;= 0, 0, -ROUND($B504 * (InterestRate / PaymentsPerYear), 2))</f>
        <v>0</v>
      </c>
      <c r="F504" s="5">
        <f>ROUND(IFERROR(IF($B504&lt;=0,0,
MAX(-$B504, -(-PMT(InterestRate/PaymentsPerYear,LoanTerm*PaymentsPerYear,LoanAmount) + $E504))), 0), 2)</f>
        <v>0</v>
      </c>
      <c r="G504" s="5">
        <f t="shared" si="30"/>
        <v>0</v>
      </c>
      <c r="H504" s="5">
        <f t="shared" si="31"/>
        <v>0</v>
      </c>
    </row>
    <row r="505" spans="1:8" x14ac:dyDescent="0.2">
      <c r="A505" s="2">
        <v>504</v>
      </c>
      <c r="B505" s="5">
        <f t="shared" si="28"/>
        <v>0</v>
      </c>
      <c r="C505" s="5">
        <f t="shared" si="29"/>
        <v>0</v>
      </c>
      <c r="D505" s="5"/>
      <c r="E505" s="5">
        <f>IF($B505 &lt;= 0, 0, -ROUND($B505 * (InterestRate / PaymentsPerYear), 2))</f>
        <v>0</v>
      </c>
      <c r="F505" s="5">
        <f>ROUND(IFERROR(IF($B505&lt;=0,0,
MAX(-$B505, -(-PMT(InterestRate/PaymentsPerYear,LoanTerm*PaymentsPerYear,LoanAmount) + $E505))), 0), 2)</f>
        <v>0</v>
      </c>
      <c r="G505" s="5">
        <f t="shared" si="30"/>
        <v>0</v>
      </c>
      <c r="H505" s="5">
        <f t="shared" si="31"/>
        <v>0</v>
      </c>
    </row>
    <row r="506" spans="1:8" x14ac:dyDescent="0.2">
      <c r="A506" s="2">
        <v>505</v>
      </c>
      <c r="B506" s="5">
        <f t="shared" si="28"/>
        <v>0</v>
      </c>
      <c r="C506" s="5">
        <f t="shared" si="29"/>
        <v>0</v>
      </c>
      <c r="D506" s="5"/>
      <c r="E506" s="5">
        <f>IF($B506 &lt;= 0, 0, -ROUND($B506 * (InterestRate / PaymentsPerYear), 2))</f>
        <v>0</v>
      </c>
      <c r="F506" s="5">
        <f>ROUND(IFERROR(IF($B506&lt;=0,0,
MAX(-$B506, -(-PMT(InterestRate/PaymentsPerYear,LoanTerm*PaymentsPerYear,LoanAmount) + $E506))), 0), 2)</f>
        <v>0</v>
      </c>
      <c r="G506" s="5">
        <f t="shared" si="30"/>
        <v>0</v>
      </c>
      <c r="H506" s="5">
        <f t="shared" si="31"/>
        <v>0</v>
      </c>
    </row>
    <row r="507" spans="1:8" x14ac:dyDescent="0.2">
      <c r="A507" s="2">
        <v>506</v>
      </c>
      <c r="B507" s="5">
        <f t="shared" si="28"/>
        <v>0</v>
      </c>
      <c r="C507" s="5">
        <f t="shared" si="29"/>
        <v>0</v>
      </c>
      <c r="D507" s="5"/>
      <c r="E507" s="5">
        <f>IF($B507 &lt;= 0, 0, -ROUND($B507 * (InterestRate / PaymentsPerYear), 2))</f>
        <v>0</v>
      </c>
      <c r="F507" s="5">
        <f>ROUND(IFERROR(IF($B507&lt;=0,0,
MAX(-$B507, -(-PMT(InterestRate/PaymentsPerYear,LoanTerm*PaymentsPerYear,LoanAmount) + $E507))), 0), 2)</f>
        <v>0</v>
      </c>
      <c r="G507" s="5">
        <f t="shared" si="30"/>
        <v>0</v>
      </c>
      <c r="H507" s="5">
        <f t="shared" si="31"/>
        <v>0</v>
      </c>
    </row>
    <row r="508" spans="1:8" x14ac:dyDescent="0.2">
      <c r="A508" s="2">
        <v>507</v>
      </c>
      <c r="B508" s="5">
        <f t="shared" si="28"/>
        <v>0</v>
      </c>
      <c r="C508" s="5">
        <f t="shared" si="29"/>
        <v>0</v>
      </c>
      <c r="D508" s="5"/>
      <c r="E508" s="5">
        <f>IF($B508 &lt;= 0, 0, -ROUND($B508 * (InterestRate / PaymentsPerYear), 2))</f>
        <v>0</v>
      </c>
      <c r="F508" s="5">
        <f>ROUND(IFERROR(IF($B508&lt;=0,0,
MAX(-$B508, -(-PMT(InterestRate/PaymentsPerYear,LoanTerm*PaymentsPerYear,LoanAmount) + $E508))), 0), 2)</f>
        <v>0</v>
      </c>
      <c r="G508" s="5">
        <f t="shared" si="30"/>
        <v>0</v>
      </c>
      <c r="H508" s="5">
        <f t="shared" si="31"/>
        <v>0</v>
      </c>
    </row>
    <row r="509" spans="1:8" x14ac:dyDescent="0.2">
      <c r="A509" s="2">
        <v>508</v>
      </c>
      <c r="B509" s="5">
        <f t="shared" si="28"/>
        <v>0</v>
      </c>
      <c r="C509" s="5">
        <f t="shared" si="29"/>
        <v>0</v>
      </c>
      <c r="D509" s="5"/>
      <c r="E509" s="5">
        <f>IF($B509 &lt;= 0, 0, -ROUND($B509 * (InterestRate / PaymentsPerYear), 2))</f>
        <v>0</v>
      </c>
      <c r="F509" s="5">
        <f>ROUND(IFERROR(IF($B509&lt;=0,0,
MAX(-$B509, -(-PMT(InterestRate/PaymentsPerYear,LoanTerm*PaymentsPerYear,LoanAmount) + $E509))), 0), 2)</f>
        <v>0</v>
      </c>
      <c r="G509" s="5">
        <f t="shared" si="30"/>
        <v>0</v>
      </c>
      <c r="H509" s="5">
        <f t="shared" si="31"/>
        <v>0</v>
      </c>
    </row>
    <row r="510" spans="1:8" x14ac:dyDescent="0.2">
      <c r="A510" s="2">
        <v>509</v>
      </c>
      <c r="B510" s="5">
        <f t="shared" si="28"/>
        <v>0</v>
      </c>
      <c r="C510" s="5">
        <f t="shared" si="29"/>
        <v>0</v>
      </c>
      <c r="D510" s="5"/>
      <c r="E510" s="5">
        <f>IF($B510 &lt;= 0, 0, -ROUND($B510 * (InterestRate / PaymentsPerYear), 2))</f>
        <v>0</v>
      </c>
      <c r="F510" s="5">
        <f>ROUND(IFERROR(IF($B510&lt;=0,0,
MAX(-$B510, -(-PMT(InterestRate/PaymentsPerYear,LoanTerm*PaymentsPerYear,LoanAmount) + $E510))), 0), 2)</f>
        <v>0</v>
      </c>
      <c r="G510" s="5">
        <f t="shared" si="30"/>
        <v>0</v>
      </c>
      <c r="H510" s="5">
        <f t="shared" si="31"/>
        <v>0</v>
      </c>
    </row>
    <row r="511" spans="1:8" x14ac:dyDescent="0.2">
      <c r="A511" s="2">
        <v>510</v>
      </c>
      <c r="B511" s="5">
        <f t="shared" si="28"/>
        <v>0</v>
      </c>
      <c r="C511" s="5">
        <f t="shared" si="29"/>
        <v>0</v>
      </c>
      <c r="D511" s="5"/>
      <c r="E511" s="5">
        <f>IF($B511 &lt;= 0, 0, -ROUND($B511 * (InterestRate / PaymentsPerYear), 2))</f>
        <v>0</v>
      </c>
      <c r="F511" s="5">
        <f>ROUND(IFERROR(IF($B511&lt;=0,0,
MAX(-$B511, -(-PMT(InterestRate/PaymentsPerYear,LoanTerm*PaymentsPerYear,LoanAmount) + $E511))), 0), 2)</f>
        <v>0</v>
      </c>
      <c r="G511" s="5">
        <f t="shared" si="30"/>
        <v>0</v>
      </c>
      <c r="H511" s="5">
        <f t="shared" si="31"/>
        <v>0</v>
      </c>
    </row>
    <row r="512" spans="1:8" x14ac:dyDescent="0.2">
      <c r="A512" s="2">
        <v>511</v>
      </c>
      <c r="B512" s="5">
        <f t="shared" si="28"/>
        <v>0</v>
      </c>
      <c r="C512" s="5">
        <f t="shared" si="29"/>
        <v>0</v>
      </c>
      <c r="D512" s="5"/>
      <c r="E512" s="5">
        <f>IF($B512 &lt;= 0, 0, -ROUND($B512 * (InterestRate / PaymentsPerYear), 2))</f>
        <v>0</v>
      </c>
      <c r="F512" s="5">
        <f>ROUND(IFERROR(IF($B512&lt;=0,0,
MAX(-$B512, -(-PMT(InterestRate/PaymentsPerYear,LoanTerm*PaymentsPerYear,LoanAmount) + $E512))), 0), 2)</f>
        <v>0</v>
      </c>
      <c r="G512" s="5">
        <f t="shared" si="30"/>
        <v>0</v>
      </c>
      <c r="H512" s="5">
        <f t="shared" si="31"/>
        <v>0</v>
      </c>
    </row>
    <row r="513" spans="1:8" x14ac:dyDescent="0.2">
      <c r="A513" s="2">
        <v>512</v>
      </c>
      <c r="B513" s="5">
        <f t="shared" si="28"/>
        <v>0</v>
      </c>
      <c r="C513" s="5">
        <f t="shared" si="29"/>
        <v>0</v>
      </c>
      <c r="D513" s="5"/>
      <c r="E513" s="5">
        <f>IF($B513 &lt;= 0, 0, -ROUND($B513 * (InterestRate / PaymentsPerYear), 2))</f>
        <v>0</v>
      </c>
      <c r="F513" s="5">
        <f>ROUND(IFERROR(IF($B513&lt;=0,0,
MAX(-$B513, -(-PMT(InterestRate/PaymentsPerYear,LoanTerm*PaymentsPerYear,LoanAmount) + $E513))), 0), 2)</f>
        <v>0</v>
      </c>
      <c r="G513" s="5">
        <f t="shared" si="30"/>
        <v>0</v>
      </c>
      <c r="H513" s="5">
        <f t="shared" si="31"/>
        <v>0</v>
      </c>
    </row>
    <row r="514" spans="1:8" x14ac:dyDescent="0.2">
      <c r="A514" s="2">
        <v>513</v>
      </c>
      <c r="B514" s="5">
        <f t="shared" si="28"/>
        <v>0</v>
      </c>
      <c r="C514" s="5">
        <f t="shared" si="29"/>
        <v>0</v>
      </c>
      <c r="D514" s="5"/>
      <c r="E514" s="5">
        <f>IF($B514 &lt;= 0, 0, -ROUND($B514 * (InterestRate / PaymentsPerYear), 2))</f>
        <v>0</v>
      </c>
      <c r="F514" s="5">
        <f>ROUND(IFERROR(IF($B514&lt;=0,0,
MAX(-$B514, -(-PMT(InterestRate/PaymentsPerYear,LoanTerm*PaymentsPerYear,LoanAmount) + $E514))), 0), 2)</f>
        <v>0</v>
      </c>
      <c r="G514" s="5">
        <f t="shared" si="30"/>
        <v>0</v>
      </c>
      <c r="H514" s="5">
        <f t="shared" si="31"/>
        <v>0</v>
      </c>
    </row>
    <row r="515" spans="1:8" x14ac:dyDescent="0.2">
      <c r="A515" s="2">
        <v>514</v>
      </c>
      <c r="B515" s="5">
        <f t="shared" si="28"/>
        <v>0</v>
      </c>
      <c r="C515" s="5">
        <f t="shared" si="29"/>
        <v>0</v>
      </c>
      <c r="D515" s="5"/>
      <c r="E515" s="5">
        <f>IF($B515 &lt;= 0, 0, -ROUND($B515 * (InterestRate / PaymentsPerYear), 2))</f>
        <v>0</v>
      </c>
      <c r="F515" s="5">
        <f>ROUND(IFERROR(IF($B515&lt;=0,0,
MAX(-$B515, -(-PMT(InterestRate/PaymentsPerYear,LoanTerm*PaymentsPerYear,LoanAmount) + $E515))), 0), 2)</f>
        <v>0</v>
      </c>
      <c r="G515" s="5">
        <f t="shared" si="30"/>
        <v>0</v>
      </c>
      <c r="H515" s="5">
        <f t="shared" si="31"/>
        <v>0</v>
      </c>
    </row>
    <row r="516" spans="1:8" x14ac:dyDescent="0.2">
      <c r="A516" s="2">
        <v>515</v>
      </c>
      <c r="B516" s="5">
        <f t="shared" ref="B516:B579" si="32">ROUND(IF($H515 &gt;= 0, MAX($H515, $F515), 0), 2)</f>
        <v>0</v>
      </c>
      <c r="C516" s="5">
        <f t="shared" ref="C516:C579" si="33">IF($B516 &lt;= 0, 0, $E516+$F516)</f>
        <v>0</v>
      </c>
      <c r="D516" s="5"/>
      <c r="E516" s="5">
        <f>IF($B516 &lt;= 0, 0, -ROUND($B516 * (InterestRate / PaymentsPerYear), 2))</f>
        <v>0</v>
      </c>
      <c r="F516" s="5">
        <f>ROUND(IFERROR(IF($B516&lt;=0,0,
MAX(-$B516, -(-PMT(InterestRate/PaymentsPerYear,LoanTerm*PaymentsPerYear,LoanAmount) + $E516))), 0), 2)</f>
        <v>0</v>
      </c>
      <c r="G516" s="5">
        <f t="shared" ref="G516:G579" si="34">$F516</f>
        <v>0</v>
      </c>
      <c r="H516" s="5">
        <f t="shared" ref="H516:H579" si="35">ROUND(IF($B516 &lt;= 0, 0,MAX(0, $B516 + $G516)), 2)</f>
        <v>0</v>
      </c>
    </row>
    <row r="517" spans="1:8" x14ac:dyDescent="0.2">
      <c r="A517" s="2">
        <v>516</v>
      </c>
      <c r="B517" s="5">
        <f t="shared" si="32"/>
        <v>0</v>
      </c>
      <c r="C517" s="5">
        <f t="shared" si="33"/>
        <v>0</v>
      </c>
      <c r="D517" s="5"/>
      <c r="E517" s="5">
        <f>IF($B517 &lt;= 0, 0, -ROUND($B517 * (InterestRate / PaymentsPerYear), 2))</f>
        <v>0</v>
      </c>
      <c r="F517" s="5">
        <f>ROUND(IFERROR(IF($B517&lt;=0,0,
MAX(-$B517, -(-PMT(InterestRate/PaymentsPerYear,LoanTerm*PaymentsPerYear,LoanAmount) + $E517))), 0), 2)</f>
        <v>0</v>
      </c>
      <c r="G517" s="5">
        <f t="shared" si="34"/>
        <v>0</v>
      </c>
      <c r="H517" s="5">
        <f t="shared" si="35"/>
        <v>0</v>
      </c>
    </row>
    <row r="518" spans="1:8" x14ac:dyDescent="0.2">
      <c r="A518" s="2">
        <v>517</v>
      </c>
      <c r="B518" s="5">
        <f t="shared" si="32"/>
        <v>0</v>
      </c>
      <c r="C518" s="5">
        <f t="shared" si="33"/>
        <v>0</v>
      </c>
      <c r="D518" s="5"/>
      <c r="E518" s="5">
        <f>IF($B518 &lt;= 0, 0, -ROUND($B518 * (InterestRate / PaymentsPerYear), 2))</f>
        <v>0</v>
      </c>
      <c r="F518" s="5">
        <f>ROUND(IFERROR(IF($B518&lt;=0,0,
MAX(-$B518, -(-PMT(InterestRate/PaymentsPerYear,LoanTerm*PaymentsPerYear,LoanAmount) + $E518))), 0), 2)</f>
        <v>0</v>
      </c>
      <c r="G518" s="5">
        <f t="shared" si="34"/>
        <v>0</v>
      </c>
      <c r="H518" s="5">
        <f t="shared" si="35"/>
        <v>0</v>
      </c>
    </row>
    <row r="519" spans="1:8" x14ac:dyDescent="0.2">
      <c r="A519" s="2">
        <v>518</v>
      </c>
      <c r="B519" s="5">
        <f t="shared" si="32"/>
        <v>0</v>
      </c>
      <c r="C519" s="5">
        <f t="shared" si="33"/>
        <v>0</v>
      </c>
      <c r="D519" s="5"/>
      <c r="E519" s="5">
        <f>IF($B519 &lt;= 0, 0, -ROUND($B519 * (InterestRate / PaymentsPerYear), 2))</f>
        <v>0</v>
      </c>
      <c r="F519" s="5">
        <f>ROUND(IFERROR(IF($B519&lt;=0,0,
MAX(-$B519, -(-PMT(InterestRate/PaymentsPerYear,LoanTerm*PaymentsPerYear,LoanAmount) + $E519))), 0), 2)</f>
        <v>0</v>
      </c>
      <c r="G519" s="5">
        <f t="shared" si="34"/>
        <v>0</v>
      </c>
      <c r="H519" s="5">
        <f t="shared" si="35"/>
        <v>0</v>
      </c>
    </row>
    <row r="520" spans="1:8" x14ac:dyDescent="0.2">
      <c r="A520" s="2">
        <v>519</v>
      </c>
      <c r="B520" s="5">
        <f t="shared" si="32"/>
        <v>0</v>
      </c>
      <c r="C520" s="5">
        <f t="shared" si="33"/>
        <v>0</v>
      </c>
      <c r="D520" s="5"/>
      <c r="E520" s="5">
        <f>IF($B520 &lt;= 0, 0, -ROUND($B520 * (InterestRate / PaymentsPerYear), 2))</f>
        <v>0</v>
      </c>
      <c r="F520" s="5">
        <f>ROUND(IFERROR(IF($B520&lt;=0,0,
MAX(-$B520, -(-PMT(InterestRate/PaymentsPerYear,LoanTerm*PaymentsPerYear,LoanAmount) + $E520))), 0), 2)</f>
        <v>0</v>
      </c>
      <c r="G520" s="5">
        <f t="shared" si="34"/>
        <v>0</v>
      </c>
      <c r="H520" s="5">
        <f t="shared" si="35"/>
        <v>0</v>
      </c>
    </row>
    <row r="521" spans="1:8" x14ac:dyDescent="0.2">
      <c r="A521" s="2">
        <v>520</v>
      </c>
      <c r="B521" s="5">
        <f t="shared" si="32"/>
        <v>0</v>
      </c>
      <c r="C521" s="5">
        <f t="shared" si="33"/>
        <v>0</v>
      </c>
      <c r="D521" s="5"/>
      <c r="E521" s="5">
        <f>IF($B521 &lt;= 0, 0, -ROUND($B521 * (InterestRate / PaymentsPerYear), 2))</f>
        <v>0</v>
      </c>
      <c r="F521" s="5">
        <f>ROUND(IFERROR(IF($B521&lt;=0,0,
MAX(-$B521, -(-PMT(InterestRate/PaymentsPerYear,LoanTerm*PaymentsPerYear,LoanAmount) + $E521))), 0), 2)</f>
        <v>0</v>
      </c>
      <c r="G521" s="5">
        <f t="shared" si="34"/>
        <v>0</v>
      </c>
      <c r="H521" s="5">
        <f t="shared" si="35"/>
        <v>0</v>
      </c>
    </row>
    <row r="522" spans="1:8" x14ac:dyDescent="0.2">
      <c r="A522" s="2">
        <v>521</v>
      </c>
      <c r="B522" s="5">
        <f t="shared" si="32"/>
        <v>0</v>
      </c>
      <c r="C522" s="5">
        <f t="shared" si="33"/>
        <v>0</v>
      </c>
      <c r="D522" s="5"/>
      <c r="E522" s="5">
        <f>IF($B522 &lt;= 0, 0, -ROUND($B522 * (InterestRate / PaymentsPerYear), 2))</f>
        <v>0</v>
      </c>
      <c r="F522" s="5">
        <f>ROUND(IFERROR(IF($B522&lt;=0,0,
MAX(-$B522, -(-PMT(InterestRate/PaymentsPerYear,LoanTerm*PaymentsPerYear,LoanAmount) + $E522))), 0), 2)</f>
        <v>0</v>
      </c>
      <c r="G522" s="5">
        <f t="shared" si="34"/>
        <v>0</v>
      </c>
      <c r="H522" s="5">
        <f t="shared" si="35"/>
        <v>0</v>
      </c>
    </row>
    <row r="523" spans="1:8" x14ac:dyDescent="0.2">
      <c r="A523" s="2">
        <v>522</v>
      </c>
      <c r="B523" s="5">
        <f t="shared" si="32"/>
        <v>0</v>
      </c>
      <c r="C523" s="5">
        <f t="shared" si="33"/>
        <v>0</v>
      </c>
      <c r="D523" s="5"/>
      <c r="E523" s="5">
        <f>IF($B523 &lt;= 0, 0, -ROUND($B523 * (InterestRate / PaymentsPerYear), 2))</f>
        <v>0</v>
      </c>
      <c r="F523" s="5">
        <f>ROUND(IFERROR(IF($B523&lt;=0,0,
MAX(-$B523, -(-PMT(InterestRate/PaymentsPerYear,LoanTerm*PaymentsPerYear,LoanAmount) + $E523))), 0), 2)</f>
        <v>0</v>
      </c>
      <c r="G523" s="5">
        <f t="shared" si="34"/>
        <v>0</v>
      </c>
      <c r="H523" s="5">
        <f t="shared" si="35"/>
        <v>0</v>
      </c>
    </row>
    <row r="524" spans="1:8" x14ac:dyDescent="0.2">
      <c r="A524" s="2">
        <v>523</v>
      </c>
      <c r="B524" s="5">
        <f t="shared" si="32"/>
        <v>0</v>
      </c>
      <c r="C524" s="5">
        <f t="shared" si="33"/>
        <v>0</v>
      </c>
      <c r="D524" s="5"/>
      <c r="E524" s="5">
        <f>IF($B524 &lt;= 0, 0, -ROUND($B524 * (InterestRate / PaymentsPerYear), 2))</f>
        <v>0</v>
      </c>
      <c r="F524" s="5">
        <f>ROUND(IFERROR(IF($B524&lt;=0,0,
MAX(-$B524, -(-PMT(InterestRate/PaymentsPerYear,LoanTerm*PaymentsPerYear,LoanAmount) + $E524))), 0), 2)</f>
        <v>0</v>
      </c>
      <c r="G524" s="5">
        <f t="shared" si="34"/>
        <v>0</v>
      </c>
      <c r="H524" s="5">
        <f t="shared" si="35"/>
        <v>0</v>
      </c>
    </row>
    <row r="525" spans="1:8" x14ac:dyDescent="0.2">
      <c r="A525" s="2">
        <v>524</v>
      </c>
      <c r="B525" s="5">
        <f t="shared" si="32"/>
        <v>0</v>
      </c>
      <c r="C525" s="5">
        <f t="shared" si="33"/>
        <v>0</v>
      </c>
      <c r="D525" s="5"/>
      <c r="E525" s="5">
        <f>IF($B525 &lt;= 0, 0, -ROUND($B525 * (InterestRate / PaymentsPerYear), 2))</f>
        <v>0</v>
      </c>
      <c r="F525" s="5">
        <f>ROUND(IFERROR(IF($B525&lt;=0,0,
MAX(-$B525, -(-PMT(InterestRate/PaymentsPerYear,LoanTerm*PaymentsPerYear,LoanAmount) + $E525))), 0), 2)</f>
        <v>0</v>
      </c>
      <c r="G525" s="5">
        <f t="shared" si="34"/>
        <v>0</v>
      </c>
      <c r="H525" s="5">
        <f t="shared" si="35"/>
        <v>0</v>
      </c>
    </row>
    <row r="526" spans="1:8" x14ac:dyDescent="0.2">
      <c r="A526" s="2">
        <v>525</v>
      </c>
      <c r="B526" s="5">
        <f t="shared" si="32"/>
        <v>0</v>
      </c>
      <c r="C526" s="5">
        <f t="shared" si="33"/>
        <v>0</v>
      </c>
      <c r="D526" s="5"/>
      <c r="E526" s="5">
        <f>IF($B526 &lt;= 0, 0, -ROUND($B526 * (InterestRate / PaymentsPerYear), 2))</f>
        <v>0</v>
      </c>
      <c r="F526" s="5">
        <f>ROUND(IFERROR(IF($B526&lt;=0,0,
MAX(-$B526, -(-PMT(InterestRate/PaymentsPerYear,LoanTerm*PaymentsPerYear,LoanAmount) + $E526))), 0), 2)</f>
        <v>0</v>
      </c>
      <c r="G526" s="5">
        <f t="shared" si="34"/>
        <v>0</v>
      </c>
      <c r="H526" s="5">
        <f t="shared" si="35"/>
        <v>0</v>
      </c>
    </row>
    <row r="527" spans="1:8" x14ac:dyDescent="0.2">
      <c r="A527" s="2">
        <v>526</v>
      </c>
      <c r="B527" s="5">
        <f t="shared" si="32"/>
        <v>0</v>
      </c>
      <c r="C527" s="5">
        <f t="shared" si="33"/>
        <v>0</v>
      </c>
      <c r="D527" s="5"/>
      <c r="E527" s="5">
        <f>IF($B527 &lt;= 0, 0, -ROUND($B527 * (InterestRate / PaymentsPerYear), 2))</f>
        <v>0</v>
      </c>
      <c r="F527" s="5">
        <f>ROUND(IFERROR(IF($B527&lt;=0,0,
MAX(-$B527, -(-PMT(InterestRate/PaymentsPerYear,LoanTerm*PaymentsPerYear,LoanAmount) + $E527))), 0), 2)</f>
        <v>0</v>
      </c>
      <c r="G527" s="5">
        <f t="shared" si="34"/>
        <v>0</v>
      </c>
      <c r="H527" s="5">
        <f t="shared" si="35"/>
        <v>0</v>
      </c>
    </row>
    <row r="528" spans="1:8" x14ac:dyDescent="0.2">
      <c r="A528" s="2">
        <v>527</v>
      </c>
      <c r="B528" s="5">
        <f t="shared" si="32"/>
        <v>0</v>
      </c>
      <c r="C528" s="5">
        <f t="shared" si="33"/>
        <v>0</v>
      </c>
      <c r="D528" s="5"/>
      <c r="E528" s="5">
        <f>IF($B528 &lt;= 0, 0, -ROUND($B528 * (InterestRate / PaymentsPerYear), 2))</f>
        <v>0</v>
      </c>
      <c r="F528" s="5">
        <f>ROUND(IFERROR(IF($B528&lt;=0,0,
MAX(-$B528, -(-PMT(InterestRate/PaymentsPerYear,LoanTerm*PaymentsPerYear,LoanAmount) + $E528))), 0), 2)</f>
        <v>0</v>
      </c>
      <c r="G528" s="5">
        <f t="shared" si="34"/>
        <v>0</v>
      </c>
      <c r="H528" s="5">
        <f t="shared" si="35"/>
        <v>0</v>
      </c>
    </row>
    <row r="529" spans="1:8" x14ac:dyDescent="0.2">
      <c r="A529" s="2">
        <v>528</v>
      </c>
      <c r="B529" s="5">
        <f t="shared" si="32"/>
        <v>0</v>
      </c>
      <c r="C529" s="5">
        <f t="shared" si="33"/>
        <v>0</v>
      </c>
      <c r="D529" s="5"/>
      <c r="E529" s="5">
        <f>IF($B529 &lt;= 0, 0, -ROUND($B529 * (InterestRate / PaymentsPerYear), 2))</f>
        <v>0</v>
      </c>
      <c r="F529" s="5">
        <f>ROUND(IFERROR(IF($B529&lt;=0,0,
MAX(-$B529, -(-PMT(InterestRate/PaymentsPerYear,LoanTerm*PaymentsPerYear,LoanAmount) + $E529))), 0), 2)</f>
        <v>0</v>
      </c>
      <c r="G529" s="5">
        <f t="shared" si="34"/>
        <v>0</v>
      </c>
      <c r="H529" s="5">
        <f t="shared" si="35"/>
        <v>0</v>
      </c>
    </row>
    <row r="530" spans="1:8" x14ac:dyDescent="0.2">
      <c r="A530" s="2">
        <v>529</v>
      </c>
      <c r="B530" s="5">
        <f t="shared" si="32"/>
        <v>0</v>
      </c>
      <c r="C530" s="5">
        <f t="shared" si="33"/>
        <v>0</v>
      </c>
      <c r="D530" s="5"/>
      <c r="E530" s="5">
        <f>IF($B530 &lt;= 0, 0, -ROUND($B530 * (InterestRate / PaymentsPerYear), 2))</f>
        <v>0</v>
      </c>
      <c r="F530" s="5">
        <f>ROUND(IFERROR(IF($B530&lt;=0,0,
MAX(-$B530, -(-PMT(InterestRate/PaymentsPerYear,LoanTerm*PaymentsPerYear,LoanAmount) + $E530))), 0), 2)</f>
        <v>0</v>
      </c>
      <c r="G530" s="5">
        <f t="shared" si="34"/>
        <v>0</v>
      </c>
      <c r="H530" s="5">
        <f t="shared" si="35"/>
        <v>0</v>
      </c>
    </row>
    <row r="531" spans="1:8" x14ac:dyDescent="0.2">
      <c r="A531" s="2">
        <v>530</v>
      </c>
      <c r="B531" s="5">
        <f t="shared" si="32"/>
        <v>0</v>
      </c>
      <c r="C531" s="5">
        <f t="shared" si="33"/>
        <v>0</v>
      </c>
      <c r="D531" s="5"/>
      <c r="E531" s="5">
        <f>IF($B531 &lt;= 0, 0, -ROUND($B531 * (InterestRate / PaymentsPerYear), 2))</f>
        <v>0</v>
      </c>
      <c r="F531" s="5">
        <f>ROUND(IFERROR(IF($B531&lt;=0,0,
MAX(-$B531, -(-PMT(InterestRate/PaymentsPerYear,LoanTerm*PaymentsPerYear,LoanAmount) + $E531))), 0), 2)</f>
        <v>0</v>
      </c>
      <c r="G531" s="5">
        <f t="shared" si="34"/>
        <v>0</v>
      </c>
      <c r="H531" s="5">
        <f t="shared" si="35"/>
        <v>0</v>
      </c>
    </row>
    <row r="532" spans="1:8" x14ac:dyDescent="0.2">
      <c r="A532" s="2">
        <v>531</v>
      </c>
      <c r="B532" s="5">
        <f t="shared" si="32"/>
        <v>0</v>
      </c>
      <c r="C532" s="5">
        <f t="shared" si="33"/>
        <v>0</v>
      </c>
      <c r="D532" s="5"/>
      <c r="E532" s="5">
        <f>IF($B532 &lt;= 0, 0, -ROUND($B532 * (InterestRate / PaymentsPerYear), 2))</f>
        <v>0</v>
      </c>
      <c r="F532" s="5">
        <f>ROUND(IFERROR(IF($B532&lt;=0,0,
MAX(-$B532, -(-PMT(InterestRate/PaymentsPerYear,LoanTerm*PaymentsPerYear,LoanAmount) + $E532))), 0), 2)</f>
        <v>0</v>
      </c>
      <c r="G532" s="5">
        <f t="shared" si="34"/>
        <v>0</v>
      </c>
      <c r="H532" s="5">
        <f t="shared" si="35"/>
        <v>0</v>
      </c>
    </row>
    <row r="533" spans="1:8" x14ac:dyDescent="0.2">
      <c r="A533" s="2">
        <v>532</v>
      </c>
      <c r="B533" s="5">
        <f t="shared" si="32"/>
        <v>0</v>
      </c>
      <c r="C533" s="5">
        <f t="shared" si="33"/>
        <v>0</v>
      </c>
      <c r="D533" s="5"/>
      <c r="E533" s="5">
        <f>IF($B533 &lt;= 0, 0, -ROUND($B533 * (InterestRate / PaymentsPerYear), 2))</f>
        <v>0</v>
      </c>
      <c r="F533" s="5">
        <f>ROUND(IFERROR(IF($B533&lt;=0,0,
MAX(-$B533, -(-PMT(InterestRate/PaymentsPerYear,LoanTerm*PaymentsPerYear,LoanAmount) + $E533))), 0), 2)</f>
        <v>0</v>
      </c>
      <c r="G533" s="5">
        <f t="shared" si="34"/>
        <v>0</v>
      </c>
      <c r="H533" s="5">
        <f t="shared" si="35"/>
        <v>0</v>
      </c>
    </row>
    <row r="534" spans="1:8" x14ac:dyDescent="0.2">
      <c r="A534" s="2">
        <v>533</v>
      </c>
      <c r="B534" s="5">
        <f t="shared" si="32"/>
        <v>0</v>
      </c>
      <c r="C534" s="5">
        <f t="shared" si="33"/>
        <v>0</v>
      </c>
      <c r="D534" s="5"/>
      <c r="E534" s="5">
        <f>IF($B534 &lt;= 0, 0, -ROUND($B534 * (InterestRate / PaymentsPerYear), 2))</f>
        <v>0</v>
      </c>
      <c r="F534" s="5">
        <f>ROUND(IFERROR(IF($B534&lt;=0,0,
MAX(-$B534, -(-PMT(InterestRate/PaymentsPerYear,LoanTerm*PaymentsPerYear,LoanAmount) + $E534))), 0), 2)</f>
        <v>0</v>
      </c>
      <c r="G534" s="5">
        <f t="shared" si="34"/>
        <v>0</v>
      </c>
      <c r="H534" s="5">
        <f t="shared" si="35"/>
        <v>0</v>
      </c>
    </row>
    <row r="535" spans="1:8" x14ac:dyDescent="0.2">
      <c r="A535" s="2">
        <v>534</v>
      </c>
      <c r="B535" s="5">
        <f t="shared" si="32"/>
        <v>0</v>
      </c>
      <c r="C535" s="5">
        <f t="shared" si="33"/>
        <v>0</v>
      </c>
      <c r="D535" s="5"/>
      <c r="E535" s="5">
        <f>IF($B535 &lt;= 0, 0, -ROUND($B535 * (InterestRate / PaymentsPerYear), 2))</f>
        <v>0</v>
      </c>
      <c r="F535" s="5">
        <f>ROUND(IFERROR(IF($B535&lt;=0,0,
MAX(-$B535, -(-PMT(InterestRate/PaymentsPerYear,LoanTerm*PaymentsPerYear,LoanAmount) + $E535))), 0), 2)</f>
        <v>0</v>
      </c>
      <c r="G535" s="5">
        <f t="shared" si="34"/>
        <v>0</v>
      </c>
      <c r="H535" s="5">
        <f t="shared" si="35"/>
        <v>0</v>
      </c>
    </row>
    <row r="536" spans="1:8" x14ac:dyDescent="0.2">
      <c r="A536" s="2">
        <v>535</v>
      </c>
      <c r="B536" s="5">
        <f t="shared" si="32"/>
        <v>0</v>
      </c>
      <c r="C536" s="5">
        <f t="shared" si="33"/>
        <v>0</v>
      </c>
      <c r="D536" s="5"/>
      <c r="E536" s="5">
        <f>IF($B536 &lt;= 0, 0, -ROUND($B536 * (InterestRate / PaymentsPerYear), 2))</f>
        <v>0</v>
      </c>
      <c r="F536" s="5">
        <f>ROUND(IFERROR(IF($B536&lt;=0,0,
MAX(-$B536, -(-PMT(InterestRate/PaymentsPerYear,LoanTerm*PaymentsPerYear,LoanAmount) + $E536))), 0), 2)</f>
        <v>0</v>
      </c>
      <c r="G536" s="5">
        <f t="shared" si="34"/>
        <v>0</v>
      </c>
      <c r="H536" s="5">
        <f t="shared" si="35"/>
        <v>0</v>
      </c>
    </row>
    <row r="537" spans="1:8" x14ac:dyDescent="0.2">
      <c r="A537" s="2">
        <v>536</v>
      </c>
      <c r="B537" s="5">
        <f t="shared" si="32"/>
        <v>0</v>
      </c>
      <c r="C537" s="5">
        <f t="shared" si="33"/>
        <v>0</v>
      </c>
      <c r="D537" s="5"/>
      <c r="E537" s="5">
        <f>IF($B537 &lt;= 0, 0, -ROUND($B537 * (InterestRate / PaymentsPerYear), 2))</f>
        <v>0</v>
      </c>
      <c r="F537" s="5">
        <f>ROUND(IFERROR(IF($B537&lt;=0,0,
MAX(-$B537, -(-PMT(InterestRate/PaymentsPerYear,LoanTerm*PaymentsPerYear,LoanAmount) + $E537))), 0), 2)</f>
        <v>0</v>
      </c>
      <c r="G537" s="5">
        <f t="shared" si="34"/>
        <v>0</v>
      </c>
      <c r="H537" s="5">
        <f t="shared" si="35"/>
        <v>0</v>
      </c>
    </row>
    <row r="538" spans="1:8" x14ac:dyDescent="0.2">
      <c r="A538" s="2">
        <v>537</v>
      </c>
      <c r="B538" s="5">
        <f t="shared" si="32"/>
        <v>0</v>
      </c>
      <c r="C538" s="5">
        <f t="shared" si="33"/>
        <v>0</v>
      </c>
      <c r="D538" s="5"/>
      <c r="E538" s="5">
        <f>IF($B538 &lt;= 0, 0, -ROUND($B538 * (InterestRate / PaymentsPerYear), 2))</f>
        <v>0</v>
      </c>
      <c r="F538" s="5">
        <f>ROUND(IFERROR(IF($B538&lt;=0,0,
MAX(-$B538, -(-PMT(InterestRate/PaymentsPerYear,LoanTerm*PaymentsPerYear,LoanAmount) + $E538))), 0), 2)</f>
        <v>0</v>
      </c>
      <c r="G538" s="5">
        <f t="shared" si="34"/>
        <v>0</v>
      </c>
      <c r="H538" s="5">
        <f t="shared" si="35"/>
        <v>0</v>
      </c>
    </row>
    <row r="539" spans="1:8" x14ac:dyDescent="0.2">
      <c r="A539" s="2">
        <v>538</v>
      </c>
      <c r="B539" s="5">
        <f t="shared" si="32"/>
        <v>0</v>
      </c>
      <c r="C539" s="5">
        <f t="shared" si="33"/>
        <v>0</v>
      </c>
      <c r="D539" s="5"/>
      <c r="E539" s="5">
        <f>IF($B539 &lt;= 0, 0, -ROUND($B539 * (InterestRate / PaymentsPerYear), 2))</f>
        <v>0</v>
      </c>
      <c r="F539" s="5">
        <f>ROUND(IFERROR(IF($B539&lt;=0,0,
MAX(-$B539, -(-PMT(InterestRate/PaymentsPerYear,LoanTerm*PaymentsPerYear,LoanAmount) + $E539))), 0), 2)</f>
        <v>0</v>
      </c>
      <c r="G539" s="5">
        <f t="shared" si="34"/>
        <v>0</v>
      </c>
      <c r="H539" s="5">
        <f t="shared" si="35"/>
        <v>0</v>
      </c>
    </row>
    <row r="540" spans="1:8" x14ac:dyDescent="0.2">
      <c r="A540" s="2">
        <v>539</v>
      </c>
      <c r="B540" s="5">
        <f t="shared" si="32"/>
        <v>0</v>
      </c>
      <c r="C540" s="5">
        <f t="shared" si="33"/>
        <v>0</v>
      </c>
      <c r="D540" s="5"/>
      <c r="E540" s="5">
        <f>IF($B540 &lt;= 0, 0, -ROUND($B540 * (InterestRate / PaymentsPerYear), 2))</f>
        <v>0</v>
      </c>
      <c r="F540" s="5">
        <f>ROUND(IFERROR(IF($B540&lt;=0,0,
MAX(-$B540, -(-PMT(InterestRate/PaymentsPerYear,LoanTerm*PaymentsPerYear,LoanAmount) + $E540))), 0), 2)</f>
        <v>0</v>
      </c>
      <c r="G540" s="5">
        <f t="shared" si="34"/>
        <v>0</v>
      </c>
      <c r="H540" s="5">
        <f t="shared" si="35"/>
        <v>0</v>
      </c>
    </row>
    <row r="541" spans="1:8" x14ac:dyDescent="0.2">
      <c r="A541" s="2">
        <v>540</v>
      </c>
      <c r="B541" s="5">
        <f t="shared" si="32"/>
        <v>0</v>
      </c>
      <c r="C541" s="5">
        <f t="shared" si="33"/>
        <v>0</v>
      </c>
      <c r="D541" s="5"/>
      <c r="E541" s="5">
        <f>IF($B541 &lt;= 0, 0, -ROUND($B541 * (InterestRate / PaymentsPerYear), 2))</f>
        <v>0</v>
      </c>
      <c r="F541" s="5">
        <f>ROUND(IFERROR(IF($B541&lt;=0,0,
MAX(-$B541, -(-PMT(InterestRate/PaymentsPerYear,LoanTerm*PaymentsPerYear,LoanAmount) + $E541))), 0), 2)</f>
        <v>0</v>
      </c>
      <c r="G541" s="5">
        <f t="shared" si="34"/>
        <v>0</v>
      </c>
      <c r="H541" s="5">
        <f t="shared" si="35"/>
        <v>0</v>
      </c>
    </row>
    <row r="542" spans="1:8" x14ac:dyDescent="0.2">
      <c r="A542" s="2">
        <v>541</v>
      </c>
      <c r="B542" s="5">
        <f t="shared" si="32"/>
        <v>0</v>
      </c>
      <c r="C542" s="5">
        <f t="shared" si="33"/>
        <v>0</v>
      </c>
      <c r="D542" s="5"/>
      <c r="E542" s="5">
        <f>IF($B542 &lt;= 0, 0, -ROUND($B542 * (InterestRate / PaymentsPerYear), 2))</f>
        <v>0</v>
      </c>
      <c r="F542" s="5">
        <f>ROUND(IFERROR(IF($B542&lt;=0,0,
MAX(-$B542, -(-PMT(InterestRate/PaymentsPerYear,LoanTerm*PaymentsPerYear,LoanAmount) + $E542))), 0), 2)</f>
        <v>0</v>
      </c>
      <c r="G542" s="5">
        <f t="shared" si="34"/>
        <v>0</v>
      </c>
      <c r="H542" s="5">
        <f t="shared" si="35"/>
        <v>0</v>
      </c>
    </row>
    <row r="543" spans="1:8" x14ac:dyDescent="0.2">
      <c r="A543" s="2">
        <v>542</v>
      </c>
      <c r="B543" s="5">
        <f t="shared" si="32"/>
        <v>0</v>
      </c>
      <c r="C543" s="5">
        <f t="shared" si="33"/>
        <v>0</v>
      </c>
      <c r="D543" s="5"/>
      <c r="E543" s="5">
        <f>IF($B543 &lt;= 0, 0, -ROUND($B543 * (InterestRate / PaymentsPerYear), 2))</f>
        <v>0</v>
      </c>
      <c r="F543" s="5">
        <f>ROUND(IFERROR(IF($B543&lt;=0,0,
MAX(-$B543, -(-PMT(InterestRate/PaymentsPerYear,LoanTerm*PaymentsPerYear,LoanAmount) + $E543))), 0), 2)</f>
        <v>0</v>
      </c>
      <c r="G543" s="5">
        <f t="shared" si="34"/>
        <v>0</v>
      </c>
      <c r="H543" s="5">
        <f t="shared" si="35"/>
        <v>0</v>
      </c>
    </row>
    <row r="544" spans="1:8" x14ac:dyDescent="0.2">
      <c r="A544" s="2">
        <v>543</v>
      </c>
      <c r="B544" s="5">
        <f t="shared" si="32"/>
        <v>0</v>
      </c>
      <c r="C544" s="5">
        <f t="shared" si="33"/>
        <v>0</v>
      </c>
      <c r="D544" s="5"/>
      <c r="E544" s="5">
        <f>IF($B544 &lt;= 0, 0, -ROUND($B544 * (InterestRate / PaymentsPerYear), 2))</f>
        <v>0</v>
      </c>
      <c r="F544" s="5">
        <f>ROUND(IFERROR(IF($B544&lt;=0,0,
MAX(-$B544, -(-PMT(InterestRate/PaymentsPerYear,LoanTerm*PaymentsPerYear,LoanAmount) + $E544))), 0), 2)</f>
        <v>0</v>
      </c>
      <c r="G544" s="5">
        <f t="shared" si="34"/>
        <v>0</v>
      </c>
      <c r="H544" s="5">
        <f t="shared" si="35"/>
        <v>0</v>
      </c>
    </row>
    <row r="545" spans="1:8" x14ac:dyDescent="0.2">
      <c r="A545" s="2">
        <v>544</v>
      </c>
      <c r="B545" s="5">
        <f t="shared" si="32"/>
        <v>0</v>
      </c>
      <c r="C545" s="5">
        <f t="shared" si="33"/>
        <v>0</v>
      </c>
      <c r="D545" s="5"/>
      <c r="E545" s="5">
        <f>IF($B545 &lt;= 0, 0, -ROUND($B545 * (InterestRate / PaymentsPerYear), 2))</f>
        <v>0</v>
      </c>
      <c r="F545" s="5">
        <f>ROUND(IFERROR(IF($B545&lt;=0,0,
MAX(-$B545, -(-PMT(InterestRate/PaymentsPerYear,LoanTerm*PaymentsPerYear,LoanAmount) + $E545))), 0), 2)</f>
        <v>0</v>
      </c>
      <c r="G545" s="5">
        <f t="shared" si="34"/>
        <v>0</v>
      </c>
      <c r="H545" s="5">
        <f t="shared" si="35"/>
        <v>0</v>
      </c>
    </row>
    <row r="546" spans="1:8" x14ac:dyDescent="0.2">
      <c r="A546" s="2">
        <v>545</v>
      </c>
      <c r="B546" s="5">
        <f t="shared" si="32"/>
        <v>0</v>
      </c>
      <c r="C546" s="5">
        <f t="shared" si="33"/>
        <v>0</v>
      </c>
      <c r="D546" s="5"/>
      <c r="E546" s="5">
        <f>IF($B546 &lt;= 0, 0, -ROUND($B546 * (InterestRate / PaymentsPerYear), 2))</f>
        <v>0</v>
      </c>
      <c r="F546" s="5">
        <f>ROUND(IFERROR(IF($B546&lt;=0,0,
MAX(-$B546, -(-PMT(InterestRate/PaymentsPerYear,LoanTerm*PaymentsPerYear,LoanAmount) + $E546))), 0), 2)</f>
        <v>0</v>
      </c>
      <c r="G546" s="5">
        <f t="shared" si="34"/>
        <v>0</v>
      </c>
      <c r="H546" s="5">
        <f t="shared" si="35"/>
        <v>0</v>
      </c>
    </row>
    <row r="547" spans="1:8" x14ac:dyDescent="0.2">
      <c r="A547" s="2">
        <v>546</v>
      </c>
      <c r="B547" s="5">
        <f t="shared" si="32"/>
        <v>0</v>
      </c>
      <c r="C547" s="5">
        <f t="shared" si="33"/>
        <v>0</v>
      </c>
      <c r="D547" s="5"/>
      <c r="E547" s="5">
        <f>IF($B547 &lt;= 0, 0, -ROUND($B547 * (InterestRate / PaymentsPerYear), 2))</f>
        <v>0</v>
      </c>
      <c r="F547" s="5">
        <f>ROUND(IFERROR(IF($B547&lt;=0,0,
MAX(-$B547, -(-PMT(InterestRate/PaymentsPerYear,LoanTerm*PaymentsPerYear,LoanAmount) + $E547))), 0), 2)</f>
        <v>0</v>
      </c>
      <c r="G547" s="5">
        <f t="shared" si="34"/>
        <v>0</v>
      </c>
      <c r="H547" s="5">
        <f t="shared" si="35"/>
        <v>0</v>
      </c>
    </row>
    <row r="548" spans="1:8" x14ac:dyDescent="0.2">
      <c r="A548" s="2">
        <v>547</v>
      </c>
      <c r="B548" s="5">
        <f t="shared" si="32"/>
        <v>0</v>
      </c>
      <c r="C548" s="5">
        <f t="shared" si="33"/>
        <v>0</v>
      </c>
      <c r="D548" s="5"/>
      <c r="E548" s="5">
        <f>IF($B548 &lt;= 0, 0, -ROUND($B548 * (InterestRate / PaymentsPerYear), 2))</f>
        <v>0</v>
      </c>
      <c r="F548" s="5">
        <f>ROUND(IFERROR(IF($B548&lt;=0,0,
MAX(-$B548, -(-PMT(InterestRate/PaymentsPerYear,LoanTerm*PaymentsPerYear,LoanAmount) + $E548))), 0), 2)</f>
        <v>0</v>
      </c>
      <c r="G548" s="5">
        <f t="shared" si="34"/>
        <v>0</v>
      </c>
      <c r="H548" s="5">
        <f t="shared" si="35"/>
        <v>0</v>
      </c>
    </row>
    <row r="549" spans="1:8" x14ac:dyDescent="0.2">
      <c r="A549" s="2">
        <v>548</v>
      </c>
      <c r="B549" s="5">
        <f t="shared" si="32"/>
        <v>0</v>
      </c>
      <c r="C549" s="5">
        <f t="shared" si="33"/>
        <v>0</v>
      </c>
      <c r="D549" s="5"/>
      <c r="E549" s="5">
        <f>IF($B549 &lt;= 0, 0, -ROUND($B549 * (InterestRate / PaymentsPerYear), 2))</f>
        <v>0</v>
      </c>
      <c r="F549" s="5">
        <f>ROUND(IFERROR(IF($B549&lt;=0,0,
MAX(-$B549, -(-PMT(InterestRate/PaymentsPerYear,LoanTerm*PaymentsPerYear,LoanAmount) + $E549))), 0), 2)</f>
        <v>0</v>
      </c>
      <c r="G549" s="5">
        <f t="shared" si="34"/>
        <v>0</v>
      </c>
      <c r="H549" s="5">
        <f t="shared" si="35"/>
        <v>0</v>
      </c>
    </row>
    <row r="550" spans="1:8" x14ac:dyDescent="0.2">
      <c r="A550" s="2">
        <v>549</v>
      </c>
      <c r="B550" s="5">
        <f t="shared" si="32"/>
        <v>0</v>
      </c>
      <c r="C550" s="5">
        <f t="shared" si="33"/>
        <v>0</v>
      </c>
      <c r="D550" s="5"/>
      <c r="E550" s="5">
        <f>IF($B550 &lt;= 0, 0, -ROUND($B550 * (InterestRate / PaymentsPerYear), 2))</f>
        <v>0</v>
      </c>
      <c r="F550" s="5">
        <f>ROUND(IFERROR(IF($B550&lt;=0,0,
MAX(-$B550, -(-PMT(InterestRate/PaymentsPerYear,LoanTerm*PaymentsPerYear,LoanAmount) + $E550))), 0), 2)</f>
        <v>0</v>
      </c>
      <c r="G550" s="5">
        <f t="shared" si="34"/>
        <v>0</v>
      </c>
      <c r="H550" s="5">
        <f t="shared" si="35"/>
        <v>0</v>
      </c>
    </row>
    <row r="551" spans="1:8" x14ac:dyDescent="0.2">
      <c r="A551" s="2">
        <v>550</v>
      </c>
      <c r="B551" s="5">
        <f t="shared" si="32"/>
        <v>0</v>
      </c>
      <c r="C551" s="5">
        <f t="shared" si="33"/>
        <v>0</v>
      </c>
      <c r="D551" s="5"/>
      <c r="E551" s="5">
        <f>IF($B551 &lt;= 0, 0, -ROUND($B551 * (InterestRate / PaymentsPerYear), 2))</f>
        <v>0</v>
      </c>
      <c r="F551" s="5">
        <f>ROUND(IFERROR(IF($B551&lt;=0,0,
MAX(-$B551, -(-PMT(InterestRate/PaymentsPerYear,LoanTerm*PaymentsPerYear,LoanAmount) + $E551))), 0), 2)</f>
        <v>0</v>
      </c>
      <c r="G551" s="5">
        <f t="shared" si="34"/>
        <v>0</v>
      </c>
      <c r="H551" s="5">
        <f t="shared" si="35"/>
        <v>0</v>
      </c>
    </row>
    <row r="552" spans="1:8" x14ac:dyDescent="0.2">
      <c r="A552" s="2">
        <v>551</v>
      </c>
      <c r="B552" s="5">
        <f t="shared" si="32"/>
        <v>0</v>
      </c>
      <c r="C552" s="5">
        <f t="shared" si="33"/>
        <v>0</v>
      </c>
      <c r="D552" s="5"/>
      <c r="E552" s="5">
        <f>IF($B552 &lt;= 0, 0, -ROUND($B552 * (InterestRate / PaymentsPerYear), 2))</f>
        <v>0</v>
      </c>
      <c r="F552" s="5">
        <f>ROUND(IFERROR(IF($B552&lt;=0,0,
MAX(-$B552, -(-PMT(InterestRate/PaymentsPerYear,LoanTerm*PaymentsPerYear,LoanAmount) + $E552))), 0), 2)</f>
        <v>0</v>
      </c>
      <c r="G552" s="5">
        <f t="shared" si="34"/>
        <v>0</v>
      </c>
      <c r="H552" s="5">
        <f t="shared" si="35"/>
        <v>0</v>
      </c>
    </row>
    <row r="553" spans="1:8" x14ac:dyDescent="0.2">
      <c r="A553" s="2">
        <v>552</v>
      </c>
      <c r="B553" s="5">
        <f t="shared" si="32"/>
        <v>0</v>
      </c>
      <c r="C553" s="5">
        <f t="shared" si="33"/>
        <v>0</v>
      </c>
      <c r="D553" s="5"/>
      <c r="E553" s="5">
        <f>IF($B553 &lt;= 0, 0, -ROUND($B553 * (InterestRate / PaymentsPerYear), 2))</f>
        <v>0</v>
      </c>
      <c r="F553" s="5">
        <f>ROUND(IFERROR(IF($B553&lt;=0,0,
MAX(-$B553, -(-PMT(InterestRate/PaymentsPerYear,LoanTerm*PaymentsPerYear,LoanAmount) + $E553))), 0), 2)</f>
        <v>0</v>
      </c>
      <c r="G553" s="5">
        <f t="shared" si="34"/>
        <v>0</v>
      </c>
      <c r="H553" s="5">
        <f t="shared" si="35"/>
        <v>0</v>
      </c>
    </row>
    <row r="554" spans="1:8" x14ac:dyDescent="0.2">
      <c r="A554" s="2">
        <v>553</v>
      </c>
      <c r="B554" s="5">
        <f t="shared" si="32"/>
        <v>0</v>
      </c>
      <c r="C554" s="5">
        <f t="shared" si="33"/>
        <v>0</v>
      </c>
      <c r="D554" s="5"/>
      <c r="E554" s="5">
        <f>IF($B554 &lt;= 0, 0, -ROUND($B554 * (InterestRate / PaymentsPerYear), 2))</f>
        <v>0</v>
      </c>
      <c r="F554" s="5">
        <f>ROUND(IFERROR(IF($B554&lt;=0,0,
MAX(-$B554, -(-PMT(InterestRate/PaymentsPerYear,LoanTerm*PaymentsPerYear,LoanAmount) + $E554))), 0), 2)</f>
        <v>0</v>
      </c>
      <c r="G554" s="5">
        <f t="shared" si="34"/>
        <v>0</v>
      </c>
      <c r="H554" s="5">
        <f t="shared" si="35"/>
        <v>0</v>
      </c>
    </row>
    <row r="555" spans="1:8" x14ac:dyDescent="0.2">
      <c r="A555" s="2">
        <v>554</v>
      </c>
      <c r="B555" s="5">
        <f t="shared" si="32"/>
        <v>0</v>
      </c>
      <c r="C555" s="5">
        <f t="shared" si="33"/>
        <v>0</v>
      </c>
      <c r="D555" s="5"/>
      <c r="E555" s="5">
        <f>IF($B555 &lt;= 0, 0, -ROUND($B555 * (InterestRate / PaymentsPerYear), 2))</f>
        <v>0</v>
      </c>
      <c r="F555" s="5">
        <f>ROUND(IFERROR(IF($B555&lt;=0,0,
MAX(-$B555, -(-PMT(InterestRate/PaymentsPerYear,LoanTerm*PaymentsPerYear,LoanAmount) + $E555))), 0), 2)</f>
        <v>0</v>
      </c>
      <c r="G555" s="5">
        <f t="shared" si="34"/>
        <v>0</v>
      </c>
      <c r="H555" s="5">
        <f t="shared" si="35"/>
        <v>0</v>
      </c>
    </row>
    <row r="556" spans="1:8" x14ac:dyDescent="0.2">
      <c r="A556" s="2">
        <v>555</v>
      </c>
      <c r="B556" s="5">
        <f t="shared" si="32"/>
        <v>0</v>
      </c>
      <c r="C556" s="5">
        <f t="shared" si="33"/>
        <v>0</v>
      </c>
      <c r="D556" s="5"/>
      <c r="E556" s="5">
        <f>IF($B556 &lt;= 0, 0, -ROUND($B556 * (InterestRate / PaymentsPerYear), 2))</f>
        <v>0</v>
      </c>
      <c r="F556" s="5">
        <f>ROUND(IFERROR(IF($B556&lt;=0,0,
MAX(-$B556, -(-PMT(InterestRate/PaymentsPerYear,LoanTerm*PaymentsPerYear,LoanAmount) + $E556))), 0), 2)</f>
        <v>0</v>
      </c>
      <c r="G556" s="5">
        <f t="shared" si="34"/>
        <v>0</v>
      </c>
      <c r="H556" s="5">
        <f t="shared" si="35"/>
        <v>0</v>
      </c>
    </row>
    <row r="557" spans="1:8" x14ac:dyDescent="0.2">
      <c r="A557" s="2">
        <v>556</v>
      </c>
      <c r="B557" s="5">
        <f t="shared" si="32"/>
        <v>0</v>
      </c>
      <c r="C557" s="5">
        <f t="shared" si="33"/>
        <v>0</v>
      </c>
      <c r="D557" s="5"/>
      <c r="E557" s="5">
        <f>IF($B557 &lt;= 0, 0, -ROUND($B557 * (InterestRate / PaymentsPerYear), 2))</f>
        <v>0</v>
      </c>
      <c r="F557" s="5">
        <f>ROUND(IFERROR(IF($B557&lt;=0,0,
MAX(-$B557, -(-PMT(InterestRate/PaymentsPerYear,LoanTerm*PaymentsPerYear,LoanAmount) + $E557))), 0), 2)</f>
        <v>0</v>
      </c>
      <c r="G557" s="5">
        <f t="shared" si="34"/>
        <v>0</v>
      </c>
      <c r="H557" s="5">
        <f t="shared" si="35"/>
        <v>0</v>
      </c>
    </row>
    <row r="558" spans="1:8" x14ac:dyDescent="0.2">
      <c r="A558" s="2">
        <v>557</v>
      </c>
      <c r="B558" s="5">
        <f t="shared" si="32"/>
        <v>0</v>
      </c>
      <c r="C558" s="5">
        <f t="shared" si="33"/>
        <v>0</v>
      </c>
      <c r="D558" s="5"/>
      <c r="E558" s="5">
        <f>IF($B558 &lt;= 0, 0, -ROUND($B558 * (InterestRate / PaymentsPerYear), 2))</f>
        <v>0</v>
      </c>
      <c r="F558" s="5">
        <f>ROUND(IFERROR(IF($B558&lt;=0,0,
MAX(-$B558, -(-PMT(InterestRate/PaymentsPerYear,LoanTerm*PaymentsPerYear,LoanAmount) + $E558))), 0), 2)</f>
        <v>0</v>
      </c>
      <c r="G558" s="5">
        <f t="shared" si="34"/>
        <v>0</v>
      </c>
      <c r="H558" s="5">
        <f t="shared" si="35"/>
        <v>0</v>
      </c>
    </row>
    <row r="559" spans="1:8" x14ac:dyDescent="0.2">
      <c r="A559" s="2">
        <v>558</v>
      </c>
      <c r="B559" s="5">
        <f t="shared" si="32"/>
        <v>0</v>
      </c>
      <c r="C559" s="5">
        <f t="shared" si="33"/>
        <v>0</v>
      </c>
      <c r="D559" s="5"/>
      <c r="E559" s="5">
        <f>IF($B559 &lt;= 0, 0, -ROUND($B559 * (InterestRate / PaymentsPerYear), 2))</f>
        <v>0</v>
      </c>
      <c r="F559" s="5">
        <f>ROUND(IFERROR(IF($B559&lt;=0,0,
MAX(-$B559, -(-PMT(InterestRate/PaymentsPerYear,LoanTerm*PaymentsPerYear,LoanAmount) + $E559))), 0), 2)</f>
        <v>0</v>
      </c>
      <c r="G559" s="5">
        <f t="shared" si="34"/>
        <v>0</v>
      </c>
      <c r="H559" s="5">
        <f t="shared" si="35"/>
        <v>0</v>
      </c>
    </row>
    <row r="560" spans="1:8" x14ac:dyDescent="0.2">
      <c r="A560" s="2">
        <v>559</v>
      </c>
      <c r="B560" s="5">
        <f t="shared" si="32"/>
        <v>0</v>
      </c>
      <c r="C560" s="5">
        <f t="shared" si="33"/>
        <v>0</v>
      </c>
      <c r="D560" s="5"/>
      <c r="E560" s="5">
        <f>IF($B560 &lt;= 0, 0, -ROUND($B560 * (InterestRate / PaymentsPerYear), 2))</f>
        <v>0</v>
      </c>
      <c r="F560" s="5">
        <f>ROUND(IFERROR(IF($B560&lt;=0,0,
MAX(-$B560, -(-PMT(InterestRate/PaymentsPerYear,LoanTerm*PaymentsPerYear,LoanAmount) + $E560))), 0), 2)</f>
        <v>0</v>
      </c>
      <c r="G560" s="5">
        <f t="shared" si="34"/>
        <v>0</v>
      </c>
      <c r="H560" s="5">
        <f t="shared" si="35"/>
        <v>0</v>
      </c>
    </row>
    <row r="561" spans="1:8" x14ac:dyDescent="0.2">
      <c r="A561" s="2">
        <v>560</v>
      </c>
      <c r="B561" s="5">
        <f t="shared" si="32"/>
        <v>0</v>
      </c>
      <c r="C561" s="5">
        <f t="shared" si="33"/>
        <v>0</v>
      </c>
      <c r="D561" s="5"/>
      <c r="E561" s="5">
        <f>IF($B561 &lt;= 0, 0, -ROUND($B561 * (InterestRate / PaymentsPerYear), 2))</f>
        <v>0</v>
      </c>
      <c r="F561" s="5">
        <f>ROUND(IFERROR(IF($B561&lt;=0,0,
MAX(-$B561, -(-PMT(InterestRate/PaymentsPerYear,LoanTerm*PaymentsPerYear,LoanAmount) + $E561))), 0), 2)</f>
        <v>0</v>
      </c>
      <c r="G561" s="5">
        <f t="shared" si="34"/>
        <v>0</v>
      </c>
      <c r="H561" s="5">
        <f t="shared" si="35"/>
        <v>0</v>
      </c>
    </row>
    <row r="562" spans="1:8" x14ac:dyDescent="0.2">
      <c r="A562" s="2">
        <v>561</v>
      </c>
      <c r="B562" s="5">
        <f t="shared" si="32"/>
        <v>0</v>
      </c>
      <c r="C562" s="5">
        <f t="shared" si="33"/>
        <v>0</v>
      </c>
      <c r="D562" s="5"/>
      <c r="E562" s="5">
        <f>IF($B562 &lt;= 0, 0, -ROUND($B562 * (InterestRate / PaymentsPerYear), 2))</f>
        <v>0</v>
      </c>
      <c r="F562" s="5">
        <f>ROUND(IFERROR(IF($B562&lt;=0,0,
MAX(-$B562, -(-PMT(InterestRate/PaymentsPerYear,LoanTerm*PaymentsPerYear,LoanAmount) + $E562))), 0), 2)</f>
        <v>0</v>
      </c>
      <c r="G562" s="5">
        <f t="shared" si="34"/>
        <v>0</v>
      </c>
      <c r="H562" s="5">
        <f t="shared" si="35"/>
        <v>0</v>
      </c>
    </row>
    <row r="563" spans="1:8" x14ac:dyDescent="0.2">
      <c r="A563" s="2">
        <v>562</v>
      </c>
      <c r="B563" s="5">
        <f t="shared" si="32"/>
        <v>0</v>
      </c>
      <c r="C563" s="5">
        <f t="shared" si="33"/>
        <v>0</v>
      </c>
      <c r="D563" s="5"/>
      <c r="E563" s="5">
        <f>IF($B563 &lt;= 0, 0, -ROUND($B563 * (InterestRate / PaymentsPerYear), 2))</f>
        <v>0</v>
      </c>
      <c r="F563" s="5">
        <f>ROUND(IFERROR(IF($B563&lt;=0,0,
MAX(-$B563, -(-PMT(InterestRate/PaymentsPerYear,LoanTerm*PaymentsPerYear,LoanAmount) + $E563))), 0), 2)</f>
        <v>0</v>
      </c>
      <c r="G563" s="5">
        <f t="shared" si="34"/>
        <v>0</v>
      </c>
      <c r="H563" s="5">
        <f t="shared" si="35"/>
        <v>0</v>
      </c>
    </row>
    <row r="564" spans="1:8" x14ac:dyDescent="0.2">
      <c r="A564" s="2">
        <v>563</v>
      </c>
      <c r="B564" s="5">
        <f t="shared" si="32"/>
        <v>0</v>
      </c>
      <c r="C564" s="5">
        <f t="shared" si="33"/>
        <v>0</v>
      </c>
      <c r="D564" s="5"/>
      <c r="E564" s="5">
        <f>IF($B564 &lt;= 0, 0, -ROUND($B564 * (InterestRate / PaymentsPerYear), 2))</f>
        <v>0</v>
      </c>
      <c r="F564" s="5">
        <f>ROUND(IFERROR(IF($B564&lt;=0,0,
MAX(-$B564, -(-PMT(InterestRate/PaymentsPerYear,LoanTerm*PaymentsPerYear,LoanAmount) + $E564))), 0), 2)</f>
        <v>0</v>
      </c>
      <c r="G564" s="5">
        <f t="shared" si="34"/>
        <v>0</v>
      </c>
      <c r="H564" s="5">
        <f t="shared" si="35"/>
        <v>0</v>
      </c>
    </row>
    <row r="565" spans="1:8" x14ac:dyDescent="0.2">
      <c r="A565" s="2">
        <v>564</v>
      </c>
      <c r="B565" s="5">
        <f t="shared" si="32"/>
        <v>0</v>
      </c>
      <c r="C565" s="5">
        <f t="shared" si="33"/>
        <v>0</v>
      </c>
      <c r="D565" s="5"/>
      <c r="E565" s="5">
        <f>IF($B565 &lt;= 0, 0, -ROUND($B565 * (InterestRate / PaymentsPerYear), 2))</f>
        <v>0</v>
      </c>
      <c r="F565" s="5">
        <f>ROUND(IFERROR(IF($B565&lt;=0,0,
MAX(-$B565, -(-PMT(InterestRate/PaymentsPerYear,LoanTerm*PaymentsPerYear,LoanAmount) + $E565))), 0), 2)</f>
        <v>0</v>
      </c>
      <c r="G565" s="5">
        <f t="shared" si="34"/>
        <v>0</v>
      </c>
      <c r="H565" s="5">
        <f t="shared" si="35"/>
        <v>0</v>
      </c>
    </row>
    <row r="566" spans="1:8" x14ac:dyDescent="0.2">
      <c r="A566" s="2">
        <v>565</v>
      </c>
      <c r="B566" s="5">
        <f t="shared" si="32"/>
        <v>0</v>
      </c>
      <c r="C566" s="5">
        <f t="shared" si="33"/>
        <v>0</v>
      </c>
      <c r="D566" s="5"/>
      <c r="E566" s="5">
        <f>IF($B566 &lt;= 0, 0, -ROUND($B566 * (InterestRate / PaymentsPerYear), 2))</f>
        <v>0</v>
      </c>
      <c r="F566" s="5">
        <f>ROUND(IFERROR(IF($B566&lt;=0,0,
MAX(-$B566, -(-PMT(InterestRate/PaymentsPerYear,LoanTerm*PaymentsPerYear,LoanAmount) + $E566))), 0), 2)</f>
        <v>0</v>
      </c>
      <c r="G566" s="5">
        <f t="shared" si="34"/>
        <v>0</v>
      </c>
      <c r="H566" s="5">
        <f t="shared" si="35"/>
        <v>0</v>
      </c>
    </row>
    <row r="567" spans="1:8" x14ac:dyDescent="0.2">
      <c r="A567" s="2">
        <v>566</v>
      </c>
      <c r="B567" s="5">
        <f t="shared" si="32"/>
        <v>0</v>
      </c>
      <c r="C567" s="5">
        <f t="shared" si="33"/>
        <v>0</v>
      </c>
      <c r="D567" s="5"/>
      <c r="E567" s="5">
        <f>IF($B567 &lt;= 0, 0, -ROUND($B567 * (InterestRate / PaymentsPerYear), 2))</f>
        <v>0</v>
      </c>
      <c r="F567" s="5">
        <f>ROUND(IFERROR(IF($B567&lt;=0,0,
MAX(-$B567, -(-PMT(InterestRate/PaymentsPerYear,LoanTerm*PaymentsPerYear,LoanAmount) + $E567))), 0), 2)</f>
        <v>0</v>
      </c>
      <c r="G567" s="5">
        <f t="shared" si="34"/>
        <v>0</v>
      </c>
      <c r="H567" s="5">
        <f t="shared" si="35"/>
        <v>0</v>
      </c>
    </row>
    <row r="568" spans="1:8" x14ac:dyDescent="0.2">
      <c r="A568" s="2">
        <v>567</v>
      </c>
      <c r="B568" s="5">
        <f t="shared" si="32"/>
        <v>0</v>
      </c>
      <c r="C568" s="5">
        <f t="shared" si="33"/>
        <v>0</v>
      </c>
      <c r="D568" s="5"/>
      <c r="E568" s="5">
        <f>IF($B568 &lt;= 0, 0, -ROUND($B568 * (InterestRate / PaymentsPerYear), 2))</f>
        <v>0</v>
      </c>
      <c r="F568" s="5">
        <f>ROUND(IFERROR(IF($B568&lt;=0,0,
MAX(-$B568, -(-PMT(InterestRate/PaymentsPerYear,LoanTerm*PaymentsPerYear,LoanAmount) + $E568))), 0), 2)</f>
        <v>0</v>
      </c>
      <c r="G568" s="5">
        <f t="shared" si="34"/>
        <v>0</v>
      </c>
      <c r="H568" s="5">
        <f t="shared" si="35"/>
        <v>0</v>
      </c>
    </row>
    <row r="569" spans="1:8" x14ac:dyDescent="0.2">
      <c r="A569" s="2">
        <v>568</v>
      </c>
      <c r="B569" s="5">
        <f t="shared" si="32"/>
        <v>0</v>
      </c>
      <c r="C569" s="5">
        <f t="shared" si="33"/>
        <v>0</v>
      </c>
      <c r="D569" s="5"/>
      <c r="E569" s="5">
        <f>IF($B569 &lt;= 0, 0, -ROUND($B569 * (InterestRate / PaymentsPerYear), 2))</f>
        <v>0</v>
      </c>
      <c r="F569" s="5">
        <f>ROUND(IFERROR(IF($B569&lt;=0,0,
MAX(-$B569, -(-PMT(InterestRate/PaymentsPerYear,LoanTerm*PaymentsPerYear,LoanAmount) + $E569))), 0), 2)</f>
        <v>0</v>
      </c>
      <c r="G569" s="5">
        <f t="shared" si="34"/>
        <v>0</v>
      </c>
      <c r="H569" s="5">
        <f t="shared" si="35"/>
        <v>0</v>
      </c>
    </row>
    <row r="570" spans="1:8" x14ac:dyDescent="0.2">
      <c r="A570" s="2">
        <v>569</v>
      </c>
      <c r="B570" s="5">
        <f t="shared" si="32"/>
        <v>0</v>
      </c>
      <c r="C570" s="5">
        <f t="shared" si="33"/>
        <v>0</v>
      </c>
      <c r="D570" s="5"/>
      <c r="E570" s="5">
        <f>IF($B570 &lt;= 0, 0, -ROUND($B570 * (InterestRate / PaymentsPerYear), 2))</f>
        <v>0</v>
      </c>
      <c r="F570" s="5">
        <f>ROUND(IFERROR(IF($B570&lt;=0,0,
MAX(-$B570, -(-PMT(InterestRate/PaymentsPerYear,LoanTerm*PaymentsPerYear,LoanAmount) + $E570))), 0), 2)</f>
        <v>0</v>
      </c>
      <c r="G570" s="5">
        <f t="shared" si="34"/>
        <v>0</v>
      </c>
      <c r="H570" s="5">
        <f t="shared" si="35"/>
        <v>0</v>
      </c>
    </row>
    <row r="571" spans="1:8" x14ac:dyDescent="0.2">
      <c r="A571" s="2">
        <v>570</v>
      </c>
      <c r="B571" s="5">
        <f t="shared" si="32"/>
        <v>0</v>
      </c>
      <c r="C571" s="5">
        <f t="shared" si="33"/>
        <v>0</v>
      </c>
      <c r="D571" s="5"/>
      <c r="E571" s="5">
        <f>IF($B571 &lt;= 0, 0, -ROUND($B571 * (InterestRate / PaymentsPerYear), 2))</f>
        <v>0</v>
      </c>
      <c r="F571" s="5">
        <f>ROUND(IFERROR(IF($B571&lt;=0,0,
MAX(-$B571, -(-PMT(InterestRate/PaymentsPerYear,LoanTerm*PaymentsPerYear,LoanAmount) + $E571))), 0), 2)</f>
        <v>0</v>
      </c>
      <c r="G571" s="5">
        <f t="shared" si="34"/>
        <v>0</v>
      </c>
      <c r="H571" s="5">
        <f t="shared" si="35"/>
        <v>0</v>
      </c>
    </row>
    <row r="572" spans="1:8" x14ac:dyDescent="0.2">
      <c r="A572" s="2">
        <v>571</v>
      </c>
      <c r="B572" s="5">
        <f t="shared" si="32"/>
        <v>0</v>
      </c>
      <c r="C572" s="5">
        <f t="shared" si="33"/>
        <v>0</v>
      </c>
      <c r="D572" s="5"/>
      <c r="E572" s="5">
        <f>IF($B572 &lt;= 0, 0, -ROUND($B572 * (InterestRate / PaymentsPerYear), 2))</f>
        <v>0</v>
      </c>
      <c r="F572" s="5">
        <f>ROUND(IFERROR(IF($B572&lt;=0,0,
MAX(-$B572, -(-PMT(InterestRate/PaymentsPerYear,LoanTerm*PaymentsPerYear,LoanAmount) + $E572))), 0), 2)</f>
        <v>0</v>
      </c>
      <c r="G572" s="5">
        <f t="shared" si="34"/>
        <v>0</v>
      </c>
      <c r="H572" s="5">
        <f t="shared" si="35"/>
        <v>0</v>
      </c>
    </row>
    <row r="573" spans="1:8" x14ac:dyDescent="0.2">
      <c r="A573" s="2">
        <v>572</v>
      </c>
      <c r="B573" s="5">
        <f t="shared" si="32"/>
        <v>0</v>
      </c>
      <c r="C573" s="5">
        <f t="shared" si="33"/>
        <v>0</v>
      </c>
      <c r="D573" s="5"/>
      <c r="E573" s="5">
        <f>IF($B573 &lt;= 0, 0, -ROUND($B573 * (InterestRate / PaymentsPerYear), 2))</f>
        <v>0</v>
      </c>
      <c r="F573" s="5">
        <f>ROUND(IFERROR(IF($B573&lt;=0,0,
MAX(-$B573, -(-PMT(InterestRate/PaymentsPerYear,LoanTerm*PaymentsPerYear,LoanAmount) + $E573))), 0), 2)</f>
        <v>0</v>
      </c>
      <c r="G573" s="5">
        <f t="shared" si="34"/>
        <v>0</v>
      </c>
      <c r="H573" s="5">
        <f t="shared" si="35"/>
        <v>0</v>
      </c>
    </row>
    <row r="574" spans="1:8" x14ac:dyDescent="0.2">
      <c r="A574" s="2">
        <v>573</v>
      </c>
      <c r="B574" s="5">
        <f t="shared" si="32"/>
        <v>0</v>
      </c>
      <c r="C574" s="5">
        <f t="shared" si="33"/>
        <v>0</v>
      </c>
      <c r="D574" s="5"/>
      <c r="E574" s="5">
        <f>IF($B574 &lt;= 0, 0, -ROUND($B574 * (InterestRate / PaymentsPerYear), 2))</f>
        <v>0</v>
      </c>
      <c r="F574" s="5">
        <f>ROUND(IFERROR(IF($B574&lt;=0,0,
MAX(-$B574, -(-PMT(InterestRate/PaymentsPerYear,LoanTerm*PaymentsPerYear,LoanAmount) + $E574))), 0), 2)</f>
        <v>0</v>
      </c>
      <c r="G574" s="5">
        <f t="shared" si="34"/>
        <v>0</v>
      </c>
      <c r="H574" s="5">
        <f t="shared" si="35"/>
        <v>0</v>
      </c>
    </row>
    <row r="575" spans="1:8" x14ac:dyDescent="0.2">
      <c r="A575" s="2">
        <v>574</v>
      </c>
      <c r="B575" s="5">
        <f t="shared" si="32"/>
        <v>0</v>
      </c>
      <c r="C575" s="5">
        <f t="shared" si="33"/>
        <v>0</v>
      </c>
      <c r="D575" s="5"/>
      <c r="E575" s="5">
        <f>IF($B575 &lt;= 0, 0, -ROUND($B575 * (InterestRate / PaymentsPerYear), 2))</f>
        <v>0</v>
      </c>
      <c r="F575" s="5">
        <f>ROUND(IFERROR(IF($B575&lt;=0,0,
MAX(-$B575, -(-PMT(InterestRate/PaymentsPerYear,LoanTerm*PaymentsPerYear,LoanAmount) + $E575))), 0), 2)</f>
        <v>0</v>
      </c>
      <c r="G575" s="5">
        <f t="shared" si="34"/>
        <v>0</v>
      </c>
      <c r="H575" s="5">
        <f t="shared" si="35"/>
        <v>0</v>
      </c>
    </row>
    <row r="576" spans="1:8" x14ac:dyDescent="0.2">
      <c r="A576" s="2">
        <v>575</v>
      </c>
      <c r="B576" s="5">
        <f t="shared" si="32"/>
        <v>0</v>
      </c>
      <c r="C576" s="5">
        <f t="shared" si="33"/>
        <v>0</v>
      </c>
      <c r="D576" s="5"/>
      <c r="E576" s="5">
        <f>IF($B576 &lt;= 0, 0, -ROUND($B576 * (InterestRate / PaymentsPerYear), 2))</f>
        <v>0</v>
      </c>
      <c r="F576" s="5">
        <f>ROUND(IFERROR(IF($B576&lt;=0,0,
MAX(-$B576, -(-PMT(InterestRate/PaymentsPerYear,LoanTerm*PaymentsPerYear,LoanAmount) + $E576))), 0), 2)</f>
        <v>0</v>
      </c>
      <c r="G576" s="5">
        <f t="shared" si="34"/>
        <v>0</v>
      </c>
      <c r="H576" s="5">
        <f t="shared" si="35"/>
        <v>0</v>
      </c>
    </row>
    <row r="577" spans="1:8" x14ac:dyDescent="0.2">
      <c r="A577" s="2">
        <v>576</v>
      </c>
      <c r="B577" s="5">
        <f t="shared" si="32"/>
        <v>0</v>
      </c>
      <c r="C577" s="5">
        <f t="shared" si="33"/>
        <v>0</v>
      </c>
      <c r="D577" s="5"/>
      <c r="E577" s="5">
        <f>IF($B577 &lt;= 0, 0, -ROUND($B577 * (InterestRate / PaymentsPerYear), 2))</f>
        <v>0</v>
      </c>
      <c r="F577" s="5">
        <f>ROUND(IFERROR(IF($B577&lt;=0,0,
MAX(-$B577, -(-PMT(InterestRate/PaymentsPerYear,LoanTerm*PaymentsPerYear,LoanAmount) + $E577))), 0), 2)</f>
        <v>0</v>
      </c>
      <c r="G577" s="5">
        <f t="shared" si="34"/>
        <v>0</v>
      </c>
      <c r="H577" s="5">
        <f t="shared" si="35"/>
        <v>0</v>
      </c>
    </row>
    <row r="578" spans="1:8" x14ac:dyDescent="0.2">
      <c r="A578" s="2">
        <v>577</v>
      </c>
      <c r="B578" s="5">
        <f t="shared" si="32"/>
        <v>0</v>
      </c>
      <c r="C578" s="5">
        <f t="shared" si="33"/>
        <v>0</v>
      </c>
      <c r="D578" s="5"/>
      <c r="E578" s="5">
        <f>IF($B578 &lt;= 0, 0, -ROUND($B578 * (InterestRate / PaymentsPerYear), 2))</f>
        <v>0</v>
      </c>
      <c r="F578" s="5">
        <f>ROUND(IFERROR(IF($B578&lt;=0,0,
MAX(-$B578, -(-PMT(InterestRate/PaymentsPerYear,LoanTerm*PaymentsPerYear,LoanAmount) + $E578))), 0), 2)</f>
        <v>0</v>
      </c>
      <c r="G578" s="5">
        <f t="shared" si="34"/>
        <v>0</v>
      </c>
      <c r="H578" s="5">
        <f t="shared" si="35"/>
        <v>0</v>
      </c>
    </row>
    <row r="579" spans="1:8" x14ac:dyDescent="0.2">
      <c r="A579" s="2">
        <v>578</v>
      </c>
      <c r="B579" s="5">
        <f t="shared" si="32"/>
        <v>0</v>
      </c>
      <c r="C579" s="5">
        <f t="shared" si="33"/>
        <v>0</v>
      </c>
      <c r="D579" s="5"/>
      <c r="E579" s="5">
        <f>IF($B579 &lt;= 0, 0, -ROUND($B579 * (InterestRate / PaymentsPerYear), 2))</f>
        <v>0</v>
      </c>
      <c r="F579" s="5">
        <f>ROUND(IFERROR(IF($B579&lt;=0,0,
MAX(-$B579, -(-PMT(InterestRate/PaymentsPerYear,LoanTerm*PaymentsPerYear,LoanAmount) + $E579))), 0), 2)</f>
        <v>0</v>
      </c>
      <c r="G579" s="5">
        <f t="shared" si="34"/>
        <v>0</v>
      </c>
      <c r="H579" s="5">
        <f t="shared" si="35"/>
        <v>0</v>
      </c>
    </row>
    <row r="580" spans="1:8" x14ac:dyDescent="0.2">
      <c r="A580" s="2">
        <v>579</v>
      </c>
      <c r="B580" s="5">
        <f t="shared" ref="B580:B643" si="36">ROUND(IF($H579 &gt;= 0, MAX($H579, $F579), 0), 2)</f>
        <v>0</v>
      </c>
      <c r="C580" s="5">
        <f t="shared" ref="C580:C643" si="37">IF($B580 &lt;= 0, 0, $E580+$F580)</f>
        <v>0</v>
      </c>
      <c r="D580" s="5"/>
      <c r="E580" s="5">
        <f>IF($B580 &lt;= 0, 0, -ROUND($B580 * (InterestRate / PaymentsPerYear), 2))</f>
        <v>0</v>
      </c>
      <c r="F580" s="5">
        <f>ROUND(IFERROR(IF($B580&lt;=0,0,
MAX(-$B580, -(-PMT(InterestRate/PaymentsPerYear,LoanTerm*PaymentsPerYear,LoanAmount) + $E580))), 0), 2)</f>
        <v>0</v>
      </c>
      <c r="G580" s="5">
        <f t="shared" ref="G580:G643" si="38">$F580</f>
        <v>0</v>
      </c>
      <c r="H580" s="5">
        <f t="shared" ref="H580:H643" si="39">ROUND(IF($B580 &lt;= 0, 0,MAX(0, $B580 + $G580)), 2)</f>
        <v>0</v>
      </c>
    </row>
    <row r="581" spans="1:8" x14ac:dyDescent="0.2">
      <c r="A581" s="2">
        <v>580</v>
      </c>
      <c r="B581" s="5">
        <f t="shared" si="36"/>
        <v>0</v>
      </c>
      <c r="C581" s="5">
        <f t="shared" si="37"/>
        <v>0</v>
      </c>
      <c r="D581" s="5"/>
      <c r="E581" s="5">
        <f>IF($B581 &lt;= 0, 0, -ROUND($B581 * (InterestRate / PaymentsPerYear), 2))</f>
        <v>0</v>
      </c>
      <c r="F581" s="5">
        <f>ROUND(IFERROR(IF($B581&lt;=0,0,
MAX(-$B581, -(-PMT(InterestRate/PaymentsPerYear,LoanTerm*PaymentsPerYear,LoanAmount) + $E581))), 0), 2)</f>
        <v>0</v>
      </c>
      <c r="G581" s="5">
        <f t="shared" si="38"/>
        <v>0</v>
      </c>
      <c r="H581" s="5">
        <f t="shared" si="39"/>
        <v>0</v>
      </c>
    </row>
    <row r="582" spans="1:8" x14ac:dyDescent="0.2">
      <c r="A582" s="2">
        <v>581</v>
      </c>
      <c r="B582" s="5">
        <f t="shared" si="36"/>
        <v>0</v>
      </c>
      <c r="C582" s="5">
        <f t="shared" si="37"/>
        <v>0</v>
      </c>
      <c r="D582" s="5"/>
      <c r="E582" s="5">
        <f>IF($B582 &lt;= 0, 0, -ROUND($B582 * (InterestRate / PaymentsPerYear), 2))</f>
        <v>0</v>
      </c>
      <c r="F582" s="5">
        <f>ROUND(IFERROR(IF($B582&lt;=0,0,
MAX(-$B582, -(-PMT(InterestRate/PaymentsPerYear,LoanTerm*PaymentsPerYear,LoanAmount) + $E582))), 0), 2)</f>
        <v>0</v>
      </c>
      <c r="G582" s="5">
        <f t="shared" si="38"/>
        <v>0</v>
      </c>
      <c r="H582" s="5">
        <f t="shared" si="39"/>
        <v>0</v>
      </c>
    </row>
    <row r="583" spans="1:8" x14ac:dyDescent="0.2">
      <c r="A583" s="2">
        <v>582</v>
      </c>
      <c r="B583" s="5">
        <f t="shared" si="36"/>
        <v>0</v>
      </c>
      <c r="C583" s="5">
        <f t="shared" si="37"/>
        <v>0</v>
      </c>
      <c r="D583" s="5"/>
      <c r="E583" s="5">
        <f>IF($B583 &lt;= 0, 0, -ROUND($B583 * (InterestRate / PaymentsPerYear), 2))</f>
        <v>0</v>
      </c>
      <c r="F583" s="5">
        <f>ROUND(IFERROR(IF($B583&lt;=0,0,
MAX(-$B583, -(-PMT(InterestRate/PaymentsPerYear,LoanTerm*PaymentsPerYear,LoanAmount) + $E583))), 0), 2)</f>
        <v>0</v>
      </c>
      <c r="G583" s="5">
        <f t="shared" si="38"/>
        <v>0</v>
      </c>
      <c r="H583" s="5">
        <f t="shared" si="39"/>
        <v>0</v>
      </c>
    </row>
    <row r="584" spans="1:8" x14ac:dyDescent="0.2">
      <c r="A584" s="2">
        <v>583</v>
      </c>
      <c r="B584" s="5">
        <f t="shared" si="36"/>
        <v>0</v>
      </c>
      <c r="C584" s="5">
        <f t="shared" si="37"/>
        <v>0</v>
      </c>
      <c r="D584" s="5"/>
      <c r="E584" s="5">
        <f>IF($B584 &lt;= 0, 0, -ROUND($B584 * (InterestRate / PaymentsPerYear), 2))</f>
        <v>0</v>
      </c>
      <c r="F584" s="5">
        <f>ROUND(IFERROR(IF($B584&lt;=0,0,
MAX(-$B584, -(-PMT(InterestRate/PaymentsPerYear,LoanTerm*PaymentsPerYear,LoanAmount) + $E584))), 0), 2)</f>
        <v>0</v>
      </c>
      <c r="G584" s="5">
        <f t="shared" si="38"/>
        <v>0</v>
      </c>
      <c r="H584" s="5">
        <f t="shared" si="39"/>
        <v>0</v>
      </c>
    </row>
    <row r="585" spans="1:8" x14ac:dyDescent="0.2">
      <c r="A585" s="2">
        <v>584</v>
      </c>
      <c r="B585" s="5">
        <f t="shared" si="36"/>
        <v>0</v>
      </c>
      <c r="C585" s="5">
        <f t="shared" si="37"/>
        <v>0</v>
      </c>
      <c r="D585" s="5"/>
      <c r="E585" s="5">
        <f>IF($B585 &lt;= 0, 0, -ROUND($B585 * (InterestRate / PaymentsPerYear), 2))</f>
        <v>0</v>
      </c>
      <c r="F585" s="5">
        <f>ROUND(IFERROR(IF($B585&lt;=0,0,
MAX(-$B585, -(-PMT(InterestRate/PaymentsPerYear,LoanTerm*PaymentsPerYear,LoanAmount) + $E585))), 0), 2)</f>
        <v>0</v>
      </c>
      <c r="G585" s="5">
        <f t="shared" si="38"/>
        <v>0</v>
      </c>
      <c r="H585" s="5">
        <f t="shared" si="39"/>
        <v>0</v>
      </c>
    </row>
    <row r="586" spans="1:8" x14ac:dyDescent="0.2">
      <c r="A586" s="2">
        <v>585</v>
      </c>
      <c r="B586" s="5">
        <f t="shared" si="36"/>
        <v>0</v>
      </c>
      <c r="C586" s="5">
        <f t="shared" si="37"/>
        <v>0</v>
      </c>
      <c r="D586" s="5"/>
      <c r="E586" s="5">
        <f>IF($B586 &lt;= 0, 0, -ROUND($B586 * (InterestRate / PaymentsPerYear), 2))</f>
        <v>0</v>
      </c>
      <c r="F586" s="5">
        <f>ROUND(IFERROR(IF($B586&lt;=0,0,
MAX(-$B586, -(-PMT(InterestRate/PaymentsPerYear,LoanTerm*PaymentsPerYear,LoanAmount) + $E586))), 0), 2)</f>
        <v>0</v>
      </c>
      <c r="G586" s="5">
        <f t="shared" si="38"/>
        <v>0</v>
      </c>
      <c r="H586" s="5">
        <f t="shared" si="39"/>
        <v>0</v>
      </c>
    </row>
    <row r="587" spans="1:8" x14ac:dyDescent="0.2">
      <c r="A587" s="2">
        <v>586</v>
      </c>
      <c r="B587" s="5">
        <f t="shared" si="36"/>
        <v>0</v>
      </c>
      <c r="C587" s="5">
        <f t="shared" si="37"/>
        <v>0</v>
      </c>
      <c r="D587" s="5"/>
      <c r="E587" s="5">
        <f>IF($B587 &lt;= 0, 0, -ROUND($B587 * (InterestRate / PaymentsPerYear), 2))</f>
        <v>0</v>
      </c>
      <c r="F587" s="5">
        <f>ROUND(IFERROR(IF($B587&lt;=0,0,
MAX(-$B587, -(-PMT(InterestRate/PaymentsPerYear,LoanTerm*PaymentsPerYear,LoanAmount) + $E587))), 0), 2)</f>
        <v>0</v>
      </c>
      <c r="G587" s="5">
        <f t="shared" si="38"/>
        <v>0</v>
      </c>
      <c r="H587" s="5">
        <f t="shared" si="39"/>
        <v>0</v>
      </c>
    </row>
    <row r="588" spans="1:8" x14ac:dyDescent="0.2">
      <c r="A588" s="2">
        <v>587</v>
      </c>
      <c r="B588" s="5">
        <f t="shared" si="36"/>
        <v>0</v>
      </c>
      <c r="C588" s="5">
        <f t="shared" si="37"/>
        <v>0</v>
      </c>
      <c r="D588" s="5"/>
      <c r="E588" s="5">
        <f>IF($B588 &lt;= 0, 0, -ROUND($B588 * (InterestRate / PaymentsPerYear), 2))</f>
        <v>0</v>
      </c>
      <c r="F588" s="5">
        <f>ROUND(IFERROR(IF($B588&lt;=0,0,
MAX(-$B588, -(-PMT(InterestRate/PaymentsPerYear,LoanTerm*PaymentsPerYear,LoanAmount) + $E588))), 0), 2)</f>
        <v>0</v>
      </c>
      <c r="G588" s="5">
        <f t="shared" si="38"/>
        <v>0</v>
      </c>
      <c r="H588" s="5">
        <f t="shared" si="39"/>
        <v>0</v>
      </c>
    </row>
    <row r="589" spans="1:8" x14ac:dyDescent="0.2">
      <c r="A589" s="2">
        <v>588</v>
      </c>
      <c r="B589" s="5">
        <f t="shared" si="36"/>
        <v>0</v>
      </c>
      <c r="C589" s="5">
        <f t="shared" si="37"/>
        <v>0</v>
      </c>
      <c r="D589" s="5"/>
      <c r="E589" s="5">
        <f>IF($B589 &lt;= 0, 0, -ROUND($B589 * (InterestRate / PaymentsPerYear), 2))</f>
        <v>0</v>
      </c>
      <c r="F589" s="5">
        <f>ROUND(IFERROR(IF($B589&lt;=0,0,
MAX(-$B589, -(-PMT(InterestRate/PaymentsPerYear,LoanTerm*PaymentsPerYear,LoanAmount) + $E589))), 0), 2)</f>
        <v>0</v>
      </c>
      <c r="G589" s="5">
        <f t="shared" si="38"/>
        <v>0</v>
      </c>
      <c r="H589" s="5">
        <f t="shared" si="39"/>
        <v>0</v>
      </c>
    </row>
    <row r="590" spans="1:8" x14ac:dyDescent="0.2">
      <c r="A590" s="2">
        <v>589</v>
      </c>
      <c r="B590" s="5">
        <f t="shared" si="36"/>
        <v>0</v>
      </c>
      <c r="C590" s="5">
        <f t="shared" si="37"/>
        <v>0</v>
      </c>
      <c r="D590" s="5"/>
      <c r="E590" s="5">
        <f>IF($B590 &lt;= 0, 0, -ROUND($B590 * (InterestRate / PaymentsPerYear), 2))</f>
        <v>0</v>
      </c>
      <c r="F590" s="5">
        <f>ROUND(IFERROR(IF($B590&lt;=0,0,
MAX(-$B590, -(-PMT(InterestRate/PaymentsPerYear,LoanTerm*PaymentsPerYear,LoanAmount) + $E590))), 0), 2)</f>
        <v>0</v>
      </c>
      <c r="G590" s="5">
        <f t="shared" si="38"/>
        <v>0</v>
      </c>
      <c r="H590" s="5">
        <f t="shared" si="39"/>
        <v>0</v>
      </c>
    </row>
    <row r="591" spans="1:8" x14ac:dyDescent="0.2">
      <c r="A591" s="2">
        <v>590</v>
      </c>
      <c r="B591" s="5">
        <f t="shared" si="36"/>
        <v>0</v>
      </c>
      <c r="C591" s="5">
        <f t="shared" si="37"/>
        <v>0</v>
      </c>
      <c r="D591" s="5"/>
      <c r="E591" s="5">
        <f>IF($B591 &lt;= 0, 0, -ROUND($B591 * (InterestRate / PaymentsPerYear), 2))</f>
        <v>0</v>
      </c>
      <c r="F591" s="5">
        <f>ROUND(IFERROR(IF($B591&lt;=0,0,
MAX(-$B591, -(-PMT(InterestRate/PaymentsPerYear,LoanTerm*PaymentsPerYear,LoanAmount) + $E591))), 0), 2)</f>
        <v>0</v>
      </c>
      <c r="G591" s="5">
        <f t="shared" si="38"/>
        <v>0</v>
      </c>
      <c r="H591" s="5">
        <f t="shared" si="39"/>
        <v>0</v>
      </c>
    </row>
    <row r="592" spans="1:8" x14ac:dyDescent="0.2">
      <c r="A592" s="2">
        <v>591</v>
      </c>
      <c r="B592" s="5">
        <f t="shared" si="36"/>
        <v>0</v>
      </c>
      <c r="C592" s="5">
        <f t="shared" si="37"/>
        <v>0</v>
      </c>
      <c r="D592" s="5"/>
      <c r="E592" s="5">
        <f>IF($B592 &lt;= 0, 0, -ROUND($B592 * (InterestRate / PaymentsPerYear), 2))</f>
        <v>0</v>
      </c>
      <c r="F592" s="5">
        <f>ROUND(IFERROR(IF($B592&lt;=0,0,
MAX(-$B592, -(-PMT(InterestRate/PaymentsPerYear,LoanTerm*PaymentsPerYear,LoanAmount) + $E592))), 0), 2)</f>
        <v>0</v>
      </c>
      <c r="G592" s="5">
        <f t="shared" si="38"/>
        <v>0</v>
      </c>
      <c r="H592" s="5">
        <f t="shared" si="39"/>
        <v>0</v>
      </c>
    </row>
    <row r="593" spans="1:8" x14ac:dyDescent="0.2">
      <c r="A593" s="2">
        <v>592</v>
      </c>
      <c r="B593" s="5">
        <f t="shared" si="36"/>
        <v>0</v>
      </c>
      <c r="C593" s="5">
        <f t="shared" si="37"/>
        <v>0</v>
      </c>
      <c r="D593" s="5"/>
      <c r="E593" s="5">
        <f>IF($B593 &lt;= 0, 0, -ROUND($B593 * (InterestRate / PaymentsPerYear), 2))</f>
        <v>0</v>
      </c>
      <c r="F593" s="5">
        <f>ROUND(IFERROR(IF($B593&lt;=0,0,
MAX(-$B593, -(-PMT(InterestRate/PaymentsPerYear,LoanTerm*PaymentsPerYear,LoanAmount) + $E593))), 0), 2)</f>
        <v>0</v>
      </c>
      <c r="G593" s="5">
        <f t="shared" si="38"/>
        <v>0</v>
      </c>
      <c r="H593" s="5">
        <f t="shared" si="39"/>
        <v>0</v>
      </c>
    </row>
    <row r="594" spans="1:8" x14ac:dyDescent="0.2">
      <c r="A594" s="2">
        <v>593</v>
      </c>
      <c r="B594" s="5">
        <f t="shared" si="36"/>
        <v>0</v>
      </c>
      <c r="C594" s="5">
        <f t="shared" si="37"/>
        <v>0</v>
      </c>
      <c r="D594" s="5"/>
      <c r="E594" s="5">
        <f>IF($B594 &lt;= 0, 0, -ROUND($B594 * (InterestRate / PaymentsPerYear), 2))</f>
        <v>0</v>
      </c>
      <c r="F594" s="5">
        <f>ROUND(IFERROR(IF($B594&lt;=0,0,
MAX(-$B594, -(-PMT(InterestRate/PaymentsPerYear,LoanTerm*PaymentsPerYear,LoanAmount) + $E594))), 0), 2)</f>
        <v>0</v>
      </c>
      <c r="G594" s="5">
        <f t="shared" si="38"/>
        <v>0</v>
      </c>
      <c r="H594" s="5">
        <f t="shared" si="39"/>
        <v>0</v>
      </c>
    </row>
    <row r="595" spans="1:8" x14ac:dyDescent="0.2">
      <c r="A595" s="2">
        <v>594</v>
      </c>
      <c r="B595" s="5">
        <f t="shared" si="36"/>
        <v>0</v>
      </c>
      <c r="C595" s="5">
        <f t="shared" si="37"/>
        <v>0</v>
      </c>
      <c r="D595" s="5"/>
      <c r="E595" s="5">
        <f>IF($B595 &lt;= 0, 0, -ROUND($B595 * (InterestRate / PaymentsPerYear), 2))</f>
        <v>0</v>
      </c>
      <c r="F595" s="5">
        <f>ROUND(IFERROR(IF($B595&lt;=0,0,
MAX(-$B595, -(-PMT(InterestRate/PaymentsPerYear,LoanTerm*PaymentsPerYear,LoanAmount) + $E595))), 0), 2)</f>
        <v>0</v>
      </c>
      <c r="G595" s="5">
        <f t="shared" si="38"/>
        <v>0</v>
      </c>
      <c r="H595" s="5">
        <f t="shared" si="39"/>
        <v>0</v>
      </c>
    </row>
    <row r="596" spans="1:8" x14ac:dyDescent="0.2">
      <c r="A596" s="2">
        <v>595</v>
      </c>
      <c r="B596" s="5">
        <f t="shared" si="36"/>
        <v>0</v>
      </c>
      <c r="C596" s="5">
        <f t="shared" si="37"/>
        <v>0</v>
      </c>
      <c r="D596" s="5"/>
      <c r="E596" s="5">
        <f>IF($B596 &lt;= 0, 0, -ROUND($B596 * (InterestRate / PaymentsPerYear), 2))</f>
        <v>0</v>
      </c>
      <c r="F596" s="5">
        <f>ROUND(IFERROR(IF($B596&lt;=0,0,
MAX(-$B596, -(-PMT(InterestRate/PaymentsPerYear,LoanTerm*PaymentsPerYear,LoanAmount) + $E596))), 0), 2)</f>
        <v>0</v>
      </c>
      <c r="G596" s="5">
        <f t="shared" si="38"/>
        <v>0</v>
      </c>
      <c r="H596" s="5">
        <f t="shared" si="39"/>
        <v>0</v>
      </c>
    </row>
    <row r="597" spans="1:8" x14ac:dyDescent="0.2">
      <c r="A597" s="2">
        <v>596</v>
      </c>
      <c r="B597" s="5">
        <f t="shared" si="36"/>
        <v>0</v>
      </c>
      <c r="C597" s="5">
        <f t="shared" si="37"/>
        <v>0</v>
      </c>
      <c r="D597" s="5"/>
      <c r="E597" s="5">
        <f>IF($B597 &lt;= 0, 0, -ROUND($B597 * (InterestRate / PaymentsPerYear), 2))</f>
        <v>0</v>
      </c>
      <c r="F597" s="5">
        <f>ROUND(IFERROR(IF($B597&lt;=0,0,
MAX(-$B597, -(-PMT(InterestRate/PaymentsPerYear,LoanTerm*PaymentsPerYear,LoanAmount) + $E597))), 0), 2)</f>
        <v>0</v>
      </c>
      <c r="G597" s="5">
        <f t="shared" si="38"/>
        <v>0</v>
      </c>
      <c r="H597" s="5">
        <f t="shared" si="39"/>
        <v>0</v>
      </c>
    </row>
    <row r="598" spans="1:8" x14ac:dyDescent="0.2">
      <c r="A598" s="2">
        <v>597</v>
      </c>
      <c r="B598" s="5">
        <f t="shared" si="36"/>
        <v>0</v>
      </c>
      <c r="C598" s="5">
        <f t="shared" si="37"/>
        <v>0</v>
      </c>
      <c r="D598" s="5"/>
      <c r="E598" s="5">
        <f>IF($B598 &lt;= 0, 0, -ROUND($B598 * (InterestRate / PaymentsPerYear), 2))</f>
        <v>0</v>
      </c>
      <c r="F598" s="5">
        <f>ROUND(IFERROR(IF($B598&lt;=0,0,
MAX(-$B598, -(-PMT(InterestRate/PaymentsPerYear,LoanTerm*PaymentsPerYear,LoanAmount) + $E598))), 0), 2)</f>
        <v>0</v>
      </c>
      <c r="G598" s="5">
        <f t="shared" si="38"/>
        <v>0</v>
      </c>
      <c r="H598" s="5">
        <f t="shared" si="39"/>
        <v>0</v>
      </c>
    </row>
    <row r="599" spans="1:8" x14ac:dyDescent="0.2">
      <c r="A599" s="2">
        <v>598</v>
      </c>
      <c r="B599" s="5">
        <f t="shared" si="36"/>
        <v>0</v>
      </c>
      <c r="C599" s="5">
        <f t="shared" si="37"/>
        <v>0</v>
      </c>
      <c r="D599" s="5"/>
      <c r="E599" s="5">
        <f>IF($B599 &lt;= 0, 0, -ROUND($B599 * (InterestRate / PaymentsPerYear), 2))</f>
        <v>0</v>
      </c>
      <c r="F599" s="5">
        <f>ROUND(IFERROR(IF($B599&lt;=0,0,
MAX(-$B599, -(-PMT(InterestRate/PaymentsPerYear,LoanTerm*PaymentsPerYear,LoanAmount) + $E599))), 0), 2)</f>
        <v>0</v>
      </c>
      <c r="G599" s="5">
        <f t="shared" si="38"/>
        <v>0</v>
      </c>
      <c r="H599" s="5">
        <f t="shared" si="39"/>
        <v>0</v>
      </c>
    </row>
    <row r="600" spans="1:8" x14ac:dyDescent="0.2">
      <c r="A600" s="2">
        <v>599</v>
      </c>
      <c r="B600" s="5">
        <f t="shared" si="36"/>
        <v>0</v>
      </c>
      <c r="C600" s="5">
        <f t="shared" si="37"/>
        <v>0</v>
      </c>
      <c r="D600" s="5"/>
      <c r="E600" s="5">
        <f>IF($B600 &lt;= 0, 0, -ROUND($B600 * (InterestRate / PaymentsPerYear), 2))</f>
        <v>0</v>
      </c>
      <c r="F600" s="5">
        <f>ROUND(IFERROR(IF($B600&lt;=0,0,
MAX(-$B600, -(-PMT(InterestRate/PaymentsPerYear,LoanTerm*PaymentsPerYear,LoanAmount) + $E600))), 0), 2)</f>
        <v>0</v>
      </c>
      <c r="G600" s="5">
        <f t="shared" si="38"/>
        <v>0</v>
      </c>
      <c r="H600" s="5">
        <f t="shared" si="39"/>
        <v>0</v>
      </c>
    </row>
    <row r="601" spans="1:8" x14ac:dyDescent="0.2">
      <c r="A601" s="2">
        <v>600</v>
      </c>
      <c r="B601" s="5">
        <f t="shared" si="36"/>
        <v>0</v>
      </c>
      <c r="C601" s="5">
        <f t="shared" si="37"/>
        <v>0</v>
      </c>
      <c r="D601" s="5"/>
      <c r="E601" s="5">
        <f>IF($B601 &lt;= 0, 0, -ROUND($B601 * (InterestRate / PaymentsPerYear), 2))</f>
        <v>0</v>
      </c>
      <c r="F601" s="5">
        <f>ROUND(IFERROR(IF($B601&lt;=0,0,
MAX(-$B601, -(-PMT(InterestRate/PaymentsPerYear,LoanTerm*PaymentsPerYear,LoanAmount) + $E601))), 0), 2)</f>
        <v>0</v>
      </c>
      <c r="G601" s="5">
        <f t="shared" si="38"/>
        <v>0</v>
      </c>
      <c r="H601" s="5">
        <f t="shared" si="39"/>
        <v>0</v>
      </c>
    </row>
    <row r="602" spans="1:8" x14ac:dyDescent="0.2">
      <c r="A602" s="2">
        <v>601</v>
      </c>
      <c r="B602" s="5">
        <f t="shared" si="36"/>
        <v>0</v>
      </c>
      <c r="C602" s="5">
        <f t="shared" si="37"/>
        <v>0</v>
      </c>
      <c r="D602" s="5"/>
      <c r="E602" s="5">
        <f>IF($B602 &lt;= 0, 0, -ROUND($B602 * (InterestRate / PaymentsPerYear), 2))</f>
        <v>0</v>
      </c>
      <c r="F602" s="5">
        <f>ROUND(IFERROR(IF($B602&lt;=0,0,
MAX(-$B602, -(-PMT(InterestRate/PaymentsPerYear,LoanTerm*PaymentsPerYear,LoanAmount) + $E602))), 0), 2)</f>
        <v>0</v>
      </c>
      <c r="G602" s="5">
        <f t="shared" si="38"/>
        <v>0</v>
      </c>
      <c r="H602" s="5">
        <f t="shared" si="39"/>
        <v>0</v>
      </c>
    </row>
    <row r="603" spans="1:8" x14ac:dyDescent="0.2">
      <c r="A603" s="2">
        <v>602</v>
      </c>
      <c r="B603" s="5">
        <f t="shared" si="36"/>
        <v>0</v>
      </c>
      <c r="C603" s="5">
        <f t="shared" si="37"/>
        <v>0</v>
      </c>
      <c r="D603" s="5"/>
      <c r="E603" s="5">
        <f>IF($B603 &lt;= 0, 0, -ROUND($B603 * (InterestRate / PaymentsPerYear), 2))</f>
        <v>0</v>
      </c>
      <c r="F603" s="5">
        <f>ROUND(IFERROR(IF($B603&lt;=0,0,
MAX(-$B603, -(-PMT(InterestRate/PaymentsPerYear,LoanTerm*PaymentsPerYear,LoanAmount) + $E603))), 0), 2)</f>
        <v>0</v>
      </c>
      <c r="G603" s="5">
        <f t="shared" si="38"/>
        <v>0</v>
      </c>
      <c r="H603" s="5">
        <f t="shared" si="39"/>
        <v>0</v>
      </c>
    </row>
    <row r="604" spans="1:8" x14ac:dyDescent="0.2">
      <c r="A604" s="2">
        <v>603</v>
      </c>
      <c r="B604" s="5">
        <f t="shared" si="36"/>
        <v>0</v>
      </c>
      <c r="C604" s="5">
        <f t="shared" si="37"/>
        <v>0</v>
      </c>
      <c r="D604" s="5"/>
      <c r="E604" s="5">
        <f>IF($B604 &lt;= 0, 0, -ROUND($B604 * (InterestRate / PaymentsPerYear), 2))</f>
        <v>0</v>
      </c>
      <c r="F604" s="5">
        <f>ROUND(IFERROR(IF($B604&lt;=0,0,
MAX(-$B604, -(-PMT(InterestRate/PaymentsPerYear,LoanTerm*PaymentsPerYear,LoanAmount) + $E604))), 0), 2)</f>
        <v>0</v>
      </c>
      <c r="G604" s="5">
        <f t="shared" si="38"/>
        <v>0</v>
      </c>
      <c r="H604" s="5">
        <f t="shared" si="39"/>
        <v>0</v>
      </c>
    </row>
    <row r="605" spans="1:8" x14ac:dyDescent="0.2">
      <c r="A605" s="2">
        <v>604</v>
      </c>
      <c r="B605" s="5">
        <f t="shared" si="36"/>
        <v>0</v>
      </c>
      <c r="C605" s="5">
        <f t="shared" si="37"/>
        <v>0</v>
      </c>
      <c r="D605" s="5"/>
      <c r="E605" s="5">
        <f>IF($B605 &lt;= 0, 0, -ROUND($B605 * (InterestRate / PaymentsPerYear), 2))</f>
        <v>0</v>
      </c>
      <c r="F605" s="5">
        <f>ROUND(IFERROR(IF($B605&lt;=0,0,
MAX(-$B605, -(-PMT(InterestRate/PaymentsPerYear,LoanTerm*PaymentsPerYear,LoanAmount) + $E605))), 0), 2)</f>
        <v>0</v>
      </c>
      <c r="G605" s="5">
        <f t="shared" si="38"/>
        <v>0</v>
      </c>
      <c r="H605" s="5">
        <f t="shared" si="39"/>
        <v>0</v>
      </c>
    </row>
    <row r="606" spans="1:8" x14ac:dyDescent="0.2">
      <c r="A606" s="2">
        <v>605</v>
      </c>
      <c r="B606" s="5">
        <f t="shared" si="36"/>
        <v>0</v>
      </c>
      <c r="C606" s="5">
        <f t="shared" si="37"/>
        <v>0</v>
      </c>
      <c r="D606" s="5"/>
      <c r="E606" s="5">
        <f>IF($B606 &lt;= 0, 0, -ROUND($B606 * (InterestRate / PaymentsPerYear), 2))</f>
        <v>0</v>
      </c>
      <c r="F606" s="5">
        <f>ROUND(IFERROR(IF($B606&lt;=0,0,
MAX(-$B606, -(-PMT(InterestRate/PaymentsPerYear,LoanTerm*PaymentsPerYear,LoanAmount) + $E606))), 0), 2)</f>
        <v>0</v>
      </c>
      <c r="G606" s="5">
        <f t="shared" si="38"/>
        <v>0</v>
      </c>
      <c r="H606" s="5">
        <f t="shared" si="39"/>
        <v>0</v>
      </c>
    </row>
    <row r="607" spans="1:8" x14ac:dyDescent="0.2">
      <c r="A607" s="2">
        <v>606</v>
      </c>
      <c r="B607" s="5">
        <f t="shared" si="36"/>
        <v>0</v>
      </c>
      <c r="C607" s="5">
        <f t="shared" si="37"/>
        <v>0</v>
      </c>
      <c r="D607" s="5"/>
      <c r="E607" s="5">
        <f>IF($B607 &lt;= 0, 0, -ROUND($B607 * (InterestRate / PaymentsPerYear), 2))</f>
        <v>0</v>
      </c>
      <c r="F607" s="5">
        <f>ROUND(IFERROR(IF($B607&lt;=0,0,
MAX(-$B607, -(-PMT(InterestRate/PaymentsPerYear,LoanTerm*PaymentsPerYear,LoanAmount) + $E607))), 0), 2)</f>
        <v>0</v>
      </c>
      <c r="G607" s="5">
        <f t="shared" si="38"/>
        <v>0</v>
      </c>
      <c r="H607" s="5">
        <f t="shared" si="39"/>
        <v>0</v>
      </c>
    </row>
    <row r="608" spans="1:8" x14ac:dyDescent="0.2">
      <c r="A608" s="2">
        <v>607</v>
      </c>
      <c r="B608" s="5">
        <f t="shared" si="36"/>
        <v>0</v>
      </c>
      <c r="C608" s="5">
        <f t="shared" si="37"/>
        <v>0</v>
      </c>
      <c r="D608" s="5"/>
      <c r="E608" s="5">
        <f>IF($B608 &lt;= 0, 0, -ROUND($B608 * (InterestRate / PaymentsPerYear), 2))</f>
        <v>0</v>
      </c>
      <c r="F608" s="5">
        <f>ROUND(IFERROR(IF($B608&lt;=0,0,
MAX(-$B608, -(-PMT(InterestRate/PaymentsPerYear,LoanTerm*PaymentsPerYear,LoanAmount) + $E608))), 0), 2)</f>
        <v>0</v>
      </c>
      <c r="G608" s="5">
        <f t="shared" si="38"/>
        <v>0</v>
      </c>
      <c r="H608" s="5">
        <f t="shared" si="39"/>
        <v>0</v>
      </c>
    </row>
    <row r="609" spans="1:8" x14ac:dyDescent="0.2">
      <c r="A609" s="2">
        <v>608</v>
      </c>
      <c r="B609" s="5">
        <f t="shared" si="36"/>
        <v>0</v>
      </c>
      <c r="C609" s="5">
        <f t="shared" si="37"/>
        <v>0</v>
      </c>
      <c r="D609" s="5"/>
      <c r="E609" s="5">
        <f>IF($B609 &lt;= 0, 0, -ROUND($B609 * (InterestRate / PaymentsPerYear), 2))</f>
        <v>0</v>
      </c>
      <c r="F609" s="5">
        <f>ROUND(IFERROR(IF($B609&lt;=0,0,
MAX(-$B609, -(-PMT(InterestRate/PaymentsPerYear,LoanTerm*PaymentsPerYear,LoanAmount) + $E609))), 0), 2)</f>
        <v>0</v>
      </c>
      <c r="G609" s="5">
        <f t="shared" si="38"/>
        <v>0</v>
      </c>
      <c r="H609" s="5">
        <f t="shared" si="39"/>
        <v>0</v>
      </c>
    </row>
    <row r="610" spans="1:8" x14ac:dyDescent="0.2">
      <c r="A610" s="2">
        <v>609</v>
      </c>
      <c r="B610" s="5">
        <f t="shared" si="36"/>
        <v>0</v>
      </c>
      <c r="C610" s="5">
        <f t="shared" si="37"/>
        <v>0</v>
      </c>
      <c r="D610" s="5"/>
      <c r="E610" s="5">
        <f>IF($B610 &lt;= 0, 0, -ROUND($B610 * (InterestRate / PaymentsPerYear), 2))</f>
        <v>0</v>
      </c>
      <c r="F610" s="5">
        <f>ROUND(IFERROR(IF($B610&lt;=0,0,
MAX(-$B610, -(-PMT(InterestRate/PaymentsPerYear,LoanTerm*PaymentsPerYear,LoanAmount) + $E610))), 0), 2)</f>
        <v>0</v>
      </c>
      <c r="G610" s="5">
        <f t="shared" si="38"/>
        <v>0</v>
      </c>
      <c r="H610" s="5">
        <f t="shared" si="39"/>
        <v>0</v>
      </c>
    </row>
    <row r="611" spans="1:8" x14ac:dyDescent="0.2">
      <c r="A611" s="2">
        <v>610</v>
      </c>
      <c r="B611" s="5">
        <f t="shared" si="36"/>
        <v>0</v>
      </c>
      <c r="C611" s="5">
        <f t="shared" si="37"/>
        <v>0</v>
      </c>
      <c r="D611" s="5"/>
      <c r="E611" s="5">
        <f>IF($B611 &lt;= 0, 0, -ROUND($B611 * (InterestRate / PaymentsPerYear), 2))</f>
        <v>0</v>
      </c>
      <c r="F611" s="5">
        <f>ROUND(IFERROR(IF($B611&lt;=0,0,
MAX(-$B611, -(-PMT(InterestRate/PaymentsPerYear,LoanTerm*PaymentsPerYear,LoanAmount) + $E611))), 0), 2)</f>
        <v>0</v>
      </c>
      <c r="G611" s="5">
        <f t="shared" si="38"/>
        <v>0</v>
      </c>
      <c r="H611" s="5">
        <f t="shared" si="39"/>
        <v>0</v>
      </c>
    </row>
    <row r="612" spans="1:8" x14ac:dyDescent="0.2">
      <c r="A612" s="2">
        <v>611</v>
      </c>
      <c r="B612" s="5">
        <f t="shared" si="36"/>
        <v>0</v>
      </c>
      <c r="C612" s="5">
        <f t="shared" si="37"/>
        <v>0</v>
      </c>
      <c r="D612" s="5"/>
      <c r="E612" s="5">
        <f>IF($B612 &lt;= 0, 0, -ROUND($B612 * (InterestRate / PaymentsPerYear), 2))</f>
        <v>0</v>
      </c>
      <c r="F612" s="5">
        <f>ROUND(IFERROR(IF($B612&lt;=0,0,
MAX(-$B612, -(-PMT(InterestRate/PaymentsPerYear,LoanTerm*PaymentsPerYear,LoanAmount) + $E612))), 0), 2)</f>
        <v>0</v>
      </c>
      <c r="G612" s="5">
        <f t="shared" si="38"/>
        <v>0</v>
      </c>
      <c r="H612" s="5">
        <f t="shared" si="39"/>
        <v>0</v>
      </c>
    </row>
    <row r="613" spans="1:8" x14ac:dyDescent="0.2">
      <c r="A613" s="2">
        <v>612</v>
      </c>
      <c r="B613" s="5">
        <f t="shared" si="36"/>
        <v>0</v>
      </c>
      <c r="C613" s="5">
        <f t="shared" si="37"/>
        <v>0</v>
      </c>
      <c r="D613" s="5"/>
      <c r="E613" s="5">
        <f>IF($B613 &lt;= 0, 0, -ROUND($B613 * (InterestRate / PaymentsPerYear), 2))</f>
        <v>0</v>
      </c>
      <c r="F613" s="5">
        <f>ROUND(IFERROR(IF($B613&lt;=0,0,
MAX(-$B613, -(-PMT(InterestRate/PaymentsPerYear,LoanTerm*PaymentsPerYear,LoanAmount) + $E613))), 0), 2)</f>
        <v>0</v>
      </c>
      <c r="G613" s="5">
        <f t="shared" si="38"/>
        <v>0</v>
      </c>
      <c r="H613" s="5">
        <f t="shared" si="39"/>
        <v>0</v>
      </c>
    </row>
    <row r="614" spans="1:8" x14ac:dyDescent="0.2">
      <c r="A614" s="2">
        <v>613</v>
      </c>
      <c r="B614" s="5">
        <f t="shared" si="36"/>
        <v>0</v>
      </c>
      <c r="C614" s="5">
        <f t="shared" si="37"/>
        <v>0</v>
      </c>
      <c r="D614" s="5"/>
      <c r="E614" s="5">
        <f>IF($B614 &lt;= 0, 0, -ROUND($B614 * (InterestRate / PaymentsPerYear), 2))</f>
        <v>0</v>
      </c>
      <c r="F614" s="5">
        <f>ROUND(IFERROR(IF($B614&lt;=0,0,
MAX(-$B614, -(-PMT(InterestRate/PaymentsPerYear,LoanTerm*PaymentsPerYear,LoanAmount) + $E614))), 0), 2)</f>
        <v>0</v>
      </c>
      <c r="G614" s="5">
        <f t="shared" si="38"/>
        <v>0</v>
      </c>
      <c r="H614" s="5">
        <f t="shared" si="39"/>
        <v>0</v>
      </c>
    </row>
    <row r="615" spans="1:8" x14ac:dyDescent="0.2">
      <c r="A615" s="2">
        <v>614</v>
      </c>
      <c r="B615" s="5">
        <f t="shared" si="36"/>
        <v>0</v>
      </c>
      <c r="C615" s="5">
        <f t="shared" si="37"/>
        <v>0</v>
      </c>
      <c r="D615" s="5"/>
      <c r="E615" s="5">
        <f>IF($B615 &lt;= 0, 0, -ROUND($B615 * (InterestRate / PaymentsPerYear), 2))</f>
        <v>0</v>
      </c>
      <c r="F615" s="5">
        <f>ROUND(IFERROR(IF($B615&lt;=0,0,
MAX(-$B615, -(-PMT(InterestRate/PaymentsPerYear,LoanTerm*PaymentsPerYear,LoanAmount) + $E615))), 0), 2)</f>
        <v>0</v>
      </c>
      <c r="G615" s="5">
        <f t="shared" si="38"/>
        <v>0</v>
      </c>
      <c r="H615" s="5">
        <f t="shared" si="39"/>
        <v>0</v>
      </c>
    </row>
    <row r="616" spans="1:8" x14ac:dyDescent="0.2">
      <c r="A616" s="2">
        <v>615</v>
      </c>
      <c r="B616" s="5">
        <f t="shared" si="36"/>
        <v>0</v>
      </c>
      <c r="C616" s="5">
        <f t="shared" si="37"/>
        <v>0</v>
      </c>
      <c r="D616" s="5"/>
      <c r="E616" s="5">
        <f>IF($B616 &lt;= 0, 0, -ROUND($B616 * (InterestRate / PaymentsPerYear), 2))</f>
        <v>0</v>
      </c>
      <c r="F616" s="5">
        <f>ROUND(IFERROR(IF($B616&lt;=0,0,
MAX(-$B616, -(-PMT(InterestRate/PaymentsPerYear,LoanTerm*PaymentsPerYear,LoanAmount) + $E616))), 0), 2)</f>
        <v>0</v>
      </c>
      <c r="G616" s="5">
        <f t="shared" si="38"/>
        <v>0</v>
      </c>
      <c r="H616" s="5">
        <f t="shared" si="39"/>
        <v>0</v>
      </c>
    </row>
    <row r="617" spans="1:8" x14ac:dyDescent="0.2">
      <c r="A617" s="2">
        <v>616</v>
      </c>
      <c r="B617" s="5">
        <f t="shared" si="36"/>
        <v>0</v>
      </c>
      <c r="C617" s="5">
        <f t="shared" si="37"/>
        <v>0</v>
      </c>
      <c r="D617" s="5"/>
      <c r="E617" s="5">
        <f>IF($B617 &lt;= 0, 0, -ROUND($B617 * (InterestRate / PaymentsPerYear), 2))</f>
        <v>0</v>
      </c>
      <c r="F617" s="5">
        <f>ROUND(IFERROR(IF($B617&lt;=0,0,
MAX(-$B617, -(-PMT(InterestRate/PaymentsPerYear,LoanTerm*PaymentsPerYear,LoanAmount) + $E617))), 0), 2)</f>
        <v>0</v>
      </c>
      <c r="G617" s="5">
        <f t="shared" si="38"/>
        <v>0</v>
      </c>
      <c r="H617" s="5">
        <f t="shared" si="39"/>
        <v>0</v>
      </c>
    </row>
    <row r="618" spans="1:8" x14ac:dyDescent="0.2">
      <c r="A618" s="2">
        <v>617</v>
      </c>
      <c r="B618" s="5">
        <f t="shared" si="36"/>
        <v>0</v>
      </c>
      <c r="C618" s="5">
        <f t="shared" si="37"/>
        <v>0</v>
      </c>
      <c r="D618" s="5"/>
      <c r="E618" s="5">
        <f>IF($B618 &lt;= 0, 0, -ROUND($B618 * (InterestRate / PaymentsPerYear), 2))</f>
        <v>0</v>
      </c>
      <c r="F618" s="5">
        <f>ROUND(IFERROR(IF($B618&lt;=0,0,
MAX(-$B618, -(-PMT(InterestRate/PaymentsPerYear,LoanTerm*PaymentsPerYear,LoanAmount) + $E618))), 0), 2)</f>
        <v>0</v>
      </c>
      <c r="G618" s="5">
        <f t="shared" si="38"/>
        <v>0</v>
      </c>
      <c r="H618" s="5">
        <f t="shared" si="39"/>
        <v>0</v>
      </c>
    </row>
    <row r="619" spans="1:8" x14ac:dyDescent="0.2">
      <c r="A619" s="2">
        <v>618</v>
      </c>
      <c r="B619" s="5">
        <f t="shared" si="36"/>
        <v>0</v>
      </c>
      <c r="C619" s="5">
        <f t="shared" si="37"/>
        <v>0</v>
      </c>
      <c r="D619" s="5"/>
      <c r="E619" s="5">
        <f>IF($B619 &lt;= 0, 0, -ROUND($B619 * (InterestRate / PaymentsPerYear), 2))</f>
        <v>0</v>
      </c>
      <c r="F619" s="5">
        <f>ROUND(IFERROR(IF($B619&lt;=0,0,
MAX(-$B619, -(-PMT(InterestRate/PaymentsPerYear,LoanTerm*PaymentsPerYear,LoanAmount) + $E619))), 0), 2)</f>
        <v>0</v>
      </c>
      <c r="G619" s="5">
        <f t="shared" si="38"/>
        <v>0</v>
      </c>
      <c r="H619" s="5">
        <f t="shared" si="39"/>
        <v>0</v>
      </c>
    </row>
    <row r="620" spans="1:8" x14ac:dyDescent="0.2">
      <c r="A620" s="2">
        <v>619</v>
      </c>
      <c r="B620" s="5">
        <f t="shared" si="36"/>
        <v>0</v>
      </c>
      <c r="C620" s="5">
        <f t="shared" si="37"/>
        <v>0</v>
      </c>
      <c r="D620" s="5"/>
      <c r="E620" s="5">
        <f>IF($B620 &lt;= 0, 0, -ROUND($B620 * (InterestRate / PaymentsPerYear), 2))</f>
        <v>0</v>
      </c>
      <c r="F620" s="5">
        <f>ROUND(IFERROR(IF($B620&lt;=0,0,
MAX(-$B620, -(-PMT(InterestRate/PaymentsPerYear,LoanTerm*PaymentsPerYear,LoanAmount) + $E620))), 0), 2)</f>
        <v>0</v>
      </c>
      <c r="G620" s="5">
        <f t="shared" si="38"/>
        <v>0</v>
      </c>
      <c r="H620" s="5">
        <f t="shared" si="39"/>
        <v>0</v>
      </c>
    </row>
    <row r="621" spans="1:8" x14ac:dyDescent="0.2">
      <c r="A621" s="2">
        <v>620</v>
      </c>
      <c r="B621" s="5">
        <f t="shared" si="36"/>
        <v>0</v>
      </c>
      <c r="C621" s="5">
        <f t="shared" si="37"/>
        <v>0</v>
      </c>
      <c r="D621" s="5"/>
      <c r="E621" s="5">
        <f>IF($B621 &lt;= 0, 0, -ROUND($B621 * (InterestRate / PaymentsPerYear), 2))</f>
        <v>0</v>
      </c>
      <c r="F621" s="5">
        <f>ROUND(IFERROR(IF($B621&lt;=0,0,
MAX(-$B621, -(-PMT(InterestRate/PaymentsPerYear,LoanTerm*PaymentsPerYear,LoanAmount) + $E621))), 0), 2)</f>
        <v>0</v>
      </c>
      <c r="G621" s="5">
        <f t="shared" si="38"/>
        <v>0</v>
      </c>
      <c r="H621" s="5">
        <f t="shared" si="39"/>
        <v>0</v>
      </c>
    </row>
    <row r="622" spans="1:8" x14ac:dyDescent="0.2">
      <c r="A622" s="2">
        <v>621</v>
      </c>
      <c r="B622" s="5">
        <f t="shared" si="36"/>
        <v>0</v>
      </c>
      <c r="C622" s="5">
        <f t="shared" si="37"/>
        <v>0</v>
      </c>
      <c r="D622" s="5"/>
      <c r="E622" s="5">
        <f>IF($B622 &lt;= 0, 0, -ROUND($B622 * (InterestRate / PaymentsPerYear), 2))</f>
        <v>0</v>
      </c>
      <c r="F622" s="5">
        <f>ROUND(IFERROR(IF($B622&lt;=0,0,
MAX(-$B622, -(-PMT(InterestRate/PaymentsPerYear,LoanTerm*PaymentsPerYear,LoanAmount) + $E622))), 0), 2)</f>
        <v>0</v>
      </c>
      <c r="G622" s="5">
        <f t="shared" si="38"/>
        <v>0</v>
      </c>
      <c r="H622" s="5">
        <f t="shared" si="39"/>
        <v>0</v>
      </c>
    </row>
    <row r="623" spans="1:8" x14ac:dyDescent="0.2">
      <c r="A623" s="2">
        <v>622</v>
      </c>
      <c r="B623" s="5">
        <f t="shared" si="36"/>
        <v>0</v>
      </c>
      <c r="C623" s="5">
        <f t="shared" si="37"/>
        <v>0</v>
      </c>
      <c r="D623" s="5"/>
      <c r="E623" s="5">
        <f>IF($B623 &lt;= 0, 0, -ROUND($B623 * (InterestRate / PaymentsPerYear), 2))</f>
        <v>0</v>
      </c>
      <c r="F623" s="5">
        <f>ROUND(IFERROR(IF($B623&lt;=0,0,
MAX(-$B623, -(-PMT(InterestRate/PaymentsPerYear,LoanTerm*PaymentsPerYear,LoanAmount) + $E623))), 0), 2)</f>
        <v>0</v>
      </c>
      <c r="G623" s="5">
        <f t="shared" si="38"/>
        <v>0</v>
      </c>
      <c r="H623" s="5">
        <f t="shared" si="39"/>
        <v>0</v>
      </c>
    </row>
    <row r="624" spans="1:8" x14ac:dyDescent="0.2">
      <c r="A624" s="2">
        <v>623</v>
      </c>
      <c r="B624" s="5">
        <f t="shared" si="36"/>
        <v>0</v>
      </c>
      <c r="C624" s="5">
        <f t="shared" si="37"/>
        <v>0</v>
      </c>
      <c r="D624" s="5"/>
      <c r="E624" s="5">
        <f>IF($B624 &lt;= 0, 0, -ROUND($B624 * (InterestRate / PaymentsPerYear), 2))</f>
        <v>0</v>
      </c>
      <c r="F624" s="5">
        <f>ROUND(IFERROR(IF($B624&lt;=0,0,
MAX(-$B624, -(-PMT(InterestRate/PaymentsPerYear,LoanTerm*PaymentsPerYear,LoanAmount) + $E624))), 0), 2)</f>
        <v>0</v>
      </c>
      <c r="G624" s="5">
        <f t="shared" si="38"/>
        <v>0</v>
      </c>
      <c r="H624" s="5">
        <f t="shared" si="39"/>
        <v>0</v>
      </c>
    </row>
    <row r="625" spans="1:8" x14ac:dyDescent="0.2">
      <c r="A625" s="2">
        <v>624</v>
      </c>
      <c r="B625" s="5">
        <f t="shared" si="36"/>
        <v>0</v>
      </c>
      <c r="C625" s="5">
        <f t="shared" si="37"/>
        <v>0</v>
      </c>
      <c r="D625" s="5"/>
      <c r="E625" s="5">
        <f>IF($B625 &lt;= 0, 0, -ROUND($B625 * (InterestRate / PaymentsPerYear), 2))</f>
        <v>0</v>
      </c>
      <c r="F625" s="5">
        <f>ROUND(IFERROR(IF($B625&lt;=0,0,
MAX(-$B625, -(-PMT(InterestRate/PaymentsPerYear,LoanTerm*PaymentsPerYear,LoanAmount) + $E625))), 0), 2)</f>
        <v>0</v>
      </c>
      <c r="G625" s="5">
        <f t="shared" si="38"/>
        <v>0</v>
      </c>
      <c r="H625" s="5">
        <f t="shared" si="39"/>
        <v>0</v>
      </c>
    </row>
    <row r="626" spans="1:8" x14ac:dyDescent="0.2">
      <c r="A626" s="2">
        <v>625</v>
      </c>
      <c r="B626" s="5">
        <f t="shared" si="36"/>
        <v>0</v>
      </c>
      <c r="C626" s="5">
        <f t="shared" si="37"/>
        <v>0</v>
      </c>
      <c r="D626" s="5"/>
      <c r="E626" s="5">
        <f>IF($B626 &lt;= 0, 0, -ROUND($B626 * (InterestRate / PaymentsPerYear), 2))</f>
        <v>0</v>
      </c>
      <c r="F626" s="5">
        <f>ROUND(IFERROR(IF($B626&lt;=0,0,
MAX(-$B626, -(-PMT(InterestRate/PaymentsPerYear,LoanTerm*PaymentsPerYear,LoanAmount) + $E626))), 0), 2)</f>
        <v>0</v>
      </c>
      <c r="G626" s="5">
        <f t="shared" si="38"/>
        <v>0</v>
      </c>
      <c r="H626" s="5">
        <f t="shared" si="39"/>
        <v>0</v>
      </c>
    </row>
    <row r="627" spans="1:8" x14ac:dyDescent="0.2">
      <c r="A627" s="2">
        <v>626</v>
      </c>
      <c r="B627" s="5">
        <f t="shared" si="36"/>
        <v>0</v>
      </c>
      <c r="C627" s="5">
        <f t="shared" si="37"/>
        <v>0</v>
      </c>
      <c r="D627" s="5"/>
      <c r="E627" s="5">
        <f>IF($B627 &lt;= 0, 0, -ROUND($B627 * (InterestRate / PaymentsPerYear), 2))</f>
        <v>0</v>
      </c>
      <c r="F627" s="5">
        <f>ROUND(IFERROR(IF($B627&lt;=0,0,
MAX(-$B627, -(-PMT(InterestRate/PaymentsPerYear,LoanTerm*PaymentsPerYear,LoanAmount) + $E627))), 0), 2)</f>
        <v>0</v>
      </c>
      <c r="G627" s="5">
        <f t="shared" si="38"/>
        <v>0</v>
      </c>
      <c r="H627" s="5">
        <f t="shared" si="39"/>
        <v>0</v>
      </c>
    </row>
    <row r="628" spans="1:8" x14ac:dyDescent="0.2">
      <c r="A628" s="2">
        <v>627</v>
      </c>
      <c r="B628" s="5">
        <f t="shared" si="36"/>
        <v>0</v>
      </c>
      <c r="C628" s="5">
        <f t="shared" si="37"/>
        <v>0</v>
      </c>
      <c r="D628" s="5"/>
      <c r="E628" s="5">
        <f>IF($B628 &lt;= 0, 0, -ROUND($B628 * (InterestRate / PaymentsPerYear), 2))</f>
        <v>0</v>
      </c>
      <c r="F628" s="5">
        <f>ROUND(IFERROR(IF($B628&lt;=0,0,
MAX(-$B628, -(-PMT(InterestRate/PaymentsPerYear,LoanTerm*PaymentsPerYear,LoanAmount) + $E628))), 0), 2)</f>
        <v>0</v>
      </c>
      <c r="G628" s="5">
        <f t="shared" si="38"/>
        <v>0</v>
      </c>
      <c r="H628" s="5">
        <f t="shared" si="39"/>
        <v>0</v>
      </c>
    </row>
    <row r="629" spans="1:8" x14ac:dyDescent="0.2">
      <c r="A629" s="2">
        <v>628</v>
      </c>
      <c r="B629" s="5">
        <f t="shared" si="36"/>
        <v>0</v>
      </c>
      <c r="C629" s="5">
        <f t="shared" si="37"/>
        <v>0</v>
      </c>
      <c r="D629" s="5"/>
      <c r="E629" s="5">
        <f>IF($B629 &lt;= 0, 0, -ROUND($B629 * (InterestRate / PaymentsPerYear), 2))</f>
        <v>0</v>
      </c>
      <c r="F629" s="5">
        <f>ROUND(IFERROR(IF($B629&lt;=0,0,
MAX(-$B629, -(-PMT(InterestRate/PaymentsPerYear,LoanTerm*PaymentsPerYear,LoanAmount) + $E629))), 0), 2)</f>
        <v>0</v>
      </c>
      <c r="G629" s="5">
        <f t="shared" si="38"/>
        <v>0</v>
      </c>
      <c r="H629" s="5">
        <f t="shared" si="39"/>
        <v>0</v>
      </c>
    </row>
    <row r="630" spans="1:8" x14ac:dyDescent="0.2">
      <c r="A630" s="2">
        <v>629</v>
      </c>
      <c r="B630" s="5">
        <f t="shared" si="36"/>
        <v>0</v>
      </c>
      <c r="C630" s="5">
        <f t="shared" si="37"/>
        <v>0</v>
      </c>
      <c r="D630" s="5"/>
      <c r="E630" s="5">
        <f>IF($B630 &lt;= 0, 0, -ROUND($B630 * (InterestRate / PaymentsPerYear), 2))</f>
        <v>0</v>
      </c>
      <c r="F630" s="5">
        <f>ROUND(IFERROR(IF($B630&lt;=0,0,
MAX(-$B630, -(-PMT(InterestRate/PaymentsPerYear,LoanTerm*PaymentsPerYear,LoanAmount) + $E630))), 0), 2)</f>
        <v>0</v>
      </c>
      <c r="G630" s="5">
        <f t="shared" si="38"/>
        <v>0</v>
      </c>
      <c r="H630" s="5">
        <f t="shared" si="39"/>
        <v>0</v>
      </c>
    </row>
    <row r="631" spans="1:8" x14ac:dyDescent="0.2">
      <c r="A631" s="2">
        <v>630</v>
      </c>
      <c r="B631" s="5">
        <f t="shared" si="36"/>
        <v>0</v>
      </c>
      <c r="C631" s="5">
        <f t="shared" si="37"/>
        <v>0</v>
      </c>
      <c r="D631" s="5"/>
      <c r="E631" s="5">
        <f>IF($B631 &lt;= 0, 0, -ROUND($B631 * (InterestRate / PaymentsPerYear), 2))</f>
        <v>0</v>
      </c>
      <c r="F631" s="5">
        <f>ROUND(IFERROR(IF($B631&lt;=0,0,
MAX(-$B631, -(-PMT(InterestRate/PaymentsPerYear,LoanTerm*PaymentsPerYear,LoanAmount) + $E631))), 0), 2)</f>
        <v>0</v>
      </c>
      <c r="G631" s="5">
        <f t="shared" si="38"/>
        <v>0</v>
      </c>
      <c r="H631" s="5">
        <f t="shared" si="39"/>
        <v>0</v>
      </c>
    </row>
    <row r="632" spans="1:8" x14ac:dyDescent="0.2">
      <c r="A632" s="2">
        <v>631</v>
      </c>
      <c r="B632" s="5">
        <f t="shared" si="36"/>
        <v>0</v>
      </c>
      <c r="C632" s="5">
        <f t="shared" si="37"/>
        <v>0</v>
      </c>
      <c r="D632" s="5"/>
      <c r="E632" s="5">
        <f>IF($B632 &lt;= 0, 0, -ROUND($B632 * (InterestRate / PaymentsPerYear), 2))</f>
        <v>0</v>
      </c>
      <c r="F632" s="5">
        <f>ROUND(IFERROR(IF($B632&lt;=0,0,
MAX(-$B632, -(-PMT(InterestRate/PaymentsPerYear,LoanTerm*PaymentsPerYear,LoanAmount) + $E632))), 0), 2)</f>
        <v>0</v>
      </c>
      <c r="G632" s="5">
        <f t="shared" si="38"/>
        <v>0</v>
      </c>
      <c r="H632" s="5">
        <f t="shared" si="39"/>
        <v>0</v>
      </c>
    </row>
    <row r="633" spans="1:8" x14ac:dyDescent="0.2">
      <c r="A633" s="2">
        <v>632</v>
      </c>
      <c r="B633" s="5">
        <f t="shared" si="36"/>
        <v>0</v>
      </c>
      <c r="C633" s="5">
        <f t="shared" si="37"/>
        <v>0</v>
      </c>
      <c r="D633" s="5"/>
      <c r="E633" s="5">
        <f>IF($B633 &lt;= 0, 0, -ROUND($B633 * (InterestRate / PaymentsPerYear), 2))</f>
        <v>0</v>
      </c>
      <c r="F633" s="5">
        <f>ROUND(IFERROR(IF($B633&lt;=0,0,
MAX(-$B633, -(-PMT(InterestRate/PaymentsPerYear,LoanTerm*PaymentsPerYear,LoanAmount) + $E633))), 0), 2)</f>
        <v>0</v>
      </c>
      <c r="G633" s="5">
        <f t="shared" si="38"/>
        <v>0</v>
      </c>
      <c r="H633" s="5">
        <f t="shared" si="39"/>
        <v>0</v>
      </c>
    </row>
    <row r="634" spans="1:8" x14ac:dyDescent="0.2">
      <c r="A634" s="2">
        <v>633</v>
      </c>
      <c r="B634" s="5">
        <f t="shared" si="36"/>
        <v>0</v>
      </c>
      <c r="C634" s="5">
        <f t="shared" si="37"/>
        <v>0</v>
      </c>
      <c r="D634" s="5"/>
      <c r="E634" s="5">
        <f>IF($B634 &lt;= 0, 0, -ROUND($B634 * (InterestRate / PaymentsPerYear), 2))</f>
        <v>0</v>
      </c>
      <c r="F634" s="5">
        <f>ROUND(IFERROR(IF($B634&lt;=0,0,
MAX(-$B634, -(-PMT(InterestRate/PaymentsPerYear,LoanTerm*PaymentsPerYear,LoanAmount) + $E634))), 0), 2)</f>
        <v>0</v>
      </c>
      <c r="G634" s="5">
        <f t="shared" si="38"/>
        <v>0</v>
      </c>
      <c r="H634" s="5">
        <f t="shared" si="39"/>
        <v>0</v>
      </c>
    </row>
    <row r="635" spans="1:8" x14ac:dyDescent="0.2">
      <c r="A635" s="2">
        <v>634</v>
      </c>
      <c r="B635" s="5">
        <f t="shared" si="36"/>
        <v>0</v>
      </c>
      <c r="C635" s="5">
        <f t="shared" si="37"/>
        <v>0</v>
      </c>
      <c r="D635" s="5"/>
      <c r="E635" s="5">
        <f>IF($B635 &lt;= 0, 0, -ROUND($B635 * (InterestRate / PaymentsPerYear), 2))</f>
        <v>0</v>
      </c>
      <c r="F635" s="5">
        <f>ROUND(IFERROR(IF($B635&lt;=0,0,
MAX(-$B635, -(-PMT(InterestRate/PaymentsPerYear,LoanTerm*PaymentsPerYear,LoanAmount) + $E635))), 0), 2)</f>
        <v>0</v>
      </c>
      <c r="G635" s="5">
        <f t="shared" si="38"/>
        <v>0</v>
      </c>
      <c r="H635" s="5">
        <f t="shared" si="39"/>
        <v>0</v>
      </c>
    </row>
    <row r="636" spans="1:8" x14ac:dyDescent="0.2">
      <c r="A636" s="2">
        <v>635</v>
      </c>
      <c r="B636" s="5">
        <f t="shared" si="36"/>
        <v>0</v>
      </c>
      <c r="C636" s="5">
        <f t="shared" si="37"/>
        <v>0</v>
      </c>
      <c r="D636" s="5"/>
      <c r="E636" s="5">
        <f>IF($B636 &lt;= 0, 0, -ROUND($B636 * (InterestRate / PaymentsPerYear), 2))</f>
        <v>0</v>
      </c>
      <c r="F636" s="5">
        <f>ROUND(IFERROR(IF($B636&lt;=0,0,
MAX(-$B636, -(-PMT(InterestRate/PaymentsPerYear,LoanTerm*PaymentsPerYear,LoanAmount) + $E636))), 0), 2)</f>
        <v>0</v>
      </c>
      <c r="G636" s="5">
        <f t="shared" si="38"/>
        <v>0</v>
      </c>
      <c r="H636" s="5">
        <f t="shared" si="39"/>
        <v>0</v>
      </c>
    </row>
    <row r="637" spans="1:8" x14ac:dyDescent="0.2">
      <c r="A637" s="2">
        <v>636</v>
      </c>
      <c r="B637" s="5">
        <f t="shared" si="36"/>
        <v>0</v>
      </c>
      <c r="C637" s="5">
        <f t="shared" si="37"/>
        <v>0</v>
      </c>
      <c r="D637" s="5"/>
      <c r="E637" s="5">
        <f>IF($B637 &lt;= 0, 0, -ROUND($B637 * (InterestRate / PaymentsPerYear), 2))</f>
        <v>0</v>
      </c>
      <c r="F637" s="5">
        <f>ROUND(IFERROR(IF($B637&lt;=0,0,
MAX(-$B637, -(-PMT(InterestRate/PaymentsPerYear,LoanTerm*PaymentsPerYear,LoanAmount) + $E637))), 0), 2)</f>
        <v>0</v>
      </c>
      <c r="G637" s="5">
        <f t="shared" si="38"/>
        <v>0</v>
      </c>
      <c r="H637" s="5">
        <f t="shared" si="39"/>
        <v>0</v>
      </c>
    </row>
    <row r="638" spans="1:8" x14ac:dyDescent="0.2">
      <c r="A638" s="2">
        <v>637</v>
      </c>
      <c r="B638" s="5">
        <f t="shared" si="36"/>
        <v>0</v>
      </c>
      <c r="C638" s="5">
        <f t="shared" si="37"/>
        <v>0</v>
      </c>
      <c r="D638" s="5"/>
      <c r="E638" s="5">
        <f>IF($B638 &lt;= 0, 0, -ROUND($B638 * (InterestRate / PaymentsPerYear), 2))</f>
        <v>0</v>
      </c>
      <c r="F638" s="5">
        <f>ROUND(IFERROR(IF($B638&lt;=0,0,
MAX(-$B638, -(-PMT(InterestRate/PaymentsPerYear,LoanTerm*PaymentsPerYear,LoanAmount) + $E638))), 0), 2)</f>
        <v>0</v>
      </c>
      <c r="G638" s="5">
        <f t="shared" si="38"/>
        <v>0</v>
      </c>
      <c r="H638" s="5">
        <f t="shared" si="39"/>
        <v>0</v>
      </c>
    </row>
    <row r="639" spans="1:8" x14ac:dyDescent="0.2">
      <c r="A639" s="2">
        <v>638</v>
      </c>
      <c r="B639" s="5">
        <f t="shared" si="36"/>
        <v>0</v>
      </c>
      <c r="C639" s="5">
        <f t="shared" si="37"/>
        <v>0</v>
      </c>
      <c r="D639" s="5"/>
      <c r="E639" s="5">
        <f>IF($B639 &lt;= 0, 0, -ROUND($B639 * (InterestRate / PaymentsPerYear), 2))</f>
        <v>0</v>
      </c>
      <c r="F639" s="5">
        <f>ROUND(IFERROR(IF($B639&lt;=0,0,
MAX(-$B639, -(-PMT(InterestRate/PaymentsPerYear,LoanTerm*PaymentsPerYear,LoanAmount) + $E639))), 0), 2)</f>
        <v>0</v>
      </c>
      <c r="G639" s="5">
        <f t="shared" si="38"/>
        <v>0</v>
      </c>
      <c r="H639" s="5">
        <f t="shared" si="39"/>
        <v>0</v>
      </c>
    </row>
    <row r="640" spans="1:8" x14ac:dyDescent="0.2">
      <c r="A640" s="2">
        <v>639</v>
      </c>
      <c r="B640" s="5">
        <f t="shared" si="36"/>
        <v>0</v>
      </c>
      <c r="C640" s="5">
        <f t="shared" si="37"/>
        <v>0</v>
      </c>
      <c r="D640" s="5"/>
      <c r="E640" s="5">
        <f>IF($B640 &lt;= 0, 0, -ROUND($B640 * (InterestRate / PaymentsPerYear), 2))</f>
        <v>0</v>
      </c>
      <c r="F640" s="5">
        <f>ROUND(IFERROR(IF($B640&lt;=0,0,
MAX(-$B640, -(-PMT(InterestRate/PaymentsPerYear,LoanTerm*PaymentsPerYear,LoanAmount) + $E640))), 0), 2)</f>
        <v>0</v>
      </c>
      <c r="G640" s="5">
        <f t="shared" si="38"/>
        <v>0</v>
      </c>
      <c r="H640" s="5">
        <f t="shared" si="39"/>
        <v>0</v>
      </c>
    </row>
    <row r="641" spans="1:8" x14ac:dyDescent="0.2">
      <c r="A641" s="2">
        <v>640</v>
      </c>
      <c r="B641" s="5">
        <f t="shared" si="36"/>
        <v>0</v>
      </c>
      <c r="C641" s="5">
        <f t="shared" si="37"/>
        <v>0</v>
      </c>
      <c r="D641" s="5"/>
      <c r="E641" s="5">
        <f>IF($B641 &lt;= 0, 0, -ROUND($B641 * (InterestRate / PaymentsPerYear), 2))</f>
        <v>0</v>
      </c>
      <c r="F641" s="5">
        <f>ROUND(IFERROR(IF($B641&lt;=0,0,
MAX(-$B641, -(-PMT(InterestRate/PaymentsPerYear,LoanTerm*PaymentsPerYear,LoanAmount) + $E641))), 0), 2)</f>
        <v>0</v>
      </c>
      <c r="G641" s="5">
        <f t="shared" si="38"/>
        <v>0</v>
      </c>
      <c r="H641" s="5">
        <f t="shared" si="39"/>
        <v>0</v>
      </c>
    </row>
    <row r="642" spans="1:8" x14ac:dyDescent="0.2">
      <c r="A642" s="2">
        <v>641</v>
      </c>
      <c r="B642" s="5">
        <f t="shared" si="36"/>
        <v>0</v>
      </c>
      <c r="C642" s="5">
        <f t="shared" si="37"/>
        <v>0</v>
      </c>
      <c r="D642" s="5"/>
      <c r="E642" s="5">
        <f>IF($B642 &lt;= 0, 0, -ROUND($B642 * (InterestRate / PaymentsPerYear), 2))</f>
        <v>0</v>
      </c>
      <c r="F642" s="5">
        <f>ROUND(IFERROR(IF($B642&lt;=0,0,
MAX(-$B642, -(-PMT(InterestRate/PaymentsPerYear,LoanTerm*PaymentsPerYear,LoanAmount) + $E642))), 0), 2)</f>
        <v>0</v>
      </c>
      <c r="G642" s="5">
        <f t="shared" si="38"/>
        <v>0</v>
      </c>
      <c r="H642" s="5">
        <f t="shared" si="39"/>
        <v>0</v>
      </c>
    </row>
    <row r="643" spans="1:8" x14ac:dyDescent="0.2">
      <c r="A643" s="2">
        <v>642</v>
      </c>
      <c r="B643" s="5">
        <f t="shared" si="36"/>
        <v>0</v>
      </c>
      <c r="C643" s="5">
        <f t="shared" si="37"/>
        <v>0</v>
      </c>
      <c r="D643" s="5"/>
      <c r="E643" s="5">
        <f>IF($B643 &lt;= 0, 0, -ROUND($B643 * (InterestRate / PaymentsPerYear), 2))</f>
        <v>0</v>
      </c>
      <c r="F643" s="5">
        <f>ROUND(IFERROR(IF($B643&lt;=0,0,
MAX(-$B643, -(-PMT(InterestRate/PaymentsPerYear,LoanTerm*PaymentsPerYear,LoanAmount) + $E643))), 0), 2)</f>
        <v>0</v>
      </c>
      <c r="G643" s="5">
        <f t="shared" si="38"/>
        <v>0</v>
      </c>
      <c r="H643" s="5">
        <f t="shared" si="39"/>
        <v>0</v>
      </c>
    </row>
    <row r="644" spans="1:8" x14ac:dyDescent="0.2">
      <c r="A644" s="2">
        <v>643</v>
      </c>
      <c r="B644" s="5">
        <f t="shared" ref="B644:B707" si="40">ROUND(IF($H643 &gt;= 0, MAX($H643, $F643), 0), 2)</f>
        <v>0</v>
      </c>
      <c r="C644" s="5">
        <f t="shared" ref="C644:C707" si="41">IF($B644 &lt;= 0, 0, $E644+$F644)</f>
        <v>0</v>
      </c>
      <c r="D644" s="5"/>
      <c r="E644" s="5">
        <f>IF($B644 &lt;= 0, 0, -ROUND($B644 * (InterestRate / PaymentsPerYear), 2))</f>
        <v>0</v>
      </c>
      <c r="F644" s="5">
        <f>ROUND(IFERROR(IF($B644&lt;=0,0,
MAX(-$B644, -(-PMT(InterestRate/PaymentsPerYear,LoanTerm*PaymentsPerYear,LoanAmount) + $E644))), 0), 2)</f>
        <v>0</v>
      </c>
      <c r="G644" s="5">
        <f t="shared" ref="G644:G707" si="42">$F644</f>
        <v>0</v>
      </c>
      <c r="H644" s="5">
        <f t="shared" ref="H644:H707" si="43">ROUND(IF($B644 &lt;= 0, 0,MAX(0, $B644 + $G644)), 2)</f>
        <v>0</v>
      </c>
    </row>
    <row r="645" spans="1:8" x14ac:dyDescent="0.2">
      <c r="A645" s="2">
        <v>644</v>
      </c>
      <c r="B645" s="5">
        <f t="shared" si="40"/>
        <v>0</v>
      </c>
      <c r="C645" s="5">
        <f t="shared" si="41"/>
        <v>0</v>
      </c>
      <c r="D645" s="5"/>
      <c r="E645" s="5">
        <f>IF($B645 &lt;= 0, 0, -ROUND($B645 * (InterestRate / PaymentsPerYear), 2))</f>
        <v>0</v>
      </c>
      <c r="F645" s="5">
        <f>ROUND(IFERROR(IF($B645&lt;=0,0,
MAX(-$B645, -(-PMT(InterestRate/PaymentsPerYear,LoanTerm*PaymentsPerYear,LoanAmount) + $E645))), 0), 2)</f>
        <v>0</v>
      </c>
      <c r="G645" s="5">
        <f t="shared" si="42"/>
        <v>0</v>
      </c>
      <c r="H645" s="5">
        <f t="shared" si="43"/>
        <v>0</v>
      </c>
    </row>
    <row r="646" spans="1:8" x14ac:dyDescent="0.2">
      <c r="A646" s="2">
        <v>645</v>
      </c>
      <c r="B646" s="5">
        <f t="shared" si="40"/>
        <v>0</v>
      </c>
      <c r="C646" s="5">
        <f t="shared" si="41"/>
        <v>0</v>
      </c>
      <c r="D646" s="5"/>
      <c r="E646" s="5">
        <f>IF($B646 &lt;= 0, 0, -ROUND($B646 * (InterestRate / PaymentsPerYear), 2))</f>
        <v>0</v>
      </c>
      <c r="F646" s="5">
        <f>ROUND(IFERROR(IF($B646&lt;=0,0,
MAX(-$B646, -(-PMT(InterestRate/PaymentsPerYear,LoanTerm*PaymentsPerYear,LoanAmount) + $E646))), 0), 2)</f>
        <v>0</v>
      </c>
      <c r="G646" s="5">
        <f t="shared" si="42"/>
        <v>0</v>
      </c>
      <c r="H646" s="5">
        <f t="shared" si="43"/>
        <v>0</v>
      </c>
    </row>
    <row r="647" spans="1:8" x14ac:dyDescent="0.2">
      <c r="A647" s="2">
        <v>646</v>
      </c>
      <c r="B647" s="5">
        <f t="shared" si="40"/>
        <v>0</v>
      </c>
      <c r="C647" s="5">
        <f t="shared" si="41"/>
        <v>0</v>
      </c>
      <c r="D647" s="5"/>
      <c r="E647" s="5">
        <f>IF($B647 &lt;= 0, 0, -ROUND($B647 * (InterestRate / PaymentsPerYear), 2))</f>
        <v>0</v>
      </c>
      <c r="F647" s="5">
        <f>ROUND(IFERROR(IF($B647&lt;=0,0,
MAX(-$B647, -(-PMT(InterestRate/PaymentsPerYear,LoanTerm*PaymentsPerYear,LoanAmount) + $E647))), 0), 2)</f>
        <v>0</v>
      </c>
      <c r="G647" s="5">
        <f t="shared" si="42"/>
        <v>0</v>
      </c>
      <c r="H647" s="5">
        <f t="shared" si="43"/>
        <v>0</v>
      </c>
    </row>
    <row r="648" spans="1:8" x14ac:dyDescent="0.2">
      <c r="A648" s="2">
        <v>647</v>
      </c>
      <c r="B648" s="5">
        <f t="shared" si="40"/>
        <v>0</v>
      </c>
      <c r="C648" s="5">
        <f t="shared" si="41"/>
        <v>0</v>
      </c>
      <c r="D648" s="5"/>
      <c r="E648" s="5">
        <f>IF($B648 &lt;= 0, 0, -ROUND($B648 * (InterestRate / PaymentsPerYear), 2))</f>
        <v>0</v>
      </c>
      <c r="F648" s="5">
        <f>ROUND(IFERROR(IF($B648&lt;=0,0,
MAX(-$B648, -(-PMT(InterestRate/PaymentsPerYear,LoanTerm*PaymentsPerYear,LoanAmount) + $E648))), 0), 2)</f>
        <v>0</v>
      </c>
      <c r="G648" s="5">
        <f t="shared" si="42"/>
        <v>0</v>
      </c>
      <c r="H648" s="5">
        <f t="shared" si="43"/>
        <v>0</v>
      </c>
    </row>
    <row r="649" spans="1:8" x14ac:dyDescent="0.2">
      <c r="A649" s="2">
        <v>648</v>
      </c>
      <c r="B649" s="5">
        <f t="shared" si="40"/>
        <v>0</v>
      </c>
      <c r="C649" s="5">
        <f t="shared" si="41"/>
        <v>0</v>
      </c>
      <c r="D649" s="5"/>
      <c r="E649" s="5">
        <f>IF($B649 &lt;= 0, 0, -ROUND($B649 * (InterestRate / PaymentsPerYear), 2))</f>
        <v>0</v>
      </c>
      <c r="F649" s="5">
        <f>ROUND(IFERROR(IF($B649&lt;=0,0,
MAX(-$B649, -(-PMT(InterestRate/PaymentsPerYear,LoanTerm*PaymentsPerYear,LoanAmount) + $E649))), 0), 2)</f>
        <v>0</v>
      </c>
      <c r="G649" s="5">
        <f t="shared" si="42"/>
        <v>0</v>
      </c>
      <c r="H649" s="5">
        <f t="shared" si="43"/>
        <v>0</v>
      </c>
    </row>
    <row r="650" spans="1:8" x14ac:dyDescent="0.2">
      <c r="A650" s="2">
        <v>649</v>
      </c>
      <c r="B650" s="5">
        <f t="shared" si="40"/>
        <v>0</v>
      </c>
      <c r="C650" s="5">
        <f t="shared" si="41"/>
        <v>0</v>
      </c>
      <c r="D650" s="5"/>
      <c r="E650" s="5">
        <f>IF($B650 &lt;= 0, 0, -ROUND($B650 * (InterestRate / PaymentsPerYear), 2))</f>
        <v>0</v>
      </c>
      <c r="F650" s="5">
        <f>ROUND(IFERROR(IF($B650&lt;=0,0,
MAX(-$B650, -(-PMT(InterestRate/PaymentsPerYear,LoanTerm*PaymentsPerYear,LoanAmount) + $E650))), 0), 2)</f>
        <v>0</v>
      </c>
      <c r="G650" s="5">
        <f t="shared" si="42"/>
        <v>0</v>
      </c>
      <c r="H650" s="5">
        <f t="shared" si="43"/>
        <v>0</v>
      </c>
    </row>
    <row r="651" spans="1:8" x14ac:dyDescent="0.2">
      <c r="A651" s="2">
        <v>650</v>
      </c>
      <c r="B651" s="5">
        <f t="shared" si="40"/>
        <v>0</v>
      </c>
      <c r="C651" s="5">
        <f t="shared" si="41"/>
        <v>0</v>
      </c>
      <c r="D651" s="5"/>
      <c r="E651" s="5">
        <f>IF($B651 &lt;= 0, 0, -ROUND($B651 * (InterestRate / PaymentsPerYear), 2))</f>
        <v>0</v>
      </c>
      <c r="F651" s="5">
        <f>ROUND(IFERROR(IF($B651&lt;=0,0,
MAX(-$B651, -(-PMT(InterestRate/PaymentsPerYear,LoanTerm*PaymentsPerYear,LoanAmount) + $E651))), 0), 2)</f>
        <v>0</v>
      </c>
      <c r="G651" s="5">
        <f t="shared" si="42"/>
        <v>0</v>
      </c>
      <c r="H651" s="5">
        <f t="shared" si="43"/>
        <v>0</v>
      </c>
    </row>
    <row r="652" spans="1:8" x14ac:dyDescent="0.2">
      <c r="A652" s="2">
        <v>651</v>
      </c>
      <c r="B652" s="5">
        <f t="shared" si="40"/>
        <v>0</v>
      </c>
      <c r="C652" s="5">
        <f t="shared" si="41"/>
        <v>0</v>
      </c>
      <c r="D652" s="5"/>
      <c r="E652" s="5">
        <f>IF($B652 &lt;= 0, 0, -ROUND($B652 * (InterestRate / PaymentsPerYear), 2))</f>
        <v>0</v>
      </c>
      <c r="F652" s="5">
        <f>ROUND(IFERROR(IF($B652&lt;=0,0,
MAX(-$B652, -(-PMT(InterestRate/PaymentsPerYear,LoanTerm*PaymentsPerYear,LoanAmount) + $E652))), 0), 2)</f>
        <v>0</v>
      </c>
      <c r="G652" s="5">
        <f t="shared" si="42"/>
        <v>0</v>
      </c>
      <c r="H652" s="5">
        <f t="shared" si="43"/>
        <v>0</v>
      </c>
    </row>
    <row r="653" spans="1:8" x14ac:dyDescent="0.2">
      <c r="A653" s="2">
        <v>652</v>
      </c>
      <c r="B653" s="5">
        <f t="shared" si="40"/>
        <v>0</v>
      </c>
      <c r="C653" s="5">
        <f t="shared" si="41"/>
        <v>0</v>
      </c>
      <c r="D653" s="5"/>
      <c r="E653" s="5">
        <f>IF($B653 &lt;= 0, 0, -ROUND($B653 * (InterestRate / PaymentsPerYear), 2))</f>
        <v>0</v>
      </c>
      <c r="F653" s="5">
        <f>ROUND(IFERROR(IF($B653&lt;=0,0,
MAX(-$B653, -(-PMT(InterestRate/PaymentsPerYear,LoanTerm*PaymentsPerYear,LoanAmount) + $E653))), 0), 2)</f>
        <v>0</v>
      </c>
      <c r="G653" s="5">
        <f t="shared" si="42"/>
        <v>0</v>
      </c>
      <c r="H653" s="5">
        <f t="shared" si="43"/>
        <v>0</v>
      </c>
    </row>
    <row r="654" spans="1:8" x14ac:dyDescent="0.2">
      <c r="A654" s="2">
        <v>653</v>
      </c>
      <c r="B654" s="5">
        <f t="shared" si="40"/>
        <v>0</v>
      </c>
      <c r="C654" s="5">
        <f t="shared" si="41"/>
        <v>0</v>
      </c>
      <c r="D654" s="5"/>
      <c r="E654" s="5">
        <f>IF($B654 &lt;= 0, 0, -ROUND($B654 * (InterestRate / PaymentsPerYear), 2))</f>
        <v>0</v>
      </c>
      <c r="F654" s="5">
        <f>ROUND(IFERROR(IF($B654&lt;=0,0,
MAX(-$B654, -(-PMT(InterestRate/PaymentsPerYear,LoanTerm*PaymentsPerYear,LoanAmount) + $E654))), 0), 2)</f>
        <v>0</v>
      </c>
      <c r="G654" s="5">
        <f t="shared" si="42"/>
        <v>0</v>
      </c>
      <c r="H654" s="5">
        <f t="shared" si="43"/>
        <v>0</v>
      </c>
    </row>
    <row r="655" spans="1:8" x14ac:dyDescent="0.2">
      <c r="A655" s="2">
        <v>654</v>
      </c>
      <c r="B655" s="5">
        <f t="shared" si="40"/>
        <v>0</v>
      </c>
      <c r="C655" s="5">
        <f t="shared" si="41"/>
        <v>0</v>
      </c>
      <c r="D655" s="5"/>
      <c r="E655" s="5">
        <f>IF($B655 &lt;= 0, 0, -ROUND($B655 * (InterestRate / PaymentsPerYear), 2))</f>
        <v>0</v>
      </c>
      <c r="F655" s="5">
        <f>ROUND(IFERROR(IF($B655&lt;=0,0,
MAX(-$B655, -(-PMT(InterestRate/PaymentsPerYear,LoanTerm*PaymentsPerYear,LoanAmount) + $E655))), 0), 2)</f>
        <v>0</v>
      </c>
      <c r="G655" s="5">
        <f t="shared" si="42"/>
        <v>0</v>
      </c>
      <c r="H655" s="5">
        <f t="shared" si="43"/>
        <v>0</v>
      </c>
    </row>
    <row r="656" spans="1:8" x14ac:dyDescent="0.2">
      <c r="A656" s="2">
        <v>655</v>
      </c>
      <c r="B656" s="5">
        <f t="shared" si="40"/>
        <v>0</v>
      </c>
      <c r="C656" s="5">
        <f t="shared" si="41"/>
        <v>0</v>
      </c>
      <c r="D656" s="5"/>
      <c r="E656" s="5">
        <f>IF($B656 &lt;= 0, 0, -ROUND($B656 * (InterestRate / PaymentsPerYear), 2))</f>
        <v>0</v>
      </c>
      <c r="F656" s="5">
        <f>ROUND(IFERROR(IF($B656&lt;=0,0,
MAX(-$B656, -(-PMT(InterestRate/PaymentsPerYear,LoanTerm*PaymentsPerYear,LoanAmount) + $E656))), 0), 2)</f>
        <v>0</v>
      </c>
      <c r="G656" s="5">
        <f t="shared" si="42"/>
        <v>0</v>
      </c>
      <c r="H656" s="5">
        <f t="shared" si="43"/>
        <v>0</v>
      </c>
    </row>
    <row r="657" spans="1:8" x14ac:dyDescent="0.2">
      <c r="A657" s="2">
        <v>656</v>
      </c>
      <c r="B657" s="5">
        <f t="shared" si="40"/>
        <v>0</v>
      </c>
      <c r="C657" s="5">
        <f t="shared" si="41"/>
        <v>0</v>
      </c>
      <c r="D657" s="5"/>
      <c r="E657" s="5">
        <f>IF($B657 &lt;= 0, 0, -ROUND($B657 * (InterestRate / PaymentsPerYear), 2))</f>
        <v>0</v>
      </c>
      <c r="F657" s="5">
        <f>ROUND(IFERROR(IF($B657&lt;=0,0,
MAX(-$B657, -(-PMT(InterestRate/PaymentsPerYear,LoanTerm*PaymentsPerYear,LoanAmount) + $E657))), 0), 2)</f>
        <v>0</v>
      </c>
      <c r="G657" s="5">
        <f t="shared" si="42"/>
        <v>0</v>
      </c>
      <c r="H657" s="5">
        <f t="shared" si="43"/>
        <v>0</v>
      </c>
    </row>
    <row r="658" spans="1:8" x14ac:dyDescent="0.2">
      <c r="A658" s="2">
        <v>657</v>
      </c>
      <c r="B658" s="5">
        <f t="shared" si="40"/>
        <v>0</v>
      </c>
      <c r="C658" s="5">
        <f t="shared" si="41"/>
        <v>0</v>
      </c>
      <c r="D658" s="5"/>
      <c r="E658" s="5">
        <f>IF($B658 &lt;= 0, 0, -ROUND($B658 * (InterestRate / PaymentsPerYear), 2))</f>
        <v>0</v>
      </c>
      <c r="F658" s="5">
        <f>ROUND(IFERROR(IF($B658&lt;=0,0,
MAX(-$B658, -(-PMT(InterestRate/PaymentsPerYear,LoanTerm*PaymentsPerYear,LoanAmount) + $E658))), 0), 2)</f>
        <v>0</v>
      </c>
      <c r="G658" s="5">
        <f t="shared" si="42"/>
        <v>0</v>
      </c>
      <c r="H658" s="5">
        <f t="shared" si="43"/>
        <v>0</v>
      </c>
    </row>
    <row r="659" spans="1:8" x14ac:dyDescent="0.2">
      <c r="A659" s="2">
        <v>658</v>
      </c>
      <c r="B659" s="5">
        <f t="shared" si="40"/>
        <v>0</v>
      </c>
      <c r="C659" s="5">
        <f t="shared" si="41"/>
        <v>0</v>
      </c>
      <c r="D659" s="5"/>
      <c r="E659" s="5">
        <f>IF($B659 &lt;= 0, 0, -ROUND($B659 * (InterestRate / PaymentsPerYear), 2))</f>
        <v>0</v>
      </c>
      <c r="F659" s="5">
        <f>ROUND(IFERROR(IF($B659&lt;=0,0,
MAX(-$B659, -(-PMT(InterestRate/PaymentsPerYear,LoanTerm*PaymentsPerYear,LoanAmount) + $E659))), 0), 2)</f>
        <v>0</v>
      </c>
      <c r="G659" s="5">
        <f t="shared" si="42"/>
        <v>0</v>
      </c>
      <c r="H659" s="5">
        <f t="shared" si="43"/>
        <v>0</v>
      </c>
    </row>
    <row r="660" spans="1:8" x14ac:dyDescent="0.2">
      <c r="A660" s="2">
        <v>659</v>
      </c>
      <c r="B660" s="5">
        <f t="shared" si="40"/>
        <v>0</v>
      </c>
      <c r="C660" s="5">
        <f t="shared" si="41"/>
        <v>0</v>
      </c>
      <c r="D660" s="5"/>
      <c r="E660" s="5">
        <f>IF($B660 &lt;= 0, 0, -ROUND($B660 * (InterestRate / PaymentsPerYear), 2))</f>
        <v>0</v>
      </c>
      <c r="F660" s="5">
        <f>ROUND(IFERROR(IF($B660&lt;=0,0,
MAX(-$B660, -(-PMT(InterestRate/PaymentsPerYear,LoanTerm*PaymentsPerYear,LoanAmount) + $E660))), 0), 2)</f>
        <v>0</v>
      </c>
      <c r="G660" s="5">
        <f t="shared" si="42"/>
        <v>0</v>
      </c>
      <c r="H660" s="5">
        <f t="shared" si="43"/>
        <v>0</v>
      </c>
    </row>
    <row r="661" spans="1:8" x14ac:dyDescent="0.2">
      <c r="A661" s="2">
        <v>660</v>
      </c>
      <c r="B661" s="5">
        <f t="shared" si="40"/>
        <v>0</v>
      </c>
      <c r="C661" s="5">
        <f t="shared" si="41"/>
        <v>0</v>
      </c>
      <c r="D661" s="5"/>
      <c r="E661" s="5">
        <f>IF($B661 &lt;= 0, 0, -ROUND($B661 * (InterestRate / PaymentsPerYear), 2))</f>
        <v>0</v>
      </c>
      <c r="F661" s="5">
        <f>ROUND(IFERROR(IF($B661&lt;=0,0,
MAX(-$B661, -(-PMT(InterestRate/PaymentsPerYear,LoanTerm*PaymentsPerYear,LoanAmount) + $E661))), 0), 2)</f>
        <v>0</v>
      </c>
      <c r="G661" s="5">
        <f t="shared" si="42"/>
        <v>0</v>
      </c>
      <c r="H661" s="5">
        <f t="shared" si="43"/>
        <v>0</v>
      </c>
    </row>
    <row r="662" spans="1:8" x14ac:dyDescent="0.2">
      <c r="A662" s="2">
        <v>661</v>
      </c>
      <c r="B662" s="5">
        <f t="shared" si="40"/>
        <v>0</v>
      </c>
      <c r="C662" s="5">
        <f t="shared" si="41"/>
        <v>0</v>
      </c>
      <c r="D662" s="5"/>
      <c r="E662" s="5">
        <f>IF($B662 &lt;= 0, 0, -ROUND($B662 * (InterestRate / PaymentsPerYear), 2))</f>
        <v>0</v>
      </c>
      <c r="F662" s="5">
        <f>ROUND(IFERROR(IF($B662&lt;=0,0,
MAX(-$B662, -(-PMT(InterestRate/PaymentsPerYear,LoanTerm*PaymentsPerYear,LoanAmount) + $E662))), 0), 2)</f>
        <v>0</v>
      </c>
      <c r="G662" s="5">
        <f t="shared" si="42"/>
        <v>0</v>
      </c>
      <c r="H662" s="5">
        <f t="shared" si="43"/>
        <v>0</v>
      </c>
    </row>
    <row r="663" spans="1:8" x14ac:dyDescent="0.2">
      <c r="A663" s="2">
        <v>662</v>
      </c>
      <c r="B663" s="5">
        <f t="shared" si="40"/>
        <v>0</v>
      </c>
      <c r="C663" s="5">
        <f t="shared" si="41"/>
        <v>0</v>
      </c>
      <c r="D663" s="5"/>
      <c r="E663" s="5">
        <f>IF($B663 &lt;= 0, 0, -ROUND($B663 * (InterestRate / PaymentsPerYear), 2))</f>
        <v>0</v>
      </c>
      <c r="F663" s="5">
        <f>ROUND(IFERROR(IF($B663&lt;=0,0,
MAX(-$B663, -(-PMT(InterestRate/PaymentsPerYear,LoanTerm*PaymentsPerYear,LoanAmount) + $E663))), 0), 2)</f>
        <v>0</v>
      </c>
      <c r="G663" s="5">
        <f t="shared" si="42"/>
        <v>0</v>
      </c>
      <c r="H663" s="5">
        <f t="shared" si="43"/>
        <v>0</v>
      </c>
    </row>
    <row r="664" spans="1:8" x14ac:dyDescent="0.2">
      <c r="A664" s="2">
        <v>663</v>
      </c>
      <c r="B664" s="5">
        <f t="shared" si="40"/>
        <v>0</v>
      </c>
      <c r="C664" s="5">
        <f t="shared" si="41"/>
        <v>0</v>
      </c>
      <c r="D664" s="5"/>
      <c r="E664" s="5">
        <f>IF($B664 &lt;= 0, 0, -ROUND($B664 * (InterestRate / PaymentsPerYear), 2))</f>
        <v>0</v>
      </c>
      <c r="F664" s="5">
        <f>ROUND(IFERROR(IF($B664&lt;=0,0,
MAX(-$B664, -(-PMT(InterestRate/PaymentsPerYear,LoanTerm*PaymentsPerYear,LoanAmount) + $E664))), 0), 2)</f>
        <v>0</v>
      </c>
      <c r="G664" s="5">
        <f t="shared" si="42"/>
        <v>0</v>
      </c>
      <c r="H664" s="5">
        <f t="shared" si="43"/>
        <v>0</v>
      </c>
    </row>
    <row r="665" spans="1:8" x14ac:dyDescent="0.2">
      <c r="A665" s="2">
        <v>664</v>
      </c>
      <c r="B665" s="5">
        <f t="shared" si="40"/>
        <v>0</v>
      </c>
      <c r="C665" s="5">
        <f t="shared" si="41"/>
        <v>0</v>
      </c>
      <c r="D665" s="5"/>
      <c r="E665" s="5">
        <f>IF($B665 &lt;= 0, 0, -ROUND($B665 * (InterestRate / PaymentsPerYear), 2))</f>
        <v>0</v>
      </c>
      <c r="F665" s="5">
        <f>ROUND(IFERROR(IF($B665&lt;=0,0,
MAX(-$B665, -(-PMT(InterestRate/PaymentsPerYear,LoanTerm*PaymentsPerYear,LoanAmount) + $E665))), 0), 2)</f>
        <v>0</v>
      </c>
      <c r="G665" s="5">
        <f t="shared" si="42"/>
        <v>0</v>
      </c>
      <c r="H665" s="5">
        <f t="shared" si="43"/>
        <v>0</v>
      </c>
    </row>
    <row r="666" spans="1:8" x14ac:dyDescent="0.2">
      <c r="A666" s="2">
        <v>665</v>
      </c>
      <c r="B666" s="5">
        <f t="shared" si="40"/>
        <v>0</v>
      </c>
      <c r="C666" s="5">
        <f t="shared" si="41"/>
        <v>0</v>
      </c>
      <c r="D666" s="5"/>
      <c r="E666" s="5">
        <f>IF($B666 &lt;= 0, 0, -ROUND($B666 * (InterestRate / PaymentsPerYear), 2))</f>
        <v>0</v>
      </c>
      <c r="F666" s="5">
        <f>ROUND(IFERROR(IF($B666&lt;=0,0,
MAX(-$B666, -(-PMT(InterestRate/PaymentsPerYear,LoanTerm*PaymentsPerYear,LoanAmount) + $E666))), 0), 2)</f>
        <v>0</v>
      </c>
      <c r="G666" s="5">
        <f t="shared" si="42"/>
        <v>0</v>
      </c>
      <c r="H666" s="5">
        <f t="shared" si="43"/>
        <v>0</v>
      </c>
    </row>
    <row r="667" spans="1:8" x14ac:dyDescent="0.2">
      <c r="A667" s="2">
        <v>666</v>
      </c>
      <c r="B667" s="5">
        <f t="shared" si="40"/>
        <v>0</v>
      </c>
      <c r="C667" s="5">
        <f t="shared" si="41"/>
        <v>0</v>
      </c>
      <c r="D667" s="5"/>
      <c r="E667" s="5">
        <f>IF($B667 &lt;= 0, 0, -ROUND($B667 * (InterestRate / PaymentsPerYear), 2))</f>
        <v>0</v>
      </c>
      <c r="F667" s="5">
        <f>ROUND(IFERROR(IF($B667&lt;=0,0,
MAX(-$B667, -(-PMT(InterestRate/PaymentsPerYear,LoanTerm*PaymentsPerYear,LoanAmount) + $E667))), 0), 2)</f>
        <v>0</v>
      </c>
      <c r="G667" s="5">
        <f t="shared" si="42"/>
        <v>0</v>
      </c>
      <c r="H667" s="5">
        <f t="shared" si="43"/>
        <v>0</v>
      </c>
    </row>
    <row r="668" spans="1:8" x14ac:dyDescent="0.2">
      <c r="A668" s="2">
        <v>667</v>
      </c>
      <c r="B668" s="5">
        <f t="shared" si="40"/>
        <v>0</v>
      </c>
      <c r="C668" s="5">
        <f t="shared" si="41"/>
        <v>0</v>
      </c>
      <c r="D668" s="5"/>
      <c r="E668" s="5">
        <f>IF($B668 &lt;= 0, 0, -ROUND($B668 * (InterestRate / PaymentsPerYear), 2))</f>
        <v>0</v>
      </c>
      <c r="F668" s="5">
        <f>ROUND(IFERROR(IF($B668&lt;=0,0,
MAX(-$B668, -(-PMT(InterestRate/PaymentsPerYear,LoanTerm*PaymentsPerYear,LoanAmount) + $E668))), 0), 2)</f>
        <v>0</v>
      </c>
      <c r="G668" s="5">
        <f t="shared" si="42"/>
        <v>0</v>
      </c>
      <c r="H668" s="5">
        <f t="shared" si="43"/>
        <v>0</v>
      </c>
    </row>
    <row r="669" spans="1:8" x14ac:dyDescent="0.2">
      <c r="A669" s="2">
        <v>668</v>
      </c>
      <c r="B669" s="5">
        <f t="shared" si="40"/>
        <v>0</v>
      </c>
      <c r="C669" s="5">
        <f t="shared" si="41"/>
        <v>0</v>
      </c>
      <c r="D669" s="5"/>
      <c r="E669" s="5">
        <f>IF($B669 &lt;= 0, 0, -ROUND($B669 * (InterestRate / PaymentsPerYear), 2))</f>
        <v>0</v>
      </c>
      <c r="F669" s="5">
        <f>ROUND(IFERROR(IF($B669&lt;=0,0,
MAX(-$B669, -(-PMT(InterestRate/PaymentsPerYear,LoanTerm*PaymentsPerYear,LoanAmount) + $E669))), 0), 2)</f>
        <v>0</v>
      </c>
      <c r="G669" s="5">
        <f t="shared" si="42"/>
        <v>0</v>
      </c>
      <c r="H669" s="5">
        <f t="shared" si="43"/>
        <v>0</v>
      </c>
    </row>
    <row r="670" spans="1:8" x14ac:dyDescent="0.2">
      <c r="A670" s="2">
        <v>669</v>
      </c>
      <c r="B670" s="5">
        <f t="shared" si="40"/>
        <v>0</v>
      </c>
      <c r="C670" s="5">
        <f t="shared" si="41"/>
        <v>0</v>
      </c>
      <c r="D670" s="5"/>
      <c r="E670" s="5">
        <f>IF($B670 &lt;= 0, 0, -ROUND($B670 * (InterestRate / PaymentsPerYear), 2))</f>
        <v>0</v>
      </c>
      <c r="F670" s="5">
        <f>ROUND(IFERROR(IF($B670&lt;=0,0,
MAX(-$B670, -(-PMT(InterestRate/PaymentsPerYear,LoanTerm*PaymentsPerYear,LoanAmount) + $E670))), 0), 2)</f>
        <v>0</v>
      </c>
      <c r="G670" s="5">
        <f t="shared" si="42"/>
        <v>0</v>
      </c>
      <c r="H670" s="5">
        <f t="shared" si="43"/>
        <v>0</v>
      </c>
    </row>
    <row r="671" spans="1:8" x14ac:dyDescent="0.2">
      <c r="A671" s="2">
        <v>670</v>
      </c>
      <c r="B671" s="5">
        <f t="shared" si="40"/>
        <v>0</v>
      </c>
      <c r="C671" s="5">
        <f t="shared" si="41"/>
        <v>0</v>
      </c>
      <c r="D671" s="5"/>
      <c r="E671" s="5">
        <f>IF($B671 &lt;= 0, 0, -ROUND($B671 * (InterestRate / PaymentsPerYear), 2))</f>
        <v>0</v>
      </c>
      <c r="F671" s="5">
        <f>ROUND(IFERROR(IF($B671&lt;=0,0,
MAX(-$B671, -(-PMT(InterestRate/PaymentsPerYear,LoanTerm*PaymentsPerYear,LoanAmount) + $E671))), 0), 2)</f>
        <v>0</v>
      </c>
      <c r="G671" s="5">
        <f t="shared" si="42"/>
        <v>0</v>
      </c>
      <c r="H671" s="5">
        <f t="shared" si="43"/>
        <v>0</v>
      </c>
    </row>
    <row r="672" spans="1:8" x14ac:dyDescent="0.2">
      <c r="A672" s="2">
        <v>671</v>
      </c>
      <c r="B672" s="5">
        <f t="shared" si="40"/>
        <v>0</v>
      </c>
      <c r="C672" s="5">
        <f t="shared" si="41"/>
        <v>0</v>
      </c>
      <c r="D672" s="5"/>
      <c r="E672" s="5">
        <f>IF($B672 &lt;= 0, 0, -ROUND($B672 * (InterestRate / PaymentsPerYear), 2))</f>
        <v>0</v>
      </c>
      <c r="F672" s="5">
        <f>ROUND(IFERROR(IF($B672&lt;=0,0,
MAX(-$B672, -(-PMT(InterestRate/PaymentsPerYear,LoanTerm*PaymentsPerYear,LoanAmount) + $E672))), 0), 2)</f>
        <v>0</v>
      </c>
      <c r="G672" s="5">
        <f t="shared" si="42"/>
        <v>0</v>
      </c>
      <c r="H672" s="5">
        <f t="shared" si="43"/>
        <v>0</v>
      </c>
    </row>
    <row r="673" spans="1:8" x14ac:dyDescent="0.2">
      <c r="A673" s="2">
        <v>672</v>
      </c>
      <c r="B673" s="5">
        <f t="shared" si="40"/>
        <v>0</v>
      </c>
      <c r="C673" s="5">
        <f t="shared" si="41"/>
        <v>0</v>
      </c>
      <c r="D673" s="5"/>
      <c r="E673" s="5">
        <f>IF($B673 &lt;= 0, 0, -ROUND($B673 * (InterestRate / PaymentsPerYear), 2))</f>
        <v>0</v>
      </c>
      <c r="F673" s="5">
        <f>ROUND(IFERROR(IF($B673&lt;=0,0,
MAX(-$B673, -(-PMT(InterestRate/PaymentsPerYear,LoanTerm*PaymentsPerYear,LoanAmount) + $E673))), 0), 2)</f>
        <v>0</v>
      </c>
      <c r="G673" s="5">
        <f t="shared" si="42"/>
        <v>0</v>
      </c>
      <c r="H673" s="5">
        <f t="shared" si="43"/>
        <v>0</v>
      </c>
    </row>
    <row r="674" spans="1:8" x14ac:dyDescent="0.2">
      <c r="A674" s="2">
        <v>673</v>
      </c>
      <c r="B674" s="5">
        <f t="shared" si="40"/>
        <v>0</v>
      </c>
      <c r="C674" s="5">
        <f t="shared" si="41"/>
        <v>0</v>
      </c>
      <c r="D674" s="5"/>
      <c r="E674" s="5">
        <f>IF($B674 &lt;= 0, 0, -ROUND($B674 * (InterestRate / PaymentsPerYear), 2))</f>
        <v>0</v>
      </c>
      <c r="F674" s="5">
        <f>ROUND(IFERROR(IF($B674&lt;=0,0,
MAX(-$B674, -(-PMT(InterestRate/PaymentsPerYear,LoanTerm*PaymentsPerYear,LoanAmount) + $E674))), 0), 2)</f>
        <v>0</v>
      </c>
      <c r="G674" s="5">
        <f t="shared" si="42"/>
        <v>0</v>
      </c>
      <c r="H674" s="5">
        <f t="shared" si="43"/>
        <v>0</v>
      </c>
    </row>
    <row r="675" spans="1:8" x14ac:dyDescent="0.2">
      <c r="A675" s="2">
        <v>674</v>
      </c>
      <c r="B675" s="5">
        <f t="shared" si="40"/>
        <v>0</v>
      </c>
      <c r="C675" s="5">
        <f t="shared" si="41"/>
        <v>0</v>
      </c>
      <c r="D675" s="5"/>
      <c r="E675" s="5">
        <f>IF($B675 &lt;= 0, 0, -ROUND($B675 * (InterestRate / PaymentsPerYear), 2))</f>
        <v>0</v>
      </c>
      <c r="F675" s="5">
        <f>ROUND(IFERROR(IF($B675&lt;=0,0,
MAX(-$B675, -(-PMT(InterestRate/PaymentsPerYear,LoanTerm*PaymentsPerYear,LoanAmount) + $E675))), 0), 2)</f>
        <v>0</v>
      </c>
      <c r="G675" s="5">
        <f t="shared" si="42"/>
        <v>0</v>
      </c>
      <c r="H675" s="5">
        <f t="shared" si="43"/>
        <v>0</v>
      </c>
    </row>
    <row r="676" spans="1:8" x14ac:dyDescent="0.2">
      <c r="A676" s="2">
        <v>675</v>
      </c>
      <c r="B676" s="5">
        <f t="shared" si="40"/>
        <v>0</v>
      </c>
      <c r="C676" s="5">
        <f t="shared" si="41"/>
        <v>0</v>
      </c>
      <c r="D676" s="5"/>
      <c r="E676" s="5">
        <f>IF($B676 &lt;= 0, 0, -ROUND($B676 * (InterestRate / PaymentsPerYear), 2))</f>
        <v>0</v>
      </c>
      <c r="F676" s="5">
        <f>ROUND(IFERROR(IF($B676&lt;=0,0,
MAX(-$B676, -(-PMT(InterestRate/PaymentsPerYear,LoanTerm*PaymentsPerYear,LoanAmount) + $E676))), 0), 2)</f>
        <v>0</v>
      </c>
      <c r="G676" s="5">
        <f t="shared" si="42"/>
        <v>0</v>
      </c>
      <c r="H676" s="5">
        <f t="shared" si="43"/>
        <v>0</v>
      </c>
    </row>
    <row r="677" spans="1:8" x14ac:dyDescent="0.2">
      <c r="A677" s="2">
        <v>676</v>
      </c>
      <c r="B677" s="5">
        <f t="shared" si="40"/>
        <v>0</v>
      </c>
      <c r="C677" s="5">
        <f t="shared" si="41"/>
        <v>0</v>
      </c>
      <c r="D677" s="5"/>
      <c r="E677" s="5">
        <f>IF($B677 &lt;= 0, 0, -ROUND($B677 * (InterestRate / PaymentsPerYear), 2))</f>
        <v>0</v>
      </c>
      <c r="F677" s="5">
        <f>ROUND(IFERROR(IF($B677&lt;=0,0,
MAX(-$B677, -(-PMT(InterestRate/PaymentsPerYear,LoanTerm*PaymentsPerYear,LoanAmount) + $E677))), 0), 2)</f>
        <v>0</v>
      </c>
      <c r="G677" s="5">
        <f t="shared" si="42"/>
        <v>0</v>
      </c>
      <c r="H677" s="5">
        <f t="shared" si="43"/>
        <v>0</v>
      </c>
    </row>
    <row r="678" spans="1:8" x14ac:dyDescent="0.2">
      <c r="A678" s="2">
        <v>677</v>
      </c>
      <c r="B678" s="5">
        <f t="shared" si="40"/>
        <v>0</v>
      </c>
      <c r="C678" s="5">
        <f t="shared" si="41"/>
        <v>0</v>
      </c>
      <c r="D678" s="5"/>
      <c r="E678" s="5">
        <f>IF($B678 &lt;= 0, 0, -ROUND($B678 * (InterestRate / PaymentsPerYear), 2))</f>
        <v>0</v>
      </c>
      <c r="F678" s="5">
        <f>ROUND(IFERROR(IF($B678&lt;=0,0,
MAX(-$B678, -(-PMT(InterestRate/PaymentsPerYear,LoanTerm*PaymentsPerYear,LoanAmount) + $E678))), 0), 2)</f>
        <v>0</v>
      </c>
      <c r="G678" s="5">
        <f t="shared" si="42"/>
        <v>0</v>
      </c>
      <c r="H678" s="5">
        <f t="shared" si="43"/>
        <v>0</v>
      </c>
    </row>
    <row r="679" spans="1:8" x14ac:dyDescent="0.2">
      <c r="A679" s="2">
        <v>678</v>
      </c>
      <c r="B679" s="5">
        <f t="shared" si="40"/>
        <v>0</v>
      </c>
      <c r="C679" s="5">
        <f t="shared" si="41"/>
        <v>0</v>
      </c>
      <c r="D679" s="5"/>
      <c r="E679" s="5">
        <f>IF($B679 &lt;= 0, 0, -ROUND($B679 * (InterestRate / PaymentsPerYear), 2))</f>
        <v>0</v>
      </c>
      <c r="F679" s="5">
        <f>ROUND(IFERROR(IF($B679&lt;=0,0,
MAX(-$B679, -(-PMT(InterestRate/PaymentsPerYear,LoanTerm*PaymentsPerYear,LoanAmount) + $E679))), 0), 2)</f>
        <v>0</v>
      </c>
      <c r="G679" s="5">
        <f t="shared" si="42"/>
        <v>0</v>
      </c>
      <c r="H679" s="5">
        <f t="shared" si="43"/>
        <v>0</v>
      </c>
    </row>
    <row r="680" spans="1:8" x14ac:dyDescent="0.2">
      <c r="A680" s="2">
        <v>679</v>
      </c>
      <c r="B680" s="5">
        <f t="shared" si="40"/>
        <v>0</v>
      </c>
      <c r="C680" s="5">
        <f t="shared" si="41"/>
        <v>0</v>
      </c>
      <c r="D680" s="5"/>
      <c r="E680" s="5">
        <f>IF($B680 &lt;= 0, 0, -ROUND($B680 * (InterestRate / PaymentsPerYear), 2))</f>
        <v>0</v>
      </c>
      <c r="F680" s="5">
        <f>ROUND(IFERROR(IF($B680&lt;=0,0,
MAX(-$B680, -(-PMT(InterestRate/PaymentsPerYear,LoanTerm*PaymentsPerYear,LoanAmount) + $E680))), 0), 2)</f>
        <v>0</v>
      </c>
      <c r="G680" s="5">
        <f t="shared" si="42"/>
        <v>0</v>
      </c>
      <c r="H680" s="5">
        <f t="shared" si="43"/>
        <v>0</v>
      </c>
    </row>
    <row r="681" spans="1:8" x14ac:dyDescent="0.2">
      <c r="A681" s="2">
        <v>680</v>
      </c>
      <c r="B681" s="5">
        <f t="shared" si="40"/>
        <v>0</v>
      </c>
      <c r="C681" s="5">
        <f t="shared" si="41"/>
        <v>0</v>
      </c>
      <c r="D681" s="5"/>
      <c r="E681" s="5">
        <f>IF($B681 &lt;= 0, 0, -ROUND($B681 * (InterestRate / PaymentsPerYear), 2))</f>
        <v>0</v>
      </c>
      <c r="F681" s="5">
        <f>ROUND(IFERROR(IF($B681&lt;=0,0,
MAX(-$B681, -(-PMT(InterestRate/PaymentsPerYear,LoanTerm*PaymentsPerYear,LoanAmount) + $E681))), 0), 2)</f>
        <v>0</v>
      </c>
      <c r="G681" s="5">
        <f t="shared" si="42"/>
        <v>0</v>
      </c>
      <c r="H681" s="5">
        <f t="shared" si="43"/>
        <v>0</v>
      </c>
    </row>
    <row r="682" spans="1:8" x14ac:dyDescent="0.2">
      <c r="A682" s="2">
        <v>681</v>
      </c>
      <c r="B682" s="5">
        <f t="shared" si="40"/>
        <v>0</v>
      </c>
      <c r="C682" s="5">
        <f t="shared" si="41"/>
        <v>0</v>
      </c>
      <c r="D682" s="5"/>
      <c r="E682" s="5">
        <f>IF($B682 &lt;= 0, 0, -ROUND($B682 * (InterestRate / PaymentsPerYear), 2))</f>
        <v>0</v>
      </c>
      <c r="F682" s="5">
        <f>ROUND(IFERROR(IF($B682&lt;=0,0,
MAX(-$B682, -(-PMT(InterestRate/PaymentsPerYear,LoanTerm*PaymentsPerYear,LoanAmount) + $E682))), 0), 2)</f>
        <v>0</v>
      </c>
      <c r="G682" s="5">
        <f t="shared" si="42"/>
        <v>0</v>
      </c>
      <c r="H682" s="5">
        <f t="shared" si="43"/>
        <v>0</v>
      </c>
    </row>
    <row r="683" spans="1:8" x14ac:dyDescent="0.2">
      <c r="A683" s="2">
        <v>682</v>
      </c>
      <c r="B683" s="5">
        <f t="shared" si="40"/>
        <v>0</v>
      </c>
      <c r="C683" s="5">
        <f t="shared" si="41"/>
        <v>0</v>
      </c>
      <c r="D683" s="5"/>
      <c r="E683" s="5">
        <f>IF($B683 &lt;= 0, 0, -ROUND($B683 * (InterestRate / PaymentsPerYear), 2))</f>
        <v>0</v>
      </c>
      <c r="F683" s="5">
        <f>ROUND(IFERROR(IF($B683&lt;=0,0,
MAX(-$B683, -(-PMT(InterestRate/PaymentsPerYear,LoanTerm*PaymentsPerYear,LoanAmount) + $E683))), 0), 2)</f>
        <v>0</v>
      </c>
      <c r="G683" s="5">
        <f t="shared" si="42"/>
        <v>0</v>
      </c>
      <c r="H683" s="5">
        <f t="shared" si="43"/>
        <v>0</v>
      </c>
    </row>
    <row r="684" spans="1:8" x14ac:dyDescent="0.2">
      <c r="A684" s="2">
        <v>683</v>
      </c>
      <c r="B684" s="5">
        <f t="shared" si="40"/>
        <v>0</v>
      </c>
      <c r="C684" s="5">
        <f t="shared" si="41"/>
        <v>0</v>
      </c>
      <c r="D684" s="5"/>
      <c r="E684" s="5">
        <f>IF($B684 &lt;= 0, 0, -ROUND($B684 * (InterestRate / PaymentsPerYear), 2))</f>
        <v>0</v>
      </c>
      <c r="F684" s="5">
        <f>ROUND(IFERROR(IF($B684&lt;=0,0,
MAX(-$B684, -(-PMT(InterestRate/PaymentsPerYear,LoanTerm*PaymentsPerYear,LoanAmount) + $E684))), 0), 2)</f>
        <v>0</v>
      </c>
      <c r="G684" s="5">
        <f t="shared" si="42"/>
        <v>0</v>
      </c>
      <c r="H684" s="5">
        <f t="shared" si="43"/>
        <v>0</v>
      </c>
    </row>
    <row r="685" spans="1:8" x14ac:dyDescent="0.2">
      <c r="A685" s="2">
        <v>684</v>
      </c>
      <c r="B685" s="5">
        <f t="shared" si="40"/>
        <v>0</v>
      </c>
      <c r="C685" s="5">
        <f t="shared" si="41"/>
        <v>0</v>
      </c>
      <c r="D685" s="5"/>
      <c r="E685" s="5">
        <f>IF($B685 &lt;= 0, 0, -ROUND($B685 * (InterestRate / PaymentsPerYear), 2))</f>
        <v>0</v>
      </c>
      <c r="F685" s="5">
        <f>ROUND(IFERROR(IF($B685&lt;=0,0,
MAX(-$B685, -(-PMT(InterestRate/PaymentsPerYear,LoanTerm*PaymentsPerYear,LoanAmount) + $E685))), 0), 2)</f>
        <v>0</v>
      </c>
      <c r="G685" s="5">
        <f t="shared" si="42"/>
        <v>0</v>
      </c>
      <c r="H685" s="5">
        <f t="shared" si="43"/>
        <v>0</v>
      </c>
    </row>
    <row r="686" spans="1:8" x14ac:dyDescent="0.2">
      <c r="A686" s="2">
        <v>685</v>
      </c>
      <c r="B686" s="5">
        <f t="shared" si="40"/>
        <v>0</v>
      </c>
      <c r="C686" s="5">
        <f t="shared" si="41"/>
        <v>0</v>
      </c>
      <c r="D686" s="5"/>
      <c r="E686" s="5">
        <f>IF($B686 &lt;= 0, 0, -ROUND($B686 * (InterestRate / PaymentsPerYear), 2))</f>
        <v>0</v>
      </c>
      <c r="F686" s="5">
        <f>ROUND(IFERROR(IF($B686&lt;=0,0,
MAX(-$B686, -(-PMT(InterestRate/PaymentsPerYear,LoanTerm*PaymentsPerYear,LoanAmount) + $E686))), 0), 2)</f>
        <v>0</v>
      </c>
      <c r="G686" s="5">
        <f t="shared" si="42"/>
        <v>0</v>
      </c>
      <c r="H686" s="5">
        <f t="shared" si="43"/>
        <v>0</v>
      </c>
    </row>
    <row r="687" spans="1:8" x14ac:dyDescent="0.2">
      <c r="A687" s="2">
        <v>686</v>
      </c>
      <c r="B687" s="5">
        <f t="shared" si="40"/>
        <v>0</v>
      </c>
      <c r="C687" s="5">
        <f t="shared" si="41"/>
        <v>0</v>
      </c>
      <c r="D687" s="5"/>
      <c r="E687" s="5">
        <f>IF($B687 &lt;= 0, 0, -ROUND($B687 * (InterestRate / PaymentsPerYear), 2))</f>
        <v>0</v>
      </c>
      <c r="F687" s="5">
        <f>ROUND(IFERROR(IF($B687&lt;=0,0,
MAX(-$B687, -(-PMT(InterestRate/PaymentsPerYear,LoanTerm*PaymentsPerYear,LoanAmount) + $E687))), 0), 2)</f>
        <v>0</v>
      </c>
      <c r="G687" s="5">
        <f t="shared" si="42"/>
        <v>0</v>
      </c>
      <c r="H687" s="5">
        <f t="shared" si="43"/>
        <v>0</v>
      </c>
    </row>
    <row r="688" spans="1:8" x14ac:dyDescent="0.2">
      <c r="A688" s="2">
        <v>687</v>
      </c>
      <c r="B688" s="5">
        <f t="shared" si="40"/>
        <v>0</v>
      </c>
      <c r="C688" s="5">
        <f t="shared" si="41"/>
        <v>0</v>
      </c>
      <c r="D688" s="5"/>
      <c r="E688" s="5">
        <f>IF($B688 &lt;= 0, 0, -ROUND($B688 * (InterestRate / PaymentsPerYear), 2))</f>
        <v>0</v>
      </c>
      <c r="F688" s="5">
        <f>ROUND(IFERROR(IF($B688&lt;=0,0,
MAX(-$B688, -(-PMT(InterestRate/PaymentsPerYear,LoanTerm*PaymentsPerYear,LoanAmount) + $E688))), 0), 2)</f>
        <v>0</v>
      </c>
      <c r="G688" s="5">
        <f t="shared" si="42"/>
        <v>0</v>
      </c>
      <c r="H688" s="5">
        <f t="shared" si="43"/>
        <v>0</v>
      </c>
    </row>
    <row r="689" spans="1:8" x14ac:dyDescent="0.2">
      <c r="A689" s="2">
        <v>688</v>
      </c>
      <c r="B689" s="5">
        <f t="shared" si="40"/>
        <v>0</v>
      </c>
      <c r="C689" s="5">
        <f t="shared" si="41"/>
        <v>0</v>
      </c>
      <c r="D689" s="5"/>
      <c r="E689" s="5">
        <f>IF($B689 &lt;= 0, 0, -ROUND($B689 * (InterestRate / PaymentsPerYear), 2))</f>
        <v>0</v>
      </c>
      <c r="F689" s="5">
        <f>ROUND(IFERROR(IF($B689&lt;=0,0,
MAX(-$B689, -(-PMT(InterestRate/PaymentsPerYear,LoanTerm*PaymentsPerYear,LoanAmount) + $E689))), 0), 2)</f>
        <v>0</v>
      </c>
      <c r="G689" s="5">
        <f t="shared" si="42"/>
        <v>0</v>
      </c>
      <c r="H689" s="5">
        <f t="shared" si="43"/>
        <v>0</v>
      </c>
    </row>
    <row r="690" spans="1:8" x14ac:dyDescent="0.2">
      <c r="A690" s="2">
        <v>689</v>
      </c>
      <c r="B690" s="5">
        <f t="shared" si="40"/>
        <v>0</v>
      </c>
      <c r="C690" s="5">
        <f t="shared" si="41"/>
        <v>0</v>
      </c>
      <c r="D690" s="5"/>
      <c r="E690" s="5">
        <f>IF($B690 &lt;= 0, 0, -ROUND($B690 * (InterestRate / PaymentsPerYear), 2))</f>
        <v>0</v>
      </c>
      <c r="F690" s="5">
        <f>ROUND(IFERROR(IF($B690&lt;=0,0,
MAX(-$B690, -(-PMT(InterestRate/PaymentsPerYear,LoanTerm*PaymentsPerYear,LoanAmount) + $E690))), 0), 2)</f>
        <v>0</v>
      </c>
      <c r="G690" s="5">
        <f t="shared" si="42"/>
        <v>0</v>
      </c>
      <c r="H690" s="5">
        <f t="shared" si="43"/>
        <v>0</v>
      </c>
    </row>
    <row r="691" spans="1:8" x14ac:dyDescent="0.2">
      <c r="A691" s="2">
        <v>690</v>
      </c>
      <c r="B691" s="5">
        <f t="shared" si="40"/>
        <v>0</v>
      </c>
      <c r="C691" s="5">
        <f t="shared" si="41"/>
        <v>0</v>
      </c>
      <c r="D691" s="5"/>
      <c r="E691" s="5">
        <f>IF($B691 &lt;= 0, 0, -ROUND($B691 * (InterestRate / PaymentsPerYear), 2))</f>
        <v>0</v>
      </c>
      <c r="F691" s="5">
        <f>ROUND(IFERROR(IF($B691&lt;=0,0,
MAX(-$B691, -(-PMT(InterestRate/PaymentsPerYear,LoanTerm*PaymentsPerYear,LoanAmount) + $E691))), 0), 2)</f>
        <v>0</v>
      </c>
      <c r="G691" s="5">
        <f t="shared" si="42"/>
        <v>0</v>
      </c>
      <c r="H691" s="5">
        <f t="shared" si="43"/>
        <v>0</v>
      </c>
    </row>
    <row r="692" spans="1:8" x14ac:dyDescent="0.2">
      <c r="A692" s="2">
        <v>691</v>
      </c>
      <c r="B692" s="5">
        <f t="shared" si="40"/>
        <v>0</v>
      </c>
      <c r="C692" s="5">
        <f t="shared" si="41"/>
        <v>0</v>
      </c>
      <c r="D692" s="5"/>
      <c r="E692" s="5">
        <f>IF($B692 &lt;= 0, 0, -ROUND($B692 * (InterestRate / PaymentsPerYear), 2))</f>
        <v>0</v>
      </c>
      <c r="F692" s="5">
        <f>ROUND(IFERROR(IF($B692&lt;=0,0,
MAX(-$B692, -(-PMT(InterestRate/PaymentsPerYear,LoanTerm*PaymentsPerYear,LoanAmount) + $E692))), 0), 2)</f>
        <v>0</v>
      </c>
      <c r="G692" s="5">
        <f t="shared" si="42"/>
        <v>0</v>
      </c>
      <c r="H692" s="5">
        <f t="shared" si="43"/>
        <v>0</v>
      </c>
    </row>
    <row r="693" spans="1:8" x14ac:dyDescent="0.2">
      <c r="A693" s="2">
        <v>692</v>
      </c>
      <c r="B693" s="5">
        <f t="shared" si="40"/>
        <v>0</v>
      </c>
      <c r="C693" s="5">
        <f t="shared" si="41"/>
        <v>0</v>
      </c>
      <c r="D693" s="5"/>
      <c r="E693" s="5">
        <f>IF($B693 &lt;= 0, 0, -ROUND($B693 * (InterestRate / PaymentsPerYear), 2))</f>
        <v>0</v>
      </c>
      <c r="F693" s="5">
        <f>ROUND(IFERROR(IF($B693&lt;=0,0,
MAX(-$B693, -(-PMT(InterestRate/PaymentsPerYear,LoanTerm*PaymentsPerYear,LoanAmount) + $E693))), 0), 2)</f>
        <v>0</v>
      </c>
      <c r="G693" s="5">
        <f t="shared" si="42"/>
        <v>0</v>
      </c>
      <c r="H693" s="5">
        <f t="shared" si="43"/>
        <v>0</v>
      </c>
    </row>
    <row r="694" spans="1:8" x14ac:dyDescent="0.2">
      <c r="A694" s="2">
        <v>693</v>
      </c>
      <c r="B694" s="5">
        <f t="shared" si="40"/>
        <v>0</v>
      </c>
      <c r="C694" s="5">
        <f t="shared" si="41"/>
        <v>0</v>
      </c>
      <c r="D694" s="5"/>
      <c r="E694" s="5">
        <f>IF($B694 &lt;= 0, 0, -ROUND($B694 * (InterestRate / PaymentsPerYear), 2))</f>
        <v>0</v>
      </c>
      <c r="F694" s="5">
        <f>ROUND(IFERROR(IF($B694&lt;=0,0,
MAX(-$B694, -(-PMT(InterestRate/PaymentsPerYear,LoanTerm*PaymentsPerYear,LoanAmount) + $E694))), 0), 2)</f>
        <v>0</v>
      </c>
      <c r="G694" s="5">
        <f t="shared" si="42"/>
        <v>0</v>
      </c>
      <c r="H694" s="5">
        <f t="shared" si="43"/>
        <v>0</v>
      </c>
    </row>
    <row r="695" spans="1:8" x14ac:dyDescent="0.2">
      <c r="A695" s="2">
        <v>694</v>
      </c>
      <c r="B695" s="5">
        <f t="shared" si="40"/>
        <v>0</v>
      </c>
      <c r="C695" s="5">
        <f t="shared" si="41"/>
        <v>0</v>
      </c>
      <c r="D695" s="5"/>
      <c r="E695" s="5">
        <f>IF($B695 &lt;= 0, 0, -ROUND($B695 * (InterestRate / PaymentsPerYear), 2))</f>
        <v>0</v>
      </c>
      <c r="F695" s="5">
        <f>ROUND(IFERROR(IF($B695&lt;=0,0,
MAX(-$B695, -(-PMT(InterestRate/PaymentsPerYear,LoanTerm*PaymentsPerYear,LoanAmount) + $E695))), 0), 2)</f>
        <v>0</v>
      </c>
      <c r="G695" s="5">
        <f t="shared" si="42"/>
        <v>0</v>
      </c>
      <c r="H695" s="5">
        <f t="shared" si="43"/>
        <v>0</v>
      </c>
    </row>
    <row r="696" spans="1:8" x14ac:dyDescent="0.2">
      <c r="A696" s="2">
        <v>695</v>
      </c>
      <c r="B696" s="5">
        <f t="shared" si="40"/>
        <v>0</v>
      </c>
      <c r="C696" s="5">
        <f t="shared" si="41"/>
        <v>0</v>
      </c>
      <c r="D696" s="5"/>
      <c r="E696" s="5">
        <f>IF($B696 &lt;= 0, 0, -ROUND($B696 * (InterestRate / PaymentsPerYear), 2))</f>
        <v>0</v>
      </c>
      <c r="F696" s="5">
        <f>ROUND(IFERROR(IF($B696&lt;=0,0,
MAX(-$B696, -(-PMT(InterestRate/PaymentsPerYear,LoanTerm*PaymentsPerYear,LoanAmount) + $E696))), 0), 2)</f>
        <v>0</v>
      </c>
      <c r="G696" s="5">
        <f t="shared" si="42"/>
        <v>0</v>
      </c>
      <c r="H696" s="5">
        <f t="shared" si="43"/>
        <v>0</v>
      </c>
    </row>
    <row r="697" spans="1:8" x14ac:dyDescent="0.2">
      <c r="A697" s="2">
        <v>696</v>
      </c>
      <c r="B697" s="5">
        <f t="shared" si="40"/>
        <v>0</v>
      </c>
      <c r="C697" s="5">
        <f t="shared" si="41"/>
        <v>0</v>
      </c>
      <c r="D697" s="5"/>
      <c r="E697" s="5">
        <f>IF($B697 &lt;= 0, 0, -ROUND($B697 * (InterestRate / PaymentsPerYear), 2))</f>
        <v>0</v>
      </c>
      <c r="F697" s="5">
        <f>ROUND(IFERROR(IF($B697&lt;=0,0,
MAX(-$B697, -(-PMT(InterestRate/PaymentsPerYear,LoanTerm*PaymentsPerYear,LoanAmount) + $E697))), 0), 2)</f>
        <v>0</v>
      </c>
      <c r="G697" s="5">
        <f t="shared" si="42"/>
        <v>0</v>
      </c>
      <c r="H697" s="5">
        <f t="shared" si="43"/>
        <v>0</v>
      </c>
    </row>
    <row r="698" spans="1:8" x14ac:dyDescent="0.2">
      <c r="A698" s="2">
        <v>697</v>
      </c>
      <c r="B698" s="5">
        <f t="shared" si="40"/>
        <v>0</v>
      </c>
      <c r="C698" s="5">
        <f t="shared" si="41"/>
        <v>0</v>
      </c>
      <c r="D698" s="5"/>
      <c r="E698" s="5">
        <f>IF($B698 &lt;= 0, 0, -ROUND($B698 * (InterestRate / PaymentsPerYear), 2))</f>
        <v>0</v>
      </c>
      <c r="F698" s="5">
        <f>ROUND(IFERROR(IF($B698&lt;=0,0,
MAX(-$B698, -(-PMT(InterestRate/PaymentsPerYear,LoanTerm*PaymentsPerYear,LoanAmount) + $E698))), 0), 2)</f>
        <v>0</v>
      </c>
      <c r="G698" s="5">
        <f t="shared" si="42"/>
        <v>0</v>
      </c>
      <c r="H698" s="5">
        <f t="shared" si="43"/>
        <v>0</v>
      </c>
    </row>
    <row r="699" spans="1:8" x14ac:dyDescent="0.2">
      <c r="A699" s="2">
        <v>698</v>
      </c>
      <c r="B699" s="5">
        <f t="shared" si="40"/>
        <v>0</v>
      </c>
      <c r="C699" s="5">
        <f t="shared" si="41"/>
        <v>0</v>
      </c>
      <c r="D699" s="5"/>
      <c r="E699" s="5">
        <f>IF($B699 &lt;= 0, 0, -ROUND($B699 * (InterestRate / PaymentsPerYear), 2))</f>
        <v>0</v>
      </c>
      <c r="F699" s="5">
        <f>ROUND(IFERROR(IF($B699&lt;=0,0,
MAX(-$B699, -(-PMT(InterestRate/PaymentsPerYear,LoanTerm*PaymentsPerYear,LoanAmount) + $E699))), 0), 2)</f>
        <v>0</v>
      </c>
      <c r="G699" s="5">
        <f t="shared" si="42"/>
        <v>0</v>
      </c>
      <c r="H699" s="5">
        <f t="shared" si="43"/>
        <v>0</v>
      </c>
    </row>
    <row r="700" spans="1:8" x14ac:dyDescent="0.2">
      <c r="A700" s="2">
        <v>699</v>
      </c>
      <c r="B700" s="5">
        <f t="shared" si="40"/>
        <v>0</v>
      </c>
      <c r="C700" s="5">
        <f t="shared" si="41"/>
        <v>0</v>
      </c>
      <c r="D700" s="5"/>
      <c r="E700" s="5">
        <f>IF($B700 &lt;= 0, 0, -ROUND($B700 * (InterestRate / PaymentsPerYear), 2))</f>
        <v>0</v>
      </c>
      <c r="F700" s="5">
        <f>ROUND(IFERROR(IF($B700&lt;=0,0,
MAX(-$B700, -(-PMT(InterestRate/PaymentsPerYear,LoanTerm*PaymentsPerYear,LoanAmount) + $E700))), 0), 2)</f>
        <v>0</v>
      </c>
      <c r="G700" s="5">
        <f t="shared" si="42"/>
        <v>0</v>
      </c>
      <c r="H700" s="5">
        <f t="shared" si="43"/>
        <v>0</v>
      </c>
    </row>
    <row r="701" spans="1:8" x14ac:dyDescent="0.2">
      <c r="A701" s="2">
        <v>700</v>
      </c>
      <c r="B701" s="5">
        <f t="shared" si="40"/>
        <v>0</v>
      </c>
      <c r="C701" s="5">
        <f t="shared" si="41"/>
        <v>0</v>
      </c>
      <c r="D701" s="5"/>
      <c r="E701" s="5">
        <f>IF($B701 &lt;= 0, 0, -ROUND($B701 * (InterestRate / PaymentsPerYear), 2))</f>
        <v>0</v>
      </c>
      <c r="F701" s="5">
        <f>ROUND(IFERROR(IF($B701&lt;=0,0,
MAX(-$B701, -(-PMT(InterestRate/PaymentsPerYear,LoanTerm*PaymentsPerYear,LoanAmount) + $E701))), 0), 2)</f>
        <v>0</v>
      </c>
      <c r="G701" s="5">
        <f t="shared" si="42"/>
        <v>0</v>
      </c>
      <c r="H701" s="5">
        <f t="shared" si="43"/>
        <v>0</v>
      </c>
    </row>
    <row r="702" spans="1:8" x14ac:dyDescent="0.2">
      <c r="A702" s="2">
        <v>701</v>
      </c>
      <c r="B702" s="5">
        <f t="shared" si="40"/>
        <v>0</v>
      </c>
      <c r="C702" s="5">
        <f t="shared" si="41"/>
        <v>0</v>
      </c>
      <c r="D702" s="5"/>
      <c r="E702" s="5">
        <f>IF($B702 &lt;= 0, 0, -ROUND($B702 * (InterestRate / PaymentsPerYear), 2))</f>
        <v>0</v>
      </c>
      <c r="F702" s="5">
        <f>ROUND(IFERROR(IF($B702&lt;=0,0,
MAX(-$B702, -(-PMT(InterestRate/PaymentsPerYear,LoanTerm*PaymentsPerYear,LoanAmount) + $E702))), 0), 2)</f>
        <v>0</v>
      </c>
      <c r="G702" s="5">
        <f t="shared" si="42"/>
        <v>0</v>
      </c>
      <c r="H702" s="5">
        <f t="shared" si="43"/>
        <v>0</v>
      </c>
    </row>
    <row r="703" spans="1:8" x14ac:dyDescent="0.2">
      <c r="A703" s="2">
        <v>702</v>
      </c>
      <c r="B703" s="5">
        <f t="shared" si="40"/>
        <v>0</v>
      </c>
      <c r="C703" s="5">
        <f t="shared" si="41"/>
        <v>0</v>
      </c>
      <c r="D703" s="5"/>
      <c r="E703" s="5">
        <f>IF($B703 &lt;= 0, 0, -ROUND($B703 * (InterestRate / PaymentsPerYear), 2))</f>
        <v>0</v>
      </c>
      <c r="F703" s="5">
        <f>ROUND(IFERROR(IF($B703&lt;=0,0,
MAX(-$B703, -(-PMT(InterestRate/PaymentsPerYear,LoanTerm*PaymentsPerYear,LoanAmount) + $E703))), 0), 2)</f>
        <v>0</v>
      </c>
      <c r="G703" s="5">
        <f t="shared" si="42"/>
        <v>0</v>
      </c>
      <c r="H703" s="5">
        <f t="shared" si="43"/>
        <v>0</v>
      </c>
    </row>
    <row r="704" spans="1:8" x14ac:dyDescent="0.2">
      <c r="A704" s="2">
        <v>703</v>
      </c>
      <c r="B704" s="5">
        <f t="shared" si="40"/>
        <v>0</v>
      </c>
      <c r="C704" s="5">
        <f t="shared" si="41"/>
        <v>0</v>
      </c>
      <c r="D704" s="5"/>
      <c r="E704" s="5">
        <f>IF($B704 &lt;= 0, 0, -ROUND($B704 * (InterestRate / PaymentsPerYear), 2))</f>
        <v>0</v>
      </c>
      <c r="F704" s="5">
        <f>ROUND(IFERROR(IF($B704&lt;=0,0,
MAX(-$B704, -(-PMT(InterestRate/PaymentsPerYear,LoanTerm*PaymentsPerYear,LoanAmount) + $E704))), 0), 2)</f>
        <v>0</v>
      </c>
      <c r="G704" s="5">
        <f t="shared" si="42"/>
        <v>0</v>
      </c>
      <c r="H704" s="5">
        <f t="shared" si="43"/>
        <v>0</v>
      </c>
    </row>
    <row r="705" spans="1:8" x14ac:dyDescent="0.2">
      <c r="A705" s="2">
        <v>704</v>
      </c>
      <c r="B705" s="5">
        <f t="shared" si="40"/>
        <v>0</v>
      </c>
      <c r="C705" s="5">
        <f t="shared" si="41"/>
        <v>0</v>
      </c>
      <c r="D705" s="5"/>
      <c r="E705" s="5">
        <f>IF($B705 &lt;= 0, 0, -ROUND($B705 * (InterestRate / PaymentsPerYear), 2))</f>
        <v>0</v>
      </c>
      <c r="F705" s="5">
        <f>ROUND(IFERROR(IF($B705&lt;=0,0,
MAX(-$B705, -(-PMT(InterestRate/PaymentsPerYear,LoanTerm*PaymentsPerYear,LoanAmount) + $E705))), 0), 2)</f>
        <v>0</v>
      </c>
      <c r="G705" s="5">
        <f t="shared" si="42"/>
        <v>0</v>
      </c>
      <c r="H705" s="5">
        <f t="shared" si="43"/>
        <v>0</v>
      </c>
    </row>
    <row r="706" spans="1:8" x14ac:dyDescent="0.2">
      <c r="A706" s="2">
        <v>705</v>
      </c>
      <c r="B706" s="5">
        <f t="shared" si="40"/>
        <v>0</v>
      </c>
      <c r="C706" s="5">
        <f t="shared" si="41"/>
        <v>0</v>
      </c>
      <c r="D706" s="5"/>
      <c r="E706" s="5">
        <f>IF($B706 &lt;= 0, 0, -ROUND($B706 * (InterestRate / PaymentsPerYear), 2))</f>
        <v>0</v>
      </c>
      <c r="F706" s="5">
        <f>ROUND(IFERROR(IF($B706&lt;=0,0,
MAX(-$B706, -(-PMT(InterestRate/PaymentsPerYear,LoanTerm*PaymentsPerYear,LoanAmount) + $E706))), 0), 2)</f>
        <v>0</v>
      </c>
      <c r="G706" s="5">
        <f t="shared" si="42"/>
        <v>0</v>
      </c>
      <c r="H706" s="5">
        <f t="shared" si="43"/>
        <v>0</v>
      </c>
    </row>
    <row r="707" spans="1:8" x14ac:dyDescent="0.2">
      <c r="A707" s="2">
        <v>706</v>
      </c>
      <c r="B707" s="5">
        <f t="shared" si="40"/>
        <v>0</v>
      </c>
      <c r="C707" s="5">
        <f t="shared" si="41"/>
        <v>0</v>
      </c>
      <c r="D707" s="5"/>
      <c r="E707" s="5">
        <f>IF($B707 &lt;= 0, 0, -ROUND($B707 * (InterestRate / PaymentsPerYear), 2))</f>
        <v>0</v>
      </c>
      <c r="F707" s="5">
        <f>ROUND(IFERROR(IF($B707&lt;=0,0,
MAX(-$B707, -(-PMT(InterestRate/PaymentsPerYear,LoanTerm*PaymentsPerYear,LoanAmount) + $E707))), 0), 2)</f>
        <v>0</v>
      </c>
      <c r="G707" s="5">
        <f t="shared" si="42"/>
        <v>0</v>
      </c>
      <c r="H707" s="5">
        <f t="shared" si="43"/>
        <v>0</v>
      </c>
    </row>
    <row r="708" spans="1:8" x14ac:dyDescent="0.2">
      <c r="A708" s="2">
        <v>707</v>
      </c>
      <c r="B708" s="5">
        <f t="shared" ref="B708:B771" si="44">ROUND(IF($H707 &gt;= 0, MAX($H707, $F707), 0), 2)</f>
        <v>0</v>
      </c>
      <c r="C708" s="5">
        <f t="shared" ref="C708:C771" si="45">IF($B708 &lt;= 0, 0, $E708+$F708)</f>
        <v>0</v>
      </c>
      <c r="D708" s="5"/>
      <c r="E708" s="5">
        <f>IF($B708 &lt;= 0, 0, -ROUND($B708 * (InterestRate / PaymentsPerYear), 2))</f>
        <v>0</v>
      </c>
      <c r="F708" s="5">
        <f>ROUND(IFERROR(IF($B708&lt;=0,0,
MAX(-$B708, -(-PMT(InterestRate/PaymentsPerYear,LoanTerm*PaymentsPerYear,LoanAmount) + $E708))), 0), 2)</f>
        <v>0</v>
      </c>
      <c r="G708" s="5">
        <f t="shared" ref="G708:G771" si="46">$F708</f>
        <v>0</v>
      </c>
      <c r="H708" s="5">
        <f t="shared" ref="H708:H771" si="47">ROUND(IF($B708 &lt;= 0, 0,MAX(0, $B708 + $G708)), 2)</f>
        <v>0</v>
      </c>
    </row>
    <row r="709" spans="1:8" x14ac:dyDescent="0.2">
      <c r="A709" s="2">
        <v>708</v>
      </c>
      <c r="B709" s="5">
        <f t="shared" si="44"/>
        <v>0</v>
      </c>
      <c r="C709" s="5">
        <f t="shared" si="45"/>
        <v>0</v>
      </c>
      <c r="D709" s="5"/>
      <c r="E709" s="5">
        <f>IF($B709 &lt;= 0, 0, -ROUND($B709 * (InterestRate / PaymentsPerYear), 2))</f>
        <v>0</v>
      </c>
      <c r="F709" s="5">
        <f>ROUND(IFERROR(IF($B709&lt;=0,0,
MAX(-$B709, -(-PMT(InterestRate/PaymentsPerYear,LoanTerm*PaymentsPerYear,LoanAmount) + $E709))), 0), 2)</f>
        <v>0</v>
      </c>
      <c r="G709" s="5">
        <f t="shared" si="46"/>
        <v>0</v>
      </c>
      <c r="H709" s="5">
        <f t="shared" si="47"/>
        <v>0</v>
      </c>
    </row>
    <row r="710" spans="1:8" x14ac:dyDescent="0.2">
      <c r="A710" s="2">
        <v>709</v>
      </c>
      <c r="B710" s="5">
        <f t="shared" si="44"/>
        <v>0</v>
      </c>
      <c r="C710" s="5">
        <f t="shared" si="45"/>
        <v>0</v>
      </c>
      <c r="D710" s="5"/>
      <c r="E710" s="5">
        <f>IF($B710 &lt;= 0, 0, -ROUND($B710 * (InterestRate / PaymentsPerYear), 2))</f>
        <v>0</v>
      </c>
      <c r="F710" s="5">
        <f>ROUND(IFERROR(IF($B710&lt;=0,0,
MAX(-$B710, -(-PMT(InterestRate/PaymentsPerYear,LoanTerm*PaymentsPerYear,LoanAmount) + $E710))), 0), 2)</f>
        <v>0</v>
      </c>
      <c r="G710" s="5">
        <f t="shared" si="46"/>
        <v>0</v>
      </c>
      <c r="H710" s="5">
        <f t="shared" si="47"/>
        <v>0</v>
      </c>
    </row>
    <row r="711" spans="1:8" x14ac:dyDescent="0.2">
      <c r="A711" s="2">
        <v>710</v>
      </c>
      <c r="B711" s="5">
        <f t="shared" si="44"/>
        <v>0</v>
      </c>
      <c r="C711" s="5">
        <f t="shared" si="45"/>
        <v>0</v>
      </c>
      <c r="D711" s="5"/>
      <c r="E711" s="5">
        <f>IF($B711 &lt;= 0, 0, -ROUND($B711 * (InterestRate / PaymentsPerYear), 2))</f>
        <v>0</v>
      </c>
      <c r="F711" s="5">
        <f>ROUND(IFERROR(IF($B711&lt;=0,0,
MAX(-$B711, -(-PMT(InterestRate/PaymentsPerYear,LoanTerm*PaymentsPerYear,LoanAmount) + $E711))), 0), 2)</f>
        <v>0</v>
      </c>
      <c r="G711" s="5">
        <f t="shared" si="46"/>
        <v>0</v>
      </c>
      <c r="H711" s="5">
        <f t="shared" si="47"/>
        <v>0</v>
      </c>
    </row>
    <row r="712" spans="1:8" x14ac:dyDescent="0.2">
      <c r="A712" s="2">
        <v>711</v>
      </c>
      <c r="B712" s="5">
        <f t="shared" si="44"/>
        <v>0</v>
      </c>
      <c r="C712" s="5">
        <f t="shared" si="45"/>
        <v>0</v>
      </c>
      <c r="D712" s="5"/>
      <c r="E712" s="5">
        <f>IF($B712 &lt;= 0, 0, -ROUND($B712 * (InterestRate / PaymentsPerYear), 2))</f>
        <v>0</v>
      </c>
      <c r="F712" s="5">
        <f>ROUND(IFERROR(IF($B712&lt;=0,0,
MAX(-$B712, -(-PMT(InterestRate/PaymentsPerYear,LoanTerm*PaymentsPerYear,LoanAmount) + $E712))), 0), 2)</f>
        <v>0</v>
      </c>
      <c r="G712" s="5">
        <f t="shared" si="46"/>
        <v>0</v>
      </c>
      <c r="H712" s="5">
        <f t="shared" si="47"/>
        <v>0</v>
      </c>
    </row>
    <row r="713" spans="1:8" x14ac:dyDescent="0.2">
      <c r="A713" s="2">
        <v>712</v>
      </c>
      <c r="B713" s="5">
        <f t="shared" si="44"/>
        <v>0</v>
      </c>
      <c r="C713" s="5">
        <f t="shared" si="45"/>
        <v>0</v>
      </c>
      <c r="D713" s="5"/>
      <c r="E713" s="5">
        <f>IF($B713 &lt;= 0, 0, -ROUND($B713 * (InterestRate / PaymentsPerYear), 2))</f>
        <v>0</v>
      </c>
      <c r="F713" s="5">
        <f>ROUND(IFERROR(IF($B713&lt;=0,0,
MAX(-$B713, -(-PMT(InterestRate/PaymentsPerYear,LoanTerm*PaymentsPerYear,LoanAmount) + $E713))), 0), 2)</f>
        <v>0</v>
      </c>
      <c r="G713" s="5">
        <f t="shared" si="46"/>
        <v>0</v>
      </c>
      <c r="H713" s="5">
        <f t="shared" si="47"/>
        <v>0</v>
      </c>
    </row>
    <row r="714" spans="1:8" x14ac:dyDescent="0.2">
      <c r="A714" s="2">
        <v>713</v>
      </c>
      <c r="B714" s="5">
        <f t="shared" si="44"/>
        <v>0</v>
      </c>
      <c r="C714" s="5">
        <f t="shared" si="45"/>
        <v>0</v>
      </c>
      <c r="D714" s="5"/>
      <c r="E714" s="5">
        <f>IF($B714 &lt;= 0, 0, -ROUND($B714 * (InterestRate / PaymentsPerYear), 2))</f>
        <v>0</v>
      </c>
      <c r="F714" s="5">
        <f>ROUND(IFERROR(IF($B714&lt;=0,0,
MAX(-$B714, -(-PMT(InterestRate/PaymentsPerYear,LoanTerm*PaymentsPerYear,LoanAmount) + $E714))), 0), 2)</f>
        <v>0</v>
      </c>
      <c r="G714" s="5">
        <f t="shared" si="46"/>
        <v>0</v>
      </c>
      <c r="H714" s="5">
        <f t="shared" si="47"/>
        <v>0</v>
      </c>
    </row>
    <row r="715" spans="1:8" x14ac:dyDescent="0.2">
      <c r="A715" s="2">
        <v>714</v>
      </c>
      <c r="B715" s="5">
        <f t="shared" si="44"/>
        <v>0</v>
      </c>
      <c r="C715" s="5">
        <f t="shared" si="45"/>
        <v>0</v>
      </c>
      <c r="D715" s="5"/>
      <c r="E715" s="5">
        <f>IF($B715 &lt;= 0, 0, -ROUND($B715 * (InterestRate / PaymentsPerYear), 2))</f>
        <v>0</v>
      </c>
      <c r="F715" s="5">
        <f>ROUND(IFERROR(IF($B715&lt;=0,0,
MAX(-$B715, -(-PMT(InterestRate/PaymentsPerYear,LoanTerm*PaymentsPerYear,LoanAmount) + $E715))), 0), 2)</f>
        <v>0</v>
      </c>
      <c r="G715" s="5">
        <f t="shared" si="46"/>
        <v>0</v>
      </c>
      <c r="H715" s="5">
        <f t="shared" si="47"/>
        <v>0</v>
      </c>
    </row>
    <row r="716" spans="1:8" x14ac:dyDescent="0.2">
      <c r="A716" s="2">
        <v>715</v>
      </c>
      <c r="B716" s="5">
        <f t="shared" si="44"/>
        <v>0</v>
      </c>
      <c r="C716" s="5">
        <f t="shared" si="45"/>
        <v>0</v>
      </c>
      <c r="D716" s="5"/>
      <c r="E716" s="5">
        <f>IF($B716 &lt;= 0, 0, -ROUND($B716 * (InterestRate / PaymentsPerYear), 2))</f>
        <v>0</v>
      </c>
      <c r="F716" s="5">
        <f>ROUND(IFERROR(IF($B716&lt;=0,0,
MAX(-$B716, -(-PMT(InterestRate/PaymentsPerYear,LoanTerm*PaymentsPerYear,LoanAmount) + $E716))), 0), 2)</f>
        <v>0</v>
      </c>
      <c r="G716" s="5">
        <f t="shared" si="46"/>
        <v>0</v>
      </c>
      <c r="H716" s="5">
        <f t="shared" si="47"/>
        <v>0</v>
      </c>
    </row>
    <row r="717" spans="1:8" x14ac:dyDescent="0.2">
      <c r="A717" s="2">
        <v>716</v>
      </c>
      <c r="B717" s="5">
        <f t="shared" si="44"/>
        <v>0</v>
      </c>
      <c r="C717" s="5">
        <f t="shared" si="45"/>
        <v>0</v>
      </c>
      <c r="D717" s="5"/>
      <c r="E717" s="5">
        <f>IF($B717 &lt;= 0, 0, -ROUND($B717 * (InterestRate / PaymentsPerYear), 2))</f>
        <v>0</v>
      </c>
      <c r="F717" s="5">
        <f>ROUND(IFERROR(IF($B717&lt;=0,0,
MAX(-$B717, -(-PMT(InterestRate/PaymentsPerYear,LoanTerm*PaymentsPerYear,LoanAmount) + $E717))), 0), 2)</f>
        <v>0</v>
      </c>
      <c r="G717" s="5">
        <f t="shared" si="46"/>
        <v>0</v>
      </c>
      <c r="H717" s="5">
        <f t="shared" si="47"/>
        <v>0</v>
      </c>
    </row>
    <row r="718" spans="1:8" x14ac:dyDescent="0.2">
      <c r="A718" s="2">
        <v>717</v>
      </c>
      <c r="B718" s="5">
        <f t="shared" si="44"/>
        <v>0</v>
      </c>
      <c r="C718" s="5">
        <f t="shared" si="45"/>
        <v>0</v>
      </c>
      <c r="D718" s="5"/>
      <c r="E718" s="5">
        <f>IF($B718 &lt;= 0, 0, -ROUND($B718 * (InterestRate / PaymentsPerYear), 2))</f>
        <v>0</v>
      </c>
      <c r="F718" s="5">
        <f>ROUND(IFERROR(IF($B718&lt;=0,0,
MAX(-$B718, -(-PMT(InterestRate/PaymentsPerYear,LoanTerm*PaymentsPerYear,LoanAmount) + $E718))), 0), 2)</f>
        <v>0</v>
      </c>
      <c r="G718" s="5">
        <f t="shared" si="46"/>
        <v>0</v>
      </c>
      <c r="H718" s="5">
        <f t="shared" si="47"/>
        <v>0</v>
      </c>
    </row>
    <row r="719" spans="1:8" x14ac:dyDescent="0.2">
      <c r="A719" s="2">
        <v>718</v>
      </c>
      <c r="B719" s="5">
        <f t="shared" si="44"/>
        <v>0</v>
      </c>
      <c r="C719" s="5">
        <f t="shared" si="45"/>
        <v>0</v>
      </c>
      <c r="D719" s="5"/>
      <c r="E719" s="5">
        <f>IF($B719 &lt;= 0, 0, -ROUND($B719 * (InterestRate / PaymentsPerYear), 2))</f>
        <v>0</v>
      </c>
      <c r="F719" s="5">
        <f>ROUND(IFERROR(IF($B719&lt;=0,0,
MAX(-$B719, -(-PMT(InterestRate/PaymentsPerYear,LoanTerm*PaymentsPerYear,LoanAmount) + $E719))), 0), 2)</f>
        <v>0</v>
      </c>
      <c r="G719" s="5">
        <f t="shared" si="46"/>
        <v>0</v>
      </c>
      <c r="H719" s="5">
        <f t="shared" si="47"/>
        <v>0</v>
      </c>
    </row>
    <row r="720" spans="1:8" x14ac:dyDescent="0.2">
      <c r="A720" s="2">
        <v>719</v>
      </c>
      <c r="B720" s="5">
        <f t="shared" si="44"/>
        <v>0</v>
      </c>
      <c r="C720" s="5">
        <f t="shared" si="45"/>
        <v>0</v>
      </c>
      <c r="D720" s="5"/>
      <c r="E720" s="5">
        <f>IF($B720 &lt;= 0, 0, -ROUND($B720 * (InterestRate / PaymentsPerYear), 2))</f>
        <v>0</v>
      </c>
      <c r="F720" s="5">
        <f>ROUND(IFERROR(IF($B720&lt;=0,0,
MAX(-$B720, -(-PMT(InterestRate/PaymentsPerYear,LoanTerm*PaymentsPerYear,LoanAmount) + $E720))), 0), 2)</f>
        <v>0</v>
      </c>
      <c r="G720" s="5">
        <f t="shared" si="46"/>
        <v>0</v>
      </c>
      <c r="H720" s="5">
        <f t="shared" si="47"/>
        <v>0</v>
      </c>
    </row>
    <row r="721" spans="1:8" x14ac:dyDescent="0.2">
      <c r="A721" s="2">
        <v>720</v>
      </c>
      <c r="B721" s="5">
        <f t="shared" si="44"/>
        <v>0</v>
      </c>
      <c r="C721" s="5">
        <f t="shared" si="45"/>
        <v>0</v>
      </c>
      <c r="D721" s="5"/>
      <c r="E721" s="5">
        <f>IF($B721 &lt;= 0, 0, -ROUND($B721 * (InterestRate / PaymentsPerYear), 2))</f>
        <v>0</v>
      </c>
      <c r="F721" s="5">
        <f>ROUND(IFERROR(IF($B721&lt;=0,0,
MAX(-$B721, -(-PMT(InterestRate/PaymentsPerYear,LoanTerm*PaymentsPerYear,LoanAmount) + $E721))), 0), 2)</f>
        <v>0</v>
      </c>
      <c r="G721" s="5">
        <f t="shared" si="46"/>
        <v>0</v>
      </c>
      <c r="H721" s="5">
        <f t="shared" si="47"/>
        <v>0</v>
      </c>
    </row>
    <row r="722" spans="1:8" x14ac:dyDescent="0.2">
      <c r="A722" s="2">
        <v>721</v>
      </c>
      <c r="B722" s="5">
        <f t="shared" si="44"/>
        <v>0</v>
      </c>
      <c r="C722" s="5">
        <f t="shared" si="45"/>
        <v>0</v>
      </c>
      <c r="D722" s="5"/>
      <c r="E722" s="5">
        <f>IF($B722 &lt;= 0, 0, -ROUND($B722 * (InterestRate / PaymentsPerYear), 2))</f>
        <v>0</v>
      </c>
      <c r="F722" s="5">
        <f>ROUND(IFERROR(IF($B722&lt;=0,0,
MAX(-$B722, -(-PMT(InterestRate/PaymentsPerYear,LoanTerm*PaymentsPerYear,LoanAmount) + $E722))), 0), 2)</f>
        <v>0</v>
      </c>
      <c r="G722" s="5">
        <f t="shared" si="46"/>
        <v>0</v>
      </c>
      <c r="H722" s="5">
        <f t="shared" si="47"/>
        <v>0</v>
      </c>
    </row>
    <row r="723" spans="1:8" x14ac:dyDescent="0.2">
      <c r="A723" s="2">
        <v>722</v>
      </c>
      <c r="B723" s="5">
        <f t="shared" si="44"/>
        <v>0</v>
      </c>
      <c r="C723" s="5">
        <f t="shared" si="45"/>
        <v>0</v>
      </c>
      <c r="D723" s="5"/>
      <c r="E723" s="5">
        <f>IF($B723 &lt;= 0, 0, -ROUND($B723 * (InterestRate / PaymentsPerYear), 2))</f>
        <v>0</v>
      </c>
      <c r="F723" s="5">
        <f>ROUND(IFERROR(IF($B723&lt;=0,0,
MAX(-$B723, -(-PMT(InterestRate/PaymentsPerYear,LoanTerm*PaymentsPerYear,LoanAmount) + $E723))), 0), 2)</f>
        <v>0</v>
      </c>
      <c r="G723" s="5">
        <f t="shared" si="46"/>
        <v>0</v>
      </c>
      <c r="H723" s="5">
        <f t="shared" si="47"/>
        <v>0</v>
      </c>
    </row>
    <row r="724" spans="1:8" x14ac:dyDescent="0.2">
      <c r="A724" s="2">
        <v>723</v>
      </c>
      <c r="B724" s="5">
        <f t="shared" si="44"/>
        <v>0</v>
      </c>
      <c r="C724" s="5">
        <f t="shared" si="45"/>
        <v>0</v>
      </c>
      <c r="D724" s="5"/>
      <c r="E724" s="5">
        <f>IF($B724 &lt;= 0, 0, -ROUND($B724 * (InterestRate / PaymentsPerYear), 2))</f>
        <v>0</v>
      </c>
      <c r="F724" s="5">
        <f>ROUND(IFERROR(IF($B724&lt;=0,0,
MAX(-$B724, -(-PMT(InterestRate/PaymentsPerYear,LoanTerm*PaymentsPerYear,LoanAmount) + $E724))), 0), 2)</f>
        <v>0</v>
      </c>
      <c r="G724" s="5">
        <f t="shared" si="46"/>
        <v>0</v>
      </c>
      <c r="H724" s="5">
        <f t="shared" si="47"/>
        <v>0</v>
      </c>
    </row>
    <row r="725" spans="1:8" x14ac:dyDescent="0.2">
      <c r="A725" s="2">
        <v>724</v>
      </c>
      <c r="B725" s="5">
        <f t="shared" si="44"/>
        <v>0</v>
      </c>
      <c r="C725" s="5">
        <f t="shared" si="45"/>
        <v>0</v>
      </c>
      <c r="D725" s="5"/>
      <c r="E725" s="5">
        <f>IF($B725 &lt;= 0, 0, -ROUND($B725 * (InterestRate / PaymentsPerYear), 2))</f>
        <v>0</v>
      </c>
      <c r="F725" s="5">
        <f>ROUND(IFERROR(IF($B725&lt;=0,0,
MAX(-$B725, -(-PMT(InterestRate/PaymentsPerYear,LoanTerm*PaymentsPerYear,LoanAmount) + $E725))), 0), 2)</f>
        <v>0</v>
      </c>
      <c r="G725" s="5">
        <f t="shared" si="46"/>
        <v>0</v>
      </c>
      <c r="H725" s="5">
        <f t="shared" si="47"/>
        <v>0</v>
      </c>
    </row>
    <row r="726" spans="1:8" x14ac:dyDescent="0.2">
      <c r="A726" s="2">
        <v>725</v>
      </c>
      <c r="B726" s="5">
        <f t="shared" si="44"/>
        <v>0</v>
      </c>
      <c r="C726" s="5">
        <f t="shared" si="45"/>
        <v>0</v>
      </c>
      <c r="D726" s="5"/>
      <c r="E726" s="5">
        <f>IF($B726 &lt;= 0, 0, -ROUND($B726 * (InterestRate / PaymentsPerYear), 2))</f>
        <v>0</v>
      </c>
      <c r="F726" s="5">
        <f>ROUND(IFERROR(IF($B726&lt;=0,0,
MAX(-$B726, -(-PMT(InterestRate/PaymentsPerYear,LoanTerm*PaymentsPerYear,LoanAmount) + $E726))), 0), 2)</f>
        <v>0</v>
      </c>
      <c r="G726" s="5">
        <f t="shared" si="46"/>
        <v>0</v>
      </c>
      <c r="H726" s="5">
        <f t="shared" si="47"/>
        <v>0</v>
      </c>
    </row>
    <row r="727" spans="1:8" x14ac:dyDescent="0.2">
      <c r="A727" s="2">
        <v>726</v>
      </c>
      <c r="B727" s="5">
        <f t="shared" si="44"/>
        <v>0</v>
      </c>
      <c r="C727" s="5">
        <f t="shared" si="45"/>
        <v>0</v>
      </c>
      <c r="D727" s="5"/>
      <c r="E727" s="5">
        <f>IF($B727 &lt;= 0, 0, -ROUND($B727 * (InterestRate / PaymentsPerYear), 2))</f>
        <v>0</v>
      </c>
      <c r="F727" s="5">
        <f>ROUND(IFERROR(IF($B727&lt;=0,0,
MAX(-$B727, -(-PMT(InterestRate/PaymentsPerYear,LoanTerm*PaymentsPerYear,LoanAmount) + $E727))), 0), 2)</f>
        <v>0</v>
      </c>
      <c r="G727" s="5">
        <f t="shared" si="46"/>
        <v>0</v>
      </c>
      <c r="H727" s="5">
        <f t="shared" si="47"/>
        <v>0</v>
      </c>
    </row>
    <row r="728" spans="1:8" x14ac:dyDescent="0.2">
      <c r="A728" s="2">
        <v>727</v>
      </c>
      <c r="B728" s="5">
        <f t="shared" si="44"/>
        <v>0</v>
      </c>
      <c r="C728" s="5">
        <f t="shared" si="45"/>
        <v>0</v>
      </c>
      <c r="D728" s="5"/>
      <c r="E728" s="5">
        <f>IF($B728 &lt;= 0, 0, -ROUND($B728 * (InterestRate / PaymentsPerYear), 2))</f>
        <v>0</v>
      </c>
      <c r="F728" s="5">
        <f>ROUND(IFERROR(IF($B728&lt;=0,0,
MAX(-$B728, -(-PMT(InterestRate/PaymentsPerYear,LoanTerm*PaymentsPerYear,LoanAmount) + $E728))), 0), 2)</f>
        <v>0</v>
      </c>
      <c r="G728" s="5">
        <f t="shared" si="46"/>
        <v>0</v>
      </c>
      <c r="H728" s="5">
        <f t="shared" si="47"/>
        <v>0</v>
      </c>
    </row>
    <row r="729" spans="1:8" x14ac:dyDescent="0.2">
      <c r="A729" s="2">
        <v>728</v>
      </c>
      <c r="B729" s="5">
        <f t="shared" si="44"/>
        <v>0</v>
      </c>
      <c r="C729" s="5">
        <f t="shared" si="45"/>
        <v>0</v>
      </c>
      <c r="D729" s="5"/>
      <c r="E729" s="5">
        <f>IF($B729 &lt;= 0, 0, -ROUND($B729 * (InterestRate / PaymentsPerYear), 2))</f>
        <v>0</v>
      </c>
      <c r="F729" s="5">
        <f>ROUND(IFERROR(IF($B729&lt;=0,0,
MAX(-$B729, -(-PMT(InterestRate/PaymentsPerYear,LoanTerm*PaymentsPerYear,LoanAmount) + $E729))), 0), 2)</f>
        <v>0</v>
      </c>
      <c r="G729" s="5">
        <f t="shared" si="46"/>
        <v>0</v>
      </c>
      <c r="H729" s="5">
        <f t="shared" si="47"/>
        <v>0</v>
      </c>
    </row>
    <row r="730" spans="1:8" x14ac:dyDescent="0.2">
      <c r="A730" s="2">
        <v>729</v>
      </c>
      <c r="B730" s="5">
        <f t="shared" si="44"/>
        <v>0</v>
      </c>
      <c r="C730" s="5">
        <f t="shared" si="45"/>
        <v>0</v>
      </c>
      <c r="D730" s="5"/>
      <c r="E730" s="5">
        <f>IF($B730 &lt;= 0, 0, -ROUND($B730 * (InterestRate / PaymentsPerYear), 2))</f>
        <v>0</v>
      </c>
      <c r="F730" s="5">
        <f>ROUND(IFERROR(IF($B730&lt;=0,0,
MAX(-$B730, -(-PMT(InterestRate/PaymentsPerYear,LoanTerm*PaymentsPerYear,LoanAmount) + $E730))), 0), 2)</f>
        <v>0</v>
      </c>
      <c r="G730" s="5">
        <f t="shared" si="46"/>
        <v>0</v>
      </c>
      <c r="H730" s="5">
        <f t="shared" si="47"/>
        <v>0</v>
      </c>
    </row>
    <row r="731" spans="1:8" x14ac:dyDescent="0.2">
      <c r="A731" s="2">
        <v>730</v>
      </c>
      <c r="B731" s="5">
        <f t="shared" si="44"/>
        <v>0</v>
      </c>
      <c r="C731" s="5">
        <f t="shared" si="45"/>
        <v>0</v>
      </c>
      <c r="D731" s="5"/>
      <c r="E731" s="5">
        <f>IF($B731 &lt;= 0, 0, -ROUND($B731 * (InterestRate / PaymentsPerYear), 2))</f>
        <v>0</v>
      </c>
      <c r="F731" s="5">
        <f>ROUND(IFERROR(IF($B731&lt;=0,0,
MAX(-$B731, -(-PMT(InterestRate/PaymentsPerYear,LoanTerm*PaymentsPerYear,LoanAmount) + $E731))), 0), 2)</f>
        <v>0</v>
      </c>
      <c r="G731" s="5">
        <f t="shared" si="46"/>
        <v>0</v>
      </c>
      <c r="H731" s="5">
        <f t="shared" si="47"/>
        <v>0</v>
      </c>
    </row>
    <row r="732" spans="1:8" x14ac:dyDescent="0.2">
      <c r="A732" s="2">
        <v>731</v>
      </c>
      <c r="B732" s="5">
        <f t="shared" si="44"/>
        <v>0</v>
      </c>
      <c r="C732" s="5">
        <f t="shared" si="45"/>
        <v>0</v>
      </c>
      <c r="D732" s="5"/>
      <c r="E732" s="5">
        <f>IF($B732 &lt;= 0, 0, -ROUND($B732 * (InterestRate / PaymentsPerYear), 2))</f>
        <v>0</v>
      </c>
      <c r="F732" s="5">
        <f>ROUND(IFERROR(IF($B732&lt;=0,0,
MAX(-$B732, -(-PMT(InterestRate/PaymentsPerYear,LoanTerm*PaymentsPerYear,LoanAmount) + $E732))), 0), 2)</f>
        <v>0</v>
      </c>
      <c r="G732" s="5">
        <f t="shared" si="46"/>
        <v>0</v>
      </c>
      <c r="H732" s="5">
        <f t="shared" si="47"/>
        <v>0</v>
      </c>
    </row>
    <row r="733" spans="1:8" x14ac:dyDescent="0.2">
      <c r="A733" s="2">
        <v>732</v>
      </c>
      <c r="B733" s="5">
        <f t="shared" si="44"/>
        <v>0</v>
      </c>
      <c r="C733" s="5">
        <f t="shared" si="45"/>
        <v>0</v>
      </c>
      <c r="D733" s="5"/>
      <c r="E733" s="5">
        <f>IF($B733 &lt;= 0, 0, -ROUND($B733 * (InterestRate / PaymentsPerYear), 2))</f>
        <v>0</v>
      </c>
      <c r="F733" s="5">
        <f>ROUND(IFERROR(IF($B733&lt;=0,0,
MAX(-$B733, -(-PMT(InterestRate/PaymentsPerYear,LoanTerm*PaymentsPerYear,LoanAmount) + $E733))), 0), 2)</f>
        <v>0</v>
      </c>
      <c r="G733" s="5">
        <f t="shared" si="46"/>
        <v>0</v>
      </c>
      <c r="H733" s="5">
        <f t="shared" si="47"/>
        <v>0</v>
      </c>
    </row>
    <row r="734" spans="1:8" x14ac:dyDescent="0.2">
      <c r="A734" s="2">
        <v>733</v>
      </c>
      <c r="B734" s="5">
        <f t="shared" si="44"/>
        <v>0</v>
      </c>
      <c r="C734" s="5">
        <f t="shared" si="45"/>
        <v>0</v>
      </c>
      <c r="D734" s="5"/>
      <c r="E734" s="5">
        <f>IF($B734 &lt;= 0, 0, -ROUND($B734 * (InterestRate / PaymentsPerYear), 2))</f>
        <v>0</v>
      </c>
      <c r="F734" s="5">
        <f>ROUND(IFERROR(IF($B734&lt;=0,0,
MAX(-$B734, -(-PMT(InterestRate/PaymentsPerYear,LoanTerm*PaymentsPerYear,LoanAmount) + $E734))), 0), 2)</f>
        <v>0</v>
      </c>
      <c r="G734" s="5">
        <f t="shared" si="46"/>
        <v>0</v>
      </c>
      <c r="H734" s="5">
        <f t="shared" si="47"/>
        <v>0</v>
      </c>
    </row>
    <row r="735" spans="1:8" x14ac:dyDescent="0.2">
      <c r="A735" s="2">
        <v>734</v>
      </c>
      <c r="B735" s="5">
        <f t="shared" si="44"/>
        <v>0</v>
      </c>
      <c r="C735" s="5">
        <f t="shared" si="45"/>
        <v>0</v>
      </c>
      <c r="D735" s="5"/>
      <c r="E735" s="5">
        <f>IF($B735 &lt;= 0, 0, -ROUND($B735 * (InterestRate / PaymentsPerYear), 2))</f>
        <v>0</v>
      </c>
      <c r="F735" s="5">
        <f>ROUND(IFERROR(IF($B735&lt;=0,0,
MAX(-$B735, -(-PMT(InterestRate/PaymentsPerYear,LoanTerm*PaymentsPerYear,LoanAmount) + $E735))), 0), 2)</f>
        <v>0</v>
      </c>
      <c r="G735" s="5">
        <f t="shared" si="46"/>
        <v>0</v>
      </c>
      <c r="H735" s="5">
        <f t="shared" si="47"/>
        <v>0</v>
      </c>
    </row>
    <row r="736" spans="1:8" x14ac:dyDescent="0.2">
      <c r="A736" s="2">
        <v>735</v>
      </c>
      <c r="B736" s="5">
        <f t="shared" si="44"/>
        <v>0</v>
      </c>
      <c r="C736" s="5">
        <f t="shared" si="45"/>
        <v>0</v>
      </c>
      <c r="D736" s="5"/>
      <c r="E736" s="5">
        <f>IF($B736 &lt;= 0, 0, -ROUND($B736 * (InterestRate / PaymentsPerYear), 2))</f>
        <v>0</v>
      </c>
      <c r="F736" s="5">
        <f>ROUND(IFERROR(IF($B736&lt;=0,0,
MAX(-$B736, -(-PMT(InterestRate/PaymentsPerYear,LoanTerm*PaymentsPerYear,LoanAmount) + $E736))), 0), 2)</f>
        <v>0</v>
      </c>
      <c r="G736" s="5">
        <f t="shared" si="46"/>
        <v>0</v>
      </c>
      <c r="H736" s="5">
        <f t="shared" si="47"/>
        <v>0</v>
      </c>
    </row>
    <row r="737" spans="1:8" x14ac:dyDescent="0.2">
      <c r="A737" s="2">
        <v>736</v>
      </c>
      <c r="B737" s="5">
        <f t="shared" si="44"/>
        <v>0</v>
      </c>
      <c r="C737" s="5">
        <f t="shared" si="45"/>
        <v>0</v>
      </c>
      <c r="D737" s="5"/>
      <c r="E737" s="5">
        <f>IF($B737 &lt;= 0, 0, -ROUND($B737 * (InterestRate / PaymentsPerYear), 2))</f>
        <v>0</v>
      </c>
      <c r="F737" s="5">
        <f>ROUND(IFERROR(IF($B737&lt;=0,0,
MAX(-$B737, -(-PMT(InterestRate/PaymentsPerYear,LoanTerm*PaymentsPerYear,LoanAmount) + $E737))), 0), 2)</f>
        <v>0</v>
      </c>
      <c r="G737" s="5">
        <f t="shared" si="46"/>
        <v>0</v>
      </c>
      <c r="H737" s="5">
        <f t="shared" si="47"/>
        <v>0</v>
      </c>
    </row>
    <row r="738" spans="1:8" x14ac:dyDescent="0.2">
      <c r="A738" s="2">
        <v>737</v>
      </c>
      <c r="B738" s="5">
        <f t="shared" si="44"/>
        <v>0</v>
      </c>
      <c r="C738" s="5">
        <f t="shared" si="45"/>
        <v>0</v>
      </c>
      <c r="D738" s="5"/>
      <c r="E738" s="5">
        <f>IF($B738 &lt;= 0, 0, -ROUND($B738 * (InterestRate / PaymentsPerYear), 2))</f>
        <v>0</v>
      </c>
      <c r="F738" s="5">
        <f>ROUND(IFERROR(IF($B738&lt;=0,0,
MAX(-$B738, -(-PMT(InterestRate/PaymentsPerYear,LoanTerm*PaymentsPerYear,LoanAmount) + $E738))), 0), 2)</f>
        <v>0</v>
      </c>
      <c r="G738" s="5">
        <f t="shared" si="46"/>
        <v>0</v>
      </c>
      <c r="H738" s="5">
        <f t="shared" si="47"/>
        <v>0</v>
      </c>
    </row>
    <row r="739" spans="1:8" x14ac:dyDescent="0.2">
      <c r="A739" s="2">
        <v>738</v>
      </c>
      <c r="B739" s="5">
        <f t="shared" si="44"/>
        <v>0</v>
      </c>
      <c r="C739" s="5">
        <f t="shared" si="45"/>
        <v>0</v>
      </c>
      <c r="D739" s="5"/>
      <c r="E739" s="5">
        <f>IF($B739 &lt;= 0, 0, -ROUND($B739 * (InterestRate / PaymentsPerYear), 2))</f>
        <v>0</v>
      </c>
      <c r="F739" s="5">
        <f>ROUND(IFERROR(IF($B739&lt;=0,0,
MAX(-$B739, -(-PMT(InterestRate/PaymentsPerYear,LoanTerm*PaymentsPerYear,LoanAmount) + $E739))), 0), 2)</f>
        <v>0</v>
      </c>
      <c r="G739" s="5">
        <f t="shared" si="46"/>
        <v>0</v>
      </c>
      <c r="H739" s="5">
        <f t="shared" si="47"/>
        <v>0</v>
      </c>
    </row>
    <row r="740" spans="1:8" x14ac:dyDescent="0.2">
      <c r="A740" s="2">
        <v>739</v>
      </c>
      <c r="B740" s="5">
        <f t="shared" si="44"/>
        <v>0</v>
      </c>
      <c r="C740" s="5">
        <f t="shared" si="45"/>
        <v>0</v>
      </c>
      <c r="D740" s="5"/>
      <c r="E740" s="5">
        <f>IF($B740 &lt;= 0, 0, -ROUND($B740 * (InterestRate / PaymentsPerYear), 2))</f>
        <v>0</v>
      </c>
      <c r="F740" s="5">
        <f>ROUND(IFERROR(IF($B740&lt;=0,0,
MAX(-$B740, -(-PMT(InterestRate/PaymentsPerYear,LoanTerm*PaymentsPerYear,LoanAmount) + $E740))), 0), 2)</f>
        <v>0</v>
      </c>
      <c r="G740" s="5">
        <f t="shared" si="46"/>
        <v>0</v>
      </c>
      <c r="H740" s="5">
        <f t="shared" si="47"/>
        <v>0</v>
      </c>
    </row>
    <row r="741" spans="1:8" x14ac:dyDescent="0.2">
      <c r="A741" s="2">
        <v>740</v>
      </c>
      <c r="B741" s="5">
        <f t="shared" si="44"/>
        <v>0</v>
      </c>
      <c r="C741" s="5">
        <f t="shared" si="45"/>
        <v>0</v>
      </c>
      <c r="D741" s="5"/>
      <c r="E741" s="5">
        <f>IF($B741 &lt;= 0, 0, -ROUND($B741 * (InterestRate / PaymentsPerYear), 2))</f>
        <v>0</v>
      </c>
      <c r="F741" s="5">
        <f>ROUND(IFERROR(IF($B741&lt;=0,0,
MAX(-$B741, -(-PMT(InterestRate/PaymentsPerYear,LoanTerm*PaymentsPerYear,LoanAmount) + $E741))), 0), 2)</f>
        <v>0</v>
      </c>
      <c r="G741" s="5">
        <f t="shared" si="46"/>
        <v>0</v>
      </c>
      <c r="H741" s="5">
        <f t="shared" si="47"/>
        <v>0</v>
      </c>
    </row>
    <row r="742" spans="1:8" x14ac:dyDescent="0.2">
      <c r="A742" s="2">
        <v>741</v>
      </c>
      <c r="B742" s="5">
        <f t="shared" si="44"/>
        <v>0</v>
      </c>
      <c r="C742" s="5">
        <f t="shared" si="45"/>
        <v>0</v>
      </c>
      <c r="D742" s="5"/>
      <c r="E742" s="5">
        <f>IF($B742 &lt;= 0, 0, -ROUND($B742 * (InterestRate / PaymentsPerYear), 2))</f>
        <v>0</v>
      </c>
      <c r="F742" s="5">
        <f>ROUND(IFERROR(IF($B742&lt;=0,0,
MAX(-$B742, -(-PMT(InterestRate/PaymentsPerYear,LoanTerm*PaymentsPerYear,LoanAmount) + $E742))), 0), 2)</f>
        <v>0</v>
      </c>
      <c r="G742" s="5">
        <f t="shared" si="46"/>
        <v>0</v>
      </c>
      <c r="H742" s="5">
        <f t="shared" si="47"/>
        <v>0</v>
      </c>
    </row>
    <row r="743" spans="1:8" x14ac:dyDescent="0.2">
      <c r="A743" s="2">
        <v>742</v>
      </c>
      <c r="B743" s="5">
        <f t="shared" si="44"/>
        <v>0</v>
      </c>
      <c r="C743" s="5">
        <f t="shared" si="45"/>
        <v>0</v>
      </c>
      <c r="D743" s="5"/>
      <c r="E743" s="5">
        <f>IF($B743 &lt;= 0, 0, -ROUND($B743 * (InterestRate / PaymentsPerYear), 2))</f>
        <v>0</v>
      </c>
      <c r="F743" s="5">
        <f>ROUND(IFERROR(IF($B743&lt;=0,0,
MAX(-$B743, -(-PMT(InterestRate/PaymentsPerYear,LoanTerm*PaymentsPerYear,LoanAmount) + $E743))), 0), 2)</f>
        <v>0</v>
      </c>
      <c r="G743" s="5">
        <f t="shared" si="46"/>
        <v>0</v>
      </c>
      <c r="H743" s="5">
        <f t="shared" si="47"/>
        <v>0</v>
      </c>
    </row>
    <row r="744" spans="1:8" x14ac:dyDescent="0.2">
      <c r="A744" s="2">
        <v>743</v>
      </c>
      <c r="B744" s="5">
        <f t="shared" si="44"/>
        <v>0</v>
      </c>
      <c r="C744" s="5">
        <f t="shared" si="45"/>
        <v>0</v>
      </c>
      <c r="D744" s="5"/>
      <c r="E744" s="5">
        <f>IF($B744 &lt;= 0, 0, -ROUND($B744 * (InterestRate / PaymentsPerYear), 2))</f>
        <v>0</v>
      </c>
      <c r="F744" s="5">
        <f>ROUND(IFERROR(IF($B744&lt;=0,0,
MAX(-$B744, -(-PMT(InterestRate/PaymentsPerYear,LoanTerm*PaymentsPerYear,LoanAmount) + $E744))), 0), 2)</f>
        <v>0</v>
      </c>
      <c r="G744" s="5">
        <f t="shared" si="46"/>
        <v>0</v>
      </c>
      <c r="H744" s="5">
        <f t="shared" si="47"/>
        <v>0</v>
      </c>
    </row>
    <row r="745" spans="1:8" x14ac:dyDescent="0.2">
      <c r="A745" s="2">
        <v>744</v>
      </c>
      <c r="B745" s="5">
        <f t="shared" si="44"/>
        <v>0</v>
      </c>
      <c r="C745" s="5">
        <f t="shared" si="45"/>
        <v>0</v>
      </c>
      <c r="D745" s="5"/>
      <c r="E745" s="5">
        <f>IF($B745 &lt;= 0, 0, -ROUND($B745 * (InterestRate / PaymentsPerYear), 2))</f>
        <v>0</v>
      </c>
      <c r="F745" s="5">
        <f>ROUND(IFERROR(IF($B745&lt;=0,0,
MAX(-$B745, -(-PMT(InterestRate/PaymentsPerYear,LoanTerm*PaymentsPerYear,LoanAmount) + $E745))), 0), 2)</f>
        <v>0</v>
      </c>
      <c r="G745" s="5">
        <f t="shared" si="46"/>
        <v>0</v>
      </c>
      <c r="H745" s="5">
        <f t="shared" si="47"/>
        <v>0</v>
      </c>
    </row>
    <row r="746" spans="1:8" x14ac:dyDescent="0.2">
      <c r="A746" s="2">
        <v>745</v>
      </c>
      <c r="B746" s="5">
        <f t="shared" si="44"/>
        <v>0</v>
      </c>
      <c r="C746" s="5">
        <f t="shared" si="45"/>
        <v>0</v>
      </c>
      <c r="D746" s="5"/>
      <c r="E746" s="5">
        <f>IF($B746 &lt;= 0, 0, -ROUND($B746 * (InterestRate / PaymentsPerYear), 2))</f>
        <v>0</v>
      </c>
      <c r="F746" s="5">
        <f>ROUND(IFERROR(IF($B746&lt;=0,0,
MAX(-$B746, -(-PMT(InterestRate/PaymentsPerYear,LoanTerm*PaymentsPerYear,LoanAmount) + $E746))), 0), 2)</f>
        <v>0</v>
      </c>
      <c r="G746" s="5">
        <f t="shared" si="46"/>
        <v>0</v>
      </c>
      <c r="H746" s="5">
        <f t="shared" si="47"/>
        <v>0</v>
      </c>
    </row>
    <row r="747" spans="1:8" x14ac:dyDescent="0.2">
      <c r="A747" s="2">
        <v>746</v>
      </c>
      <c r="B747" s="5">
        <f t="shared" si="44"/>
        <v>0</v>
      </c>
      <c r="C747" s="5">
        <f t="shared" si="45"/>
        <v>0</v>
      </c>
      <c r="D747" s="5"/>
      <c r="E747" s="5">
        <f>IF($B747 &lt;= 0, 0, -ROUND($B747 * (InterestRate / PaymentsPerYear), 2))</f>
        <v>0</v>
      </c>
      <c r="F747" s="5">
        <f>ROUND(IFERROR(IF($B747&lt;=0,0,
MAX(-$B747, -(-PMT(InterestRate/PaymentsPerYear,LoanTerm*PaymentsPerYear,LoanAmount) + $E747))), 0), 2)</f>
        <v>0</v>
      </c>
      <c r="G747" s="5">
        <f t="shared" si="46"/>
        <v>0</v>
      </c>
      <c r="H747" s="5">
        <f t="shared" si="47"/>
        <v>0</v>
      </c>
    </row>
    <row r="748" spans="1:8" x14ac:dyDescent="0.2">
      <c r="A748" s="2">
        <v>747</v>
      </c>
      <c r="B748" s="5">
        <f t="shared" si="44"/>
        <v>0</v>
      </c>
      <c r="C748" s="5">
        <f t="shared" si="45"/>
        <v>0</v>
      </c>
      <c r="D748" s="5"/>
      <c r="E748" s="5">
        <f>IF($B748 &lt;= 0, 0, -ROUND($B748 * (InterestRate / PaymentsPerYear), 2))</f>
        <v>0</v>
      </c>
      <c r="F748" s="5">
        <f>ROUND(IFERROR(IF($B748&lt;=0,0,
MAX(-$B748, -(-PMT(InterestRate/PaymentsPerYear,LoanTerm*PaymentsPerYear,LoanAmount) + $E748))), 0), 2)</f>
        <v>0</v>
      </c>
      <c r="G748" s="5">
        <f t="shared" si="46"/>
        <v>0</v>
      </c>
      <c r="H748" s="5">
        <f t="shared" si="47"/>
        <v>0</v>
      </c>
    </row>
    <row r="749" spans="1:8" x14ac:dyDescent="0.2">
      <c r="A749" s="2">
        <v>748</v>
      </c>
      <c r="B749" s="5">
        <f t="shared" si="44"/>
        <v>0</v>
      </c>
      <c r="C749" s="5">
        <f t="shared" si="45"/>
        <v>0</v>
      </c>
      <c r="D749" s="5"/>
      <c r="E749" s="5">
        <f>IF($B749 &lt;= 0, 0, -ROUND($B749 * (InterestRate / PaymentsPerYear), 2))</f>
        <v>0</v>
      </c>
      <c r="F749" s="5">
        <f>ROUND(IFERROR(IF($B749&lt;=0,0,
MAX(-$B749, -(-PMT(InterestRate/PaymentsPerYear,LoanTerm*PaymentsPerYear,LoanAmount) + $E749))), 0), 2)</f>
        <v>0</v>
      </c>
      <c r="G749" s="5">
        <f t="shared" si="46"/>
        <v>0</v>
      </c>
      <c r="H749" s="5">
        <f t="shared" si="47"/>
        <v>0</v>
      </c>
    </row>
    <row r="750" spans="1:8" x14ac:dyDescent="0.2">
      <c r="A750" s="2">
        <v>749</v>
      </c>
      <c r="B750" s="5">
        <f t="shared" si="44"/>
        <v>0</v>
      </c>
      <c r="C750" s="5">
        <f t="shared" si="45"/>
        <v>0</v>
      </c>
      <c r="D750" s="5"/>
      <c r="E750" s="5">
        <f>IF($B750 &lt;= 0, 0, -ROUND($B750 * (InterestRate / PaymentsPerYear), 2))</f>
        <v>0</v>
      </c>
      <c r="F750" s="5">
        <f>ROUND(IFERROR(IF($B750&lt;=0,0,
MAX(-$B750, -(-PMT(InterestRate/PaymentsPerYear,LoanTerm*PaymentsPerYear,LoanAmount) + $E750))), 0), 2)</f>
        <v>0</v>
      </c>
      <c r="G750" s="5">
        <f t="shared" si="46"/>
        <v>0</v>
      </c>
      <c r="H750" s="5">
        <f t="shared" si="47"/>
        <v>0</v>
      </c>
    </row>
    <row r="751" spans="1:8" x14ac:dyDescent="0.2">
      <c r="A751" s="2">
        <v>750</v>
      </c>
      <c r="B751" s="5">
        <f t="shared" si="44"/>
        <v>0</v>
      </c>
      <c r="C751" s="5">
        <f t="shared" si="45"/>
        <v>0</v>
      </c>
      <c r="D751" s="5"/>
      <c r="E751" s="5">
        <f>IF($B751 &lt;= 0, 0, -ROUND($B751 * (InterestRate / PaymentsPerYear), 2))</f>
        <v>0</v>
      </c>
      <c r="F751" s="5">
        <f>ROUND(IFERROR(IF($B751&lt;=0,0,
MAX(-$B751, -(-PMT(InterestRate/PaymentsPerYear,LoanTerm*PaymentsPerYear,LoanAmount) + $E751))), 0), 2)</f>
        <v>0</v>
      </c>
      <c r="G751" s="5">
        <f t="shared" si="46"/>
        <v>0</v>
      </c>
      <c r="H751" s="5">
        <f t="shared" si="47"/>
        <v>0</v>
      </c>
    </row>
    <row r="752" spans="1:8" x14ac:dyDescent="0.2">
      <c r="A752" s="2">
        <v>751</v>
      </c>
      <c r="B752" s="5">
        <f t="shared" si="44"/>
        <v>0</v>
      </c>
      <c r="C752" s="5">
        <f t="shared" si="45"/>
        <v>0</v>
      </c>
      <c r="D752" s="5"/>
      <c r="E752" s="5">
        <f>IF($B752 &lt;= 0, 0, -ROUND($B752 * (InterestRate / PaymentsPerYear), 2))</f>
        <v>0</v>
      </c>
      <c r="F752" s="5">
        <f>ROUND(IFERROR(IF($B752&lt;=0,0,
MAX(-$B752, -(-PMT(InterestRate/PaymentsPerYear,LoanTerm*PaymentsPerYear,LoanAmount) + $E752))), 0), 2)</f>
        <v>0</v>
      </c>
      <c r="G752" s="5">
        <f t="shared" si="46"/>
        <v>0</v>
      </c>
      <c r="H752" s="5">
        <f t="shared" si="47"/>
        <v>0</v>
      </c>
    </row>
    <row r="753" spans="1:8" x14ac:dyDescent="0.2">
      <c r="A753" s="2">
        <v>752</v>
      </c>
      <c r="B753" s="5">
        <f t="shared" si="44"/>
        <v>0</v>
      </c>
      <c r="C753" s="5">
        <f t="shared" si="45"/>
        <v>0</v>
      </c>
      <c r="D753" s="5"/>
      <c r="E753" s="5">
        <f>IF($B753 &lt;= 0, 0, -ROUND($B753 * (InterestRate / PaymentsPerYear), 2))</f>
        <v>0</v>
      </c>
      <c r="F753" s="5">
        <f>ROUND(IFERROR(IF($B753&lt;=0,0,
MAX(-$B753, -(-PMT(InterestRate/PaymentsPerYear,LoanTerm*PaymentsPerYear,LoanAmount) + $E753))), 0), 2)</f>
        <v>0</v>
      </c>
      <c r="G753" s="5">
        <f t="shared" si="46"/>
        <v>0</v>
      </c>
      <c r="H753" s="5">
        <f t="shared" si="47"/>
        <v>0</v>
      </c>
    </row>
    <row r="754" spans="1:8" x14ac:dyDescent="0.2">
      <c r="A754" s="2">
        <v>753</v>
      </c>
      <c r="B754" s="5">
        <f t="shared" si="44"/>
        <v>0</v>
      </c>
      <c r="C754" s="5">
        <f t="shared" si="45"/>
        <v>0</v>
      </c>
      <c r="D754" s="5"/>
      <c r="E754" s="5">
        <f>IF($B754 &lt;= 0, 0, -ROUND($B754 * (InterestRate / PaymentsPerYear), 2))</f>
        <v>0</v>
      </c>
      <c r="F754" s="5">
        <f>ROUND(IFERROR(IF($B754&lt;=0,0,
MAX(-$B754, -(-PMT(InterestRate/PaymentsPerYear,LoanTerm*PaymentsPerYear,LoanAmount) + $E754))), 0), 2)</f>
        <v>0</v>
      </c>
      <c r="G754" s="5">
        <f t="shared" si="46"/>
        <v>0</v>
      </c>
      <c r="H754" s="5">
        <f t="shared" si="47"/>
        <v>0</v>
      </c>
    </row>
    <row r="755" spans="1:8" x14ac:dyDescent="0.2">
      <c r="A755" s="2">
        <v>754</v>
      </c>
      <c r="B755" s="5">
        <f t="shared" si="44"/>
        <v>0</v>
      </c>
      <c r="C755" s="5">
        <f t="shared" si="45"/>
        <v>0</v>
      </c>
      <c r="D755" s="5"/>
      <c r="E755" s="5">
        <f>IF($B755 &lt;= 0, 0, -ROUND($B755 * (InterestRate / PaymentsPerYear), 2))</f>
        <v>0</v>
      </c>
      <c r="F755" s="5">
        <f>ROUND(IFERROR(IF($B755&lt;=0,0,
MAX(-$B755, -(-PMT(InterestRate/PaymentsPerYear,LoanTerm*PaymentsPerYear,LoanAmount) + $E755))), 0), 2)</f>
        <v>0</v>
      </c>
      <c r="G755" s="5">
        <f t="shared" si="46"/>
        <v>0</v>
      </c>
      <c r="H755" s="5">
        <f t="shared" si="47"/>
        <v>0</v>
      </c>
    </row>
    <row r="756" spans="1:8" x14ac:dyDescent="0.2">
      <c r="A756" s="2">
        <v>755</v>
      </c>
      <c r="B756" s="5">
        <f t="shared" si="44"/>
        <v>0</v>
      </c>
      <c r="C756" s="5">
        <f t="shared" si="45"/>
        <v>0</v>
      </c>
      <c r="D756" s="5"/>
      <c r="E756" s="5">
        <f>IF($B756 &lt;= 0, 0, -ROUND($B756 * (InterestRate / PaymentsPerYear), 2))</f>
        <v>0</v>
      </c>
      <c r="F756" s="5">
        <f>ROUND(IFERROR(IF($B756&lt;=0,0,
MAX(-$B756, -(-PMT(InterestRate/PaymentsPerYear,LoanTerm*PaymentsPerYear,LoanAmount) + $E756))), 0), 2)</f>
        <v>0</v>
      </c>
      <c r="G756" s="5">
        <f t="shared" si="46"/>
        <v>0</v>
      </c>
      <c r="H756" s="5">
        <f t="shared" si="47"/>
        <v>0</v>
      </c>
    </row>
    <row r="757" spans="1:8" x14ac:dyDescent="0.2">
      <c r="A757" s="2">
        <v>756</v>
      </c>
      <c r="B757" s="5">
        <f t="shared" si="44"/>
        <v>0</v>
      </c>
      <c r="C757" s="5">
        <f t="shared" si="45"/>
        <v>0</v>
      </c>
      <c r="D757" s="5"/>
      <c r="E757" s="5">
        <f>IF($B757 &lt;= 0, 0, -ROUND($B757 * (InterestRate / PaymentsPerYear), 2))</f>
        <v>0</v>
      </c>
      <c r="F757" s="5">
        <f>ROUND(IFERROR(IF($B757&lt;=0,0,
MAX(-$B757, -(-PMT(InterestRate/PaymentsPerYear,LoanTerm*PaymentsPerYear,LoanAmount) + $E757))), 0), 2)</f>
        <v>0</v>
      </c>
      <c r="G757" s="5">
        <f t="shared" si="46"/>
        <v>0</v>
      </c>
      <c r="H757" s="5">
        <f t="shared" si="47"/>
        <v>0</v>
      </c>
    </row>
    <row r="758" spans="1:8" x14ac:dyDescent="0.2">
      <c r="A758" s="2">
        <v>757</v>
      </c>
      <c r="B758" s="5">
        <f t="shared" si="44"/>
        <v>0</v>
      </c>
      <c r="C758" s="5">
        <f t="shared" si="45"/>
        <v>0</v>
      </c>
      <c r="D758" s="5"/>
      <c r="E758" s="5">
        <f>IF($B758 &lt;= 0, 0, -ROUND($B758 * (InterestRate / PaymentsPerYear), 2))</f>
        <v>0</v>
      </c>
      <c r="F758" s="5">
        <f>ROUND(IFERROR(IF($B758&lt;=0,0,
MAX(-$B758, -(-PMT(InterestRate/PaymentsPerYear,LoanTerm*PaymentsPerYear,LoanAmount) + $E758))), 0), 2)</f>
        <v>0</v>
      </c>
      <c r="G758" s="5">
        <f t="shared" si="46"/>
        <v>0</v>
      </c>
      <c r="H758" s="5">
        <f t="shared" si="47"/>
        <v>0</v>
      </c>
    </row>
    <row r="759" spans="1:8" x14ac:dyDescent="0.2">
      <c r="A759" s="2">
        <v>758</v>
      </c>
      <c r="B759" s="5">
        <f t="shared" si="44"/>
        <v>0</v>
      </c>
      <c r="C759" s="5">
        <f t="shared" si="45"/>
        <v>0</v>
      </c>
      <c r="D759" s="5"/>
      <c r="E759" s="5">
        <f>IF($B759 &lt;= 0, 0, -ROUND($B759 * (InterestRate / PaymentsPerYear), 2))</f>
        <v>0</v>
      </c>
      <c r="F759" s="5">
        <f>ROUND(IFERROR(IF($B759&lt;=0,0,
MAX(-$B759, -(-PMT(InterestRate/PaymentsPerYear,LoanTerm*PaymentsPerYear,LoanAmount) + $E759))), 0), 2)</f>
        <v>0</v>
      </c>
      <c r="G759" s="5">
        <f t="shared" si="46"/>
        <v>0</v>
      </c>
      <c r="H759" s="5">
        <f t="shared" si="47"/>
        <v>0</v>
      </c>
    </row>
    <row r="760" spans="1:8" x14ac:dyDescent="0.2">
      <c r="A760" s="2">
        <v>759</v>
      </c>
      <c r="B760" s="5">
        <f t="shared" si="44"/>
        <v>0</v>
      </c>
      <c r="C760" s="5">
        <f t="shared" si="45"/>
        <v>0</v>
      </c>
      <c r="D760" s="5"/>
      <c r="E760" s="5">
        <f>IF($B760 &lt;= 0, 0, -ROUND($B760 * (InterestRate / PaymentsPerYear), 2))</f>
        <v>0</v>
      </c>
      <c r="F760" s="5">
        <f>ROUND(IFERROR(IF($B760&lt;=0,0,
MAX(-$B760, -(-PMT(InterestRate/PaymentsPerYear,LoanTerm*PaymentsPerYear,LoanAmount) + $E760))), 0), 2)</f>
        <v>0</v>
      </c>
      <c r="G760" s="5">
        <f t="shared" si="46"/>
        <v>0</v>
      </c>
      <c r="H760" s="5">
        <f t="shared" si="47"/>
        <v>0</v>
      </c>
    </row>
    <row r="761" spans="1:8" x14ac:dyDescent="0.2">
      <c r="A761" s="2">
        <v>760</v>
      </c>
      <c r="B761" s="5">
        <f t="shared" si="44"/>
        <v>0</v>
      </c>
      <c r="C761" s="5">
        <f t="shared" si="45"/>
        <v>0</v>
      </c>
      <c r="D761" s="5"/>
      <c r="E761" s="5">
        <f>IF($B761 &lt;= 0, 0, -ROUND($B761 * (InterestRate / PaymentsPerYear), 2))</f>
        <v>0</v>
      </c>
      <c r="F761" s="5">
        <f>ROUND(IFERROR(IF($B761&lt;=0,0,
MAX(-$B761, -(-PMT(InterestRate/PaymentsPerYear,LoanTerm*PaymentsPerYear,LoanAmount) + $E761))), 0), 2)</f>
        <v>0</v>
      </c>
      <c r="G761" s="5">
        <f t="shared" si="46"/>
        <v>0</v>
      </c>
      <c r="H761" s="5">
        <f t="shared" si="47"/>
        <v>0</v>
      </c>
    </row>
    <row r="762" spans="1:8" x14ac:dyDescent="0.2">
      <c r="A762" s="2">
        <v>761</v>
      </c>
      <c r="B762" s="5">
        <f t="shared" si="44"/>
        <v>0</v>
      </c>
      <c r="C762" s="5">
        <f t="shared" si="45"/>
        <v>0</v>
      </c>
      <c r="D762" s="5"/>
      <c r="E762" s="5">
        <f>IF($B762 &lt;= 0, 0, -ROUND($B762 * (InterestRate / PaymentsPerYear), 2))</f>
        <v>0</v>
      </c>
      <c r="F762" s="5">
        <f>ROUND(IFERROR(IF($B762&lt;=0,0,
MAX(-$B762, -(-PMT(InterestRate/PaymentsPerYear,LoanTerm*PaymentsPerYear,LoanAmount) + $E762))), 0), 2)</f>
        <v>0</v>
      </c>
      <c r="G762" s="5">
        <f t="shared" si="46"/>
        <v>0</v>
      </c>
      <c r="H762" s="5">
        <f t="shared" si="47"/>
        <v>0</v>
      </c>
    </row>
    <row r="763" spans="1:8" x14ac:dyDescent="0.2">
      <c r="A763" s="2">
        <v>762</v>
      </c>
      <c r="B763" s="5">
        <f t="shared" si="44"/>
        <v>0</v>
      </c>
      <c r="C763" s="5">
        <f t="shared" si="45"/>
        <v>0</v>
      </c>
      <c r="D763" s="5"/>
      <c r="E763" s="5">
        <f>IF($B763 &lt;= 0, 0, -ROUND($B763 * (InterestRate / PaymentsPerYear), 2))</f>
        <v>0</v>
      </c>
      <c r="F763" s="5">
        <f>ROUND(IFERROR(IF($B763&lt;=0,0,
MAX(-$B763, -(-PMT(InterestRate/PaymentsPerYear,LoanTerm*PaymentsPerYear,LoanAmount) + $E763))), 0), 2)</f>
        <v>0</v>
      </c>
      <c r="G763" s="5">
        <f t="shared" si="46"/>
        <v>0</v>
      </c>
      <c r="H763" s="5">
        <f t="shared" si="47"/>
        <v>0</v>
      </c>
    </row>
    <row r="764" spans="1:8" x14ac:dyDescent="0.2">
      <c r="A764" s="2">
        <v>763</v>
      </c>
      <c r="B764" s="5">
        <f t="shared" si="44"/>
        <v>0</v>
      </c>
      <c r="C764" s="5">
        <f t="shared" si="45"/>
        <v>0</v>
      </c>
      <c r="D764" s="5"/>
      <c r="E764" s="5">
        <f>IF($B764 &lt;= 0, 0, -ROUND($B764 * (InterestRate / PaymentsPerYear), 2))</f>
        <v>0</v>
      </c>
      <c r="F764" s="5">
        <f>ROUND(IFERROR(IF($B764&lt;=0,0,
MAX(-$B764, -(-PMT(InterestRate/PaymentsPerYear,LoanTerm*PaymentsPerYear,LoanAmount) + $E764))), 0), 2)</f>
        <v>0</v>
      </c>
      <c r="G764" s="5">
        <f t="shared" si="46"/>
        <v>0</v>
      </c>
      <c r="H764" s="5">
        <f t="shared" si="47"/>
        <v>0</v>
      </c>
    </row>
    <row r="765" spans="1:8" x14ac:dyDescent="0.2">
      <c r="A765" s="2">
        <v>764</v>
      </c>
      <c r="B765" s="5">
        <f t="shared" si="44"/>
        <v>0</v>
      </c>
      <c r="C765" s="5">
        <f t="shared" si="45"/>
        <v>0</v>
      </c>
      <c r="D765" s="5"/>
      <c r="E765" s="5">
        <f>IF($B765 &lt;= 0, 0, -ROUND($B765 * (InterestRate / PaymentsPerYear), 2))</f>
        <v>0</v>
      </c>
      <c r="F765" s="5">
        <f>ROUND(IFERROR(IF($B765&lt;=0,0,
MAX(-$B765, -(-PMT(InterestRate/PaymentsPerYear,LoanTerm*PaymentsPerYear,LoanAmount) + $E765))), 0), 2)</f>
        <v>0</v>
      </c>
      <c r="G765" s="5">
        <f t="shared" si="46"/>
        <v>0</v>
      </c>
      <c r="H765" s="5">
        <f t="shared" si="47"/>
        <v>0</v>
      </c>
    </row>
    <row r="766" spans="1:8" x14ac:dyDescent="0.2">
      <c r="A766" s="2">
        <v>765</v>
      </c>
      <c r="B766" s="5">
        <f t="shared" si="44"/>
        <v>0</v>
      </c>
      <c r="C766" s="5">
        <f t="shared" si="45"/>
        <v>0</v>
      </c>
      <c r="D766" s="5"/>
      <c r="E766" s="5">
        <f>IF($B766 &lt;= 0, 0, -ROUND($B766 * (InterestRate / PaymentsPerYear), 2))</f>
        <v>0</v>
      </c>
      <c r="F766" s="5">
        <f>ROUND(IFERROR(IF($B766&lt;=0,0,
MAX(-$B766, -(-PMT(InterestRate/PaymentsPerYear,LoanTerm*PaymentsPerYear,LoanAmount) + $E766))), 0), 2)</f>
        <v>0</v>
      </c>
      <c r="G766" s="5">
        <f t="shared" si="46"/>
        <v>0</v>
      </c>
      <c r="H766" s="5">
        <f t="shared" si="47"/>
        <v>0</v>
      </c>
    </row>
    <row r="767" spans="1:8" x14ac:dyDescent="0.2">
      <c r="A767" s="2">
        <v>766</v>
      </c>
      <c r="B767" s="5">
        <f t="shared" si="44"/>
        <v>0</v>
      </c>
      <c r="C767" s="5">
        <f t="shared" si="45"/>
        <v>0</v>
      </c>
      <c r="D767" s="5"/>
      <c r="E767" s="5">
        <f>IF($B767 &lt;= 0, 0, -ROUND($B767 * (InterestRate / PaymentsPerYear), 2))</f>
        <v>0</v>
      </c>
      <c r="F767" s="5">
        <f>ROUND(IFERROR(IF($B767&lt;=0,0,
MAX(-$B767, -(-PMT(InterestRate/PaymentsPerYear,LoanTerm*PaymentsPerYear,LoanAmount) + $E767))), 0), 2)</f>
        <v>0</v>
      </c>
      <c r="G767" s="5">
        <f t="shared" si="46"/>
        <v>0</v>
      </c>
      <c r="H767" s="5">
        <f t="shared" si="47"/>
        <v>0</v>
      </c>
    </row>
    <row r="768" spans="1:8" x14ac:dyDescent="0.2">
      <c r="A768" s="2">
        <v>767</v>
      </c>
      <c r="B768" s="5">
        <f t="shared" si="44"/>
        <v>0</v>
      </c>
      <c r="C768" s="5">
        <f t="shared" si="45"/>
        <v>0</v>
      </c>
      <c r="D768" s="5"/>
      <c r="E768" s="5">
        <f>IF($B768 &lt;= 0, 0, -ROUND($B768 * (InterestRate / PaymentsPerYear), 2))</f>
        <v>0</v>
      </c>
      <c r="F768" s="5">
        <f>ROUND(IFERROR(IF($B768&lt;=0,0,
MAX(-$B768, -(-PMT(InterestRate/PaymentsPerYear,LoanTerm*PaymentsPerYear,LoanAmount) + $E768))), 0), 2)</f>
        <v>0</v>
      </c>
      <c r="G768" s="5">
        <f t="shared" si="46"/>
        <v>0</v>
      </c>
      <c r="H768" s="5">
        <f t="shared" si="47"/>
        <v>0</v>
      </c>
    </row>
    <row r="769" spans="1:8" x14ac:dyDescent="0.2">
      <c r="A769" s="2">
        <v>768</v>
      </c>
      <c r="B769" s="5">
        <f t="shared" si="44"/>
        <v>0</v>
      </c>
      <c r="C769" s="5">
        <f t="shared" si="45"/>
        <v>0</v>
      </c>
      <c r="D769" s="5"/>
      <c r="E769" s="5">
        <f>IF($B769 &lt;= 0, 0, -ROUND($B769 * (InterestRate / PaymentsPerYear), 2))</f>
        <v>0</v>
      </c>
      <c r="F769" s="5">
        <f>ROUND(IFERROR(IF($B769&lt;=0,0,
MAX(-$B769, -(-PMT(InterestRate/PaymentsPerYear,LoanTerm*PaymentsPerYear,LoanAmount) + $E769))), 0), 2)</f>
        <v>0</v>
      </c>
      <c r="G769" s="5">
        <f t="shared" si="46"/>
        <v>0</v>
      </c>
      <c r="H769" s="5">
        <f t="shared" si="47"/>
        <v>0</v>
      </c>
    </row>
    <row r="770" spans="1:8" x14ac:dyDescent="0.2">
      <c r="A770" s="2">
        <v>769</v>
      </c>
      <c r="B770" s="5">
        <f t="shared" si="44"/>
        <v>0</v>
      </c>
      <c r="C770" s="5">
        <f t="shared" si="45"/>
        <v>0</v>
      </c>
      <c r="D770" s="5"/>
      <c r="E770" s="5">
        <f>IF($B770 &lt;= 0, 0, -ROUND($B770 * (InterestRate / PaymentsPerYear), 2))</f>
        <v>0</v>
      </c>
      <c r="F770" s="5">
        <f>ROUND(IFERROR(IF($B770&lt;=0,0,
MAX(-$B770, -(-PMT(InterestRate/PaymentsPerYear,LoanTerm*PaymentsPerYear,LoanAmount) + $E770))), 0), 2)</f>
        <v>0</v>
      </c>
      <c r="G770" s="5">
        <f t="shared" si="46"/>
        <v>0</v>
      </c>
      <c r="H770" s="5">
        <f t="shared" si="47"/>
        <v>0</v>
      </c>
    </row>
    <row r="771" spans="1:8" x14ac:dyDescent="0.2">
      <c r="A771" s="2">
        <v>770</v>
      </c>
      <c r="B771" s="5">
        <f t="shared" si="44"/>
        <v>0</v>
      </c>
      <c r="C771" s="5">
        <f t="shared" si="45"/>
        <v>0</v>
      </c>
      <c r="D771" s="5"/>
      <c r="E771" s="5">
        <f>IF($B771 &lt;= 0, 0, -ROUND($B771 * (InterestRate / PaymentsPerYear), 2))</f>
        <v>0</v>
      </c>
      <c r="F771" s="5">
        <f>ROUND(IFERROR(IF($B771&lt;=0,0,
MAX(-$B771, -(-PMT(InterestRate/PaymentsPerYear,LoanTerm*PaymentsPerYear,LoanAmount) + $E771))), 0), 2)</f>
        <v>0</v>
      </c>
      <c r="G771" s="5">
        <f t="shared" si="46"/>
        <v>0</v>
      </c>
      <c r="H771" s="5">
        <f t="shared" si="47"/>
        <v>0</v>
      </c>
    </row>
    <row r="772" spans="1:8" x14ac:dyDescent="0.2">
      <c r="A772" s="2">
        <v>771</v>
      </c>
      <c r="B772" s="5">
        <f t="shared" ref="B772:B835" si="48">ROUND(IF($H771 &gt;= 0, MAX($H771, $F771), 0), 2)</f>
        <v>0</v>
      </c>
      <c r="C772" s="5">
        <f t="shared" ref="C772:C835" si="49">IF($B772 &lt;= 0, 0, $E772+$F772)</f>
        <v>0</v>
      </c>
      <c r="D772" s="5"/>
      <c r="E772" s="5">
        <f>IF($B772 &lt;= 0, 0, -ROUND($B772 * (InterestRate / PaymentsPerYear), 2))</f>
        <v>0</v>
      </c>
      <c r="F772" s="5">
        <f>ROUND(IFERROR(IF($B772&lt;=0,0,
MAX(-$B772, -(-PMT(InterestRate/PaymentsPerYear,LoanTerm*PaymentsPerYear,LoanAmount) + $E772))), 0), 2)</f>
        <v>0</v>
      </c>
      <c r="G772" s="5">
        <f t="shared" ref="G772:G835" si="50">$F772</f>
        <v>0</v>
      </c>
      <c r="H772" s="5">
        <f t="shared" ref="H772:H835" si="51">ROUND(IF($B772 &lt;= 0, 0,MAX(0, $B772 + $G772)), 2)</f>
        <v>0</v>
      </c>
    </row>
    <row r="773" spans="1:8" x14ac:dyDescent="0.2">
      <c r="A773" s="2">
        <v>772</v>
      </c>
      <c r="B773" s="5">
        <f t="shared" si="48"/>
        <v>0</v>
      </c>
      <c r="C773" s="5">
        <f t="shared" si="49"/>
        <v>0</v>
      </c>
      <c r="D773" s="5"/>
      <c r="E773" s="5">
        <f>IF($B773 &lt;= 0, 0, -ROUND($B773 * (InterestRate / PaymentsPerYear), 2))</f>
        <v>0</v>
      </c>
      <c r="F773" s="5">
        <f>ROUND(IFERROR(IF($B773&lt;=0,0,
MAX(-$B773, -(-PMT(InterestRate/PaymentsPerYear,LoanTerm*PaymentsPerYear,LoanAmount) + $E773))), 0), 2)</f>
        <v>0</v>
      </c>
      <c r="G773" s="5">
        <f t="shared" si="50"/>
        <v>0</v>
      </c>
      <c r="H773" s="5">
        <f t="shared" si="51"/>
        <v>0</v>
      </c>
    </row>
    <row r="774" spans="1:8" x14ac:dyDescent="0.2">
      <c r="A774" s="2">
        <v>773</v>
      </c>
      <c r="B774" s="5">
        <f t="shared" si="48"/>
        <v>0</v>
      </c>
      <c r="C774" s="5">
        <f t="shared" si="49"/>
        <v>0</v>
      </c>
      <c r="D774" s="5"/>
      <c r="E774" s="5">
        <f>IF($B774 &lt;= 0, 0, -ROUND($B774 * (InterestRate / PaymentsPerYear), 2))</f>
        <v>0</v>
      </c>
      <c r="F774" s="5">
        <f>ROUND(IFERROR(IF($B774&lt;=0,0,
MAX(-$B774, -(-PMT(InterestRate/PaymentsPerYear,LoanTerm*PaymentsPerYear,LoanAmount) + $E774))), 0), 2)</f>
        <v>0</v>
      </c>
      <c r="G774" s="5">
        <f t="shared" si="50"/>
        <v>0</v>
      </c>
      <c r="H774" s="5">
        <f t="shared" si="51"/>
        <v>0</v>
      </c>
    </row>
    <row r="775" spans="1:8" x14ac:dyDescent="0.2">
      <c r="A775" s="2">
        <v>774</v>
      </c>
      <c r="B775" s="5">
        <f t="shared" si="48"/>
        <v>0</v>
      </c>
      <c r="C775" s="5">
        <f t="shared" si="49"/>
        <v>0</v>
      </c>
      <c r="D775" s="5"/>
      <c r="E775" s="5">
        <f>IF($B775 &lt;= 0, 0, -ROUND($B775 * (InterestRate / PaymentsPerYear), 2))</f>
        <v>0</v>
      </c>
      <c r="F775" s="5">
        <f>ROUND(IFERROR(IF($B775&lt;=0,0,
MAX(-$B775, -(-PMT(InterestRate/PaymentsPerYear,LoanTerm*PaymentsPerYear,LoanAmount) + $E775))), 0), 2)</f>
        <v>0</v>
      </c>
      <c r="G775" s="5">
        <f t="shared" si="50"/>
        <v>0</v>
      </c>
      <c r="H775" s="5">
        <f t="shared" si="51"/>
        <v>0</v>
      </c>
    </row>
    <row r="776" spans="1:8" x14ac:dyDescent="0.2">
      <c r="A776" s="2">
        <v>775</v>
      </c>
      <c r="B776" s="5">
        <f t="shared" si="48"/>
        <v>0</v>
      </c>
      <c r="C776" s="5">
        <f t="shared" si="49"/>
        <v>0</v>
      </c>
      <c r="D776" s="5"/>
      <c r="E776" s="5">
        <f>IF($B776 &lt;= 0, 0, -ROUND($B776 * (InterestRate / PaymentsPerYear), 2))</f>
        <v>0</v>
      </c>
      <c r="F776" s="5">
        <f>ROUND(IFERROR(IF($B776&lt;=0,0,
MAX(-$B776, -(-PMT(InterestRate/PaymentsPerYear,LoanTerm*PaymentsPerYear,LoanAmount) + $E776))), 0), 2)</f>
        <v>0</v>
      </c>
      <c r="G776" s="5">
        <f t="shared" si="50"/>
        <v>0</v>
      </c>
      <c r="H776" s="5">
        <f t="shared" si="51"/>
        <v>0</v>
      </c>
    </row>
    <row r="777" spans="1:8" x14ac:dyDescent="0.2">
      <c r="A777" s="2">
        <v>776</v>
      </c>
      <c r="B777" s="5">
        <f t="shared" si="48"/>
        <v>0</v>
      </c>
      <c r="C777" s="5">
        <f t="shared" si="49"/>
        <v>0</v>
      </c>
      <c r="D777" s="5"/>
      <c r="E777" s="5">
        <f>IF($B777 &lt;= 0, 0, -ROUND($B777 * (InterestRate / PaymentsPerYear), 2))</f>
        <v>0</v>
      </c>
      <c r="F777" s="5">
        <f>ROUND(IFERROR(IF($B777&lt;=0,0,
MAX(-$B777, -(-PMT(InterestRate/PaymentsPerYear,LoanTerm*PaymentsPerYear,LoanAmount) + $E777))), 0), 2)</f>
        <v>0</v>
      </c>
      <c r="G777" s="5">
        <f t="shared" si="50"/>
        <v>0</v>
      </c>
      <c r="H777" s="5">
        <f t="shared" si="51"/>
        <v>0</v>
      </c>
    </row>
    <row r="778" spans="1:8" x14ac:dyDescent="0.2">
      <c r="A778" s="2">
        <v>777</v>
      </c>
      <c r="B778" s="5">
        <f t="shared" si="48"/>
        <v>0</v>
      </c>
      <c r="C778" s="5">
        <f t="shared" si="49"/>
        <v>0</v>
      </c>
      <c r="D778" s="5"/>
      <c r="E778" s="5">
        <f>IF($B778 &lt;= 0, 0, -ROUND($B778 * (InterestRate / PaymentsPerYear), 2))</f>
        <v>0</v>
      </c>
      <c r="F778" s="5">
        <f>ROUND(IFERROR(IF($B778&lt;=0,0,
MAX(-$B778, -(-PMT(InterestRate/PaymentsPerYear,LoanTerm*PaymentsPerYear,LoanAmount) + $E778))), 0), 2)</f>
        <v>0</v>
      </c>
      <c r="G778" s="5">
        <f t="shared" si="50"/>
        <v>0</v>
      </c>
      <c r="H778" s="5">
        <f t="shared" si="51"/>
        <v>0</v>
      </c>
    </row>
    <row r="779" spans="1:8" x14ac:dyDescent="0.2">
      <c r="A779" s="2">
        <v>778</v>
      </c>
      <c r="B779" s="5">
        <f t="shared" si="48"/>
        <v>0</v>
      </c>
      <c r="C779" s="5">
        <f t="shared" si="49"/>
        <v>0</v>
      </c>
      <c r="D779" s="5"/>
      <c r="E779" s="5">
        <f>IF($B779 &lt;= 0, 0, -ROUND($B779 * (InterestRate / PaymentsPerYear), 2))</f>
        <v>0</v>
      </c>
      <c r="F779" s="5">
        <f>ROUND(IFERROR(IF($B779&lt;=0,0,
MAX(-$B779, -(-PMT(InterestRate/PaymentsPerYear,LoanTerm*PaymentsPerYear,LoanAmount) + $E779))), 0), 2)</f>
        <v>0</v>
      </c>
      <c r="G779" s="5">
        <f t="shared" si="50"/>
        <v>0</v>
      </c>
      <c r="H779" s="5">
        <f t="shared" si="51"/>
        <v>0</v>
      </c>
    </row>
    <row r="780" spans="1:8" x14ac:dyDescent="0.2">
      <c r="A780" s="2">
        <v>779</v>
      </c>
      <c r="B780" s="5">
        <f t="shared" si="48"/>
        <v>0</v>
      </c>
      <c r="C780" s="5">
        <f t="shared" si="49"/>
        <v>0</v>
      </c>
      <c r="D780" s="5"/>
      <c r="E780" s="5">
        <f>IF($B780 &lt;= 0, 0, -ROUND($B780 * (InterestRate / PaymentsPerYear), 2))</f>
        <v>0</v>
      </c>
      <c r="F780" s="5">
        <f>ROUND(IFERROR(IF($B780&lt;=0,0,
MAX(-$B780, -(-PMT(InterestRate/PaymentsPerYear,LoanTerm*PaymentsPerYear,LoanAmount) + $E780))), 0), 2)</f>
        <v>0</v>
      </c>
      <c r="G780" s="5">
        <f t="shared" si="50"/>
        <v>0</v>
      </c>
      <c r="H780" s="5">
        <f t="shared" si="51"/>
        <v>0</v>
      </c>
    </row>
    <row r="781" spans="1:8" x14ac:dyDescent="0.2">
      <c r="A781" s="2">
        <v>780</v>
      </c>
      <c r="B781" s="5">
        <f t="shared" si="48"/>
        <v>0</v>
      </c>
      <c r="C781" s="5">
        <f t="shared" si="49"/>
        <v>0</v>
      </c>
      <c r="D781" s="5"/>
      <c r="E781" s="5">
        <f>IF($B781 &lt;= 0, 0, -ROUND($B781 * (InterestRate / PaymentsPerYear), 2))</f>
        <v>0</v>
      </c>
      <c r="F781" s="5">
        <f>ROUND(IFERROR(IF($B781&lt;=0,0,
MAX(-$B781, -(-PMT(InterestRate/PaymentsPerYear,LoanTerm*PaymentsPerYear,LoanAmount) + $E781))), 0), 2)</f>
        <v>0</v>
      </c>
      <c r="G781" s="5">
        <f t="shared" si="50"/>
        <v>0</v>
      </c>
      <c r="H781" s="5">
        <f t="shared" si="51"/>
        <v>0</v>
      </c>
    </row>
    <row r="782" spans="1:8" x14ac:dyDescent="0.2">
      <c r="A782" s="2">
        <v>781</v>
      </c>
      <c r="B782" s="5">
        <f t="shared" si="48"/>
        <v>0</v>
      </c>
      <c r="C782" s="5">
        <f t="shared" si="49"/>
        <v>0</v>
      </c>
      <c r="D782" s="5"/>
      <c r="E782" s="5">
        <f>IF($B782 &lt;= 0, 0, -ROUND($B782 * (InterestRate / PaymentsPerYear), 2))</f>
        <v>0</v>
      </c>
      <c r="F782" s="5">
        <f>ROUND(IFERROR(IF($B782&lt;=0,0,
MAX(-$B782, -(-PMT(InterestRate/PaymentsPerYear,LoanTerm*PaymentsPerYear,LoanAmount) + $E782))), 0), 2)</f>
        <v>0</v>
      </c>
      <c r="G782" s="5">
        <f t="shared" si="50"/>
        <v>0</v>
      </c>
      <c r="H782" s="5">
        <f t="shared" si="51"/>
        <v>0</v>
      </c>
    </row>
    <row r="783" spans="1:8" x14ac:dyDescent="0.2">
      <c r="A783" s="2">
        <v>782</v>
      </c>
      <c r="B783" s="5">
        <f t="shared" si="48"/>
        <v>0</v>
      </c>
      <c r="C783" s="5">
        <f t="shared" si="49"/>
        <v>0</v>
      </c>
      <c r="D783" s="5"/>
      <c r="E783" s="5">
        <f>IF($B783 &lt;= 0, 0, -ROUND($B783 * (InterestRate / PaymentsPerYear), 2))</f>
        <v>0</v>
      </c>
      <c r="F783" s="5">
        <f>ROUND(IFERROR(IF($B783&lt;=0,0,
MAX(-$B783, -(-PMT(InterestRate/PaymentsPerYear,LoanTerm*PaymentsPerYear,LoanAmount) + $E783))), 0), 2)</f>
        <v>0</v>
      </c>
      <c r="G783" s="5">
        <f t="shared" si="50"/>
        <v>0</v>
      </c>
      <c r="H783" s="5">
        <f t="shared" si="51"/>
        <v>0</v>
      </c>
    </row>
    <row r="784" spans="1:8" x14ac:dyDescent="0.2">
      <c r="A784" s="2">
        <v>783</v>
      </c>
      <c r="B784" s="5">
        <f t="shared" si="48"/>
        <v>0</v>
      </c>
      <c r="C784" s="5">
        <f t="shared" si="49"/>
        <v>0</v>
      </c>
      <c r="D784" s="5"/>
      <c r="E784" s="5">
        <f>IF($B784 &lt;= 0, 0, -ROUND($B784 * (InterestRate / PaymentsPerYear), 2))</f>
        <v>0</v>
      </c>
      <c r="F784" s="5">
        <f>ROUND(IFERROR(IF($B784&lt;=0,0,
MAX(-$B784, -(-PMT(InterestRate/PaymentsPerYear,LoanTerm*PaymentsPerYear,LoanAmount) + $E784))), 0), 2)</f>
        <v>0</v>
      </c>
      <c r="G784" s="5">
        <f t="shared" si="50"/>
        <v>0</v>
      </c>
      <c r="H784" s="5">
        <f t="shared" si="51"/>
        <v>0</v>
      </c>
    </row>
    <row r="785" spans="1:8" x14ac:dyDescent="0.2">
      <c r="A785" s="2">
        <v>784</v>
      </c>
      <c r="B785" s="5">
        <f t="shared" si="48"/>
        <v>0</v>
      </c>
      <c r="C785" s="5">
        <f t="shared" si="49"/>
        <v>0</v>
      </c>
      <c r="D785" s="5"/>
      <c r="E785" s="5">
        <f>IF($B785 &lt;= 0, 0, -ROUND($B785 * (InterestRate / PaymentsPerYear), 2))</f>
        <v>0</v>
      </c>
      <c r="F785" s="5">
        <f>ROUND(IFERROR(IF($B785&lt;=0,0,
MAX(-$B785, -(-PMT(InterestRate/PaymentsPerYear,LoanTerm*PaymentsPerYear,LoanAmount) + $E785))), 0), 2)</f>
        <v>0</v>
      </c>
      <c r="G785" s="5">
        <f t="shared" si="50"/>
        <v>0</v>
      </c>
      <c r="H785" s="5">
        <f t="shared" si="51"/>
        <v>0</v>
      </c>
    </row>
    <row r="786" spans="1:8" x14ac:dyDescent="0.2">
      <c r="A786" s="2">
        <v>785</v>
      </c>
      <c r="B786" s="5">
        <f t="shared" si="48"/>
        <v>0</v>
      </c>
      <c r="C786" s="5">
        <f t="shared" si="49"/>
        <v>0</v>
      </c>
      <c r="D786" s="5"/>
      <c r="E786" s="5">
        <f>IF($B786 &lt;= 0, 0, -ROUND($B786 * (InterestRate / PaymentsPerYear), 2))</f>
        <v>0</v>
      </c>
      <c r="F786" s="5">
        <f>ROUND(IFERROR(IF($B786&lt;=0,0,
MAX(-$B786, -(-PMT(InterestRate/PaymentsPerYear,LoanTerm*PaymentsPerYear,LoanAmount) + $E786))), 0), 2)</f>
        <v>0</v>
      </c>
      <c r="G786" s="5">
        <f t="shared" si="50"/>
        <v>0</v>
      </c>
      <c r="H786" s="5">
        <f t="shared" si="51"/>
        <v>0</v>
      </c>
    </row>
    <row r="787" spans="1:8" x14ac:dyDescent="0.2">
      <c r="A787" s="2">
        <v>786</v>
      </c>
      <c r="B787" s="5">
        <f t="shared" si="48"/>
        <v>0</v>
      </c>
      <c r="C787" s="5">
        <f t="shared" si="49"/>
        <v>0</v>
      </c>
      <c r="D787" s="5"/>
      <c r="E787" s="5">
        <f>IF($B787 &lt;= 0, 0, -ROUND($B787 * (InterestRate / PaymentsPerYear), 2))</f>
        <v>0</v>
      </c>
      <c r="F787" s="5">
        <f>ROUND(IFERROR(IF($B787&lt;=0,0,
MAX(-$B787, -(-PMT(InterestRate/PaymentsPerYear,LoanTerm*PaymentsPerYear,LoanAmount) + $E787))), 0), 2)</f>
        <v>0</v>
      </c>
      <c r="G787" s="5">
        <f t="shared" si="50"/>
        <v>0</v>
      </c>
      <c r="H787" s="5">
        <f t="shared" si="51"/>
        <v>0</v>
      </c>
    </row>
    <row r="788" spans="1:8" x14ac:dyDescent="0.2">
      <c r="A788" s="2">
        <v>787</v>
      </c>
      <c r="B788" s="5">
        <f t="shared" si="48"/>
        <v>0</v>
      </c>
      <c r="C788" s="5">
        <f t="shared" si="49"/>
        <v>0</v>
      </c>
      <c r="D788" s="5"/>
      <c r="E788" s="5">
        <f>IF($B788 &lt;= 0, 0, -ROUND($B788 * (InterestRate / PaymentsPerYear), 2))</f>
        <v>0</v>
      </c>
      <c r="F788" s="5">
        <f>ROUND(IFERROR(IF($B788&lt;=0,0,
MAX(-$B788, -(-PMT(InterestRate/PaymentsPerYear,LoanTerm*PaymentsPerYear,LoanAmount) + $E788))), 0), 2)</f>
        <v>0</v>
      </c>
      <c r="G788" s="5">
        <f t="shared" si="50"/>
        <v>0</v>
      </c>
      <c r="H788" s="5">
        <f t="shared" si="51"/>
        <v>0</v>
      </c>
    </row>
    <row r="789" spans="1:8" x14ac:dyDescent="0.2">
      <c r="A789" s="2">
        <v>788</v>
      </c>
      <c r="B789" s="5">
        <f t="shared" si="48"/>
        <v>0</v>
      </c>
      <c r="C789" s="5">
        <f t="shared" si="49"/>
        <v>0</v>
      </c>
      <c r="D789" s="5"/>
      <c r="E789" s="5">
        <f>IF($B789 &lt;= 0, 0, -ROUND($B789 * (InterestRate / PaymentsPerYear), 2))</f>
        <v>0</v>
      </c>
      <c r="F789" s="5">
        <f>ROUND(IFERROR(IF($B789&lt;=0,0,
MAX(-$B789, -(-PMT(InterestRate/PaymentsPerYear,LoanTerm*PaymentsPerYear,LoanAmount) + $E789))), 0), 2)</f>
        <v>0</v>
      </c>
      <c r="G789" s="5">
        <f t="shared" si="50"/>
        <v>0</v>
      </c>
      <c r="H789" s="5">
        <f t="shared" si="51"/>
        <v>0</v>
      </c>
    </row>
    <row r="790" spans="1:8" x14ac:dyDescent="0.2">
      <c r="A790" s="2">
        <v>789</v>
      </c>
      <c r="B790" s="5">
        <f t="shared" si="48"/>
        <v>0</v>
      </c>
      <c r="C790" s="5">
        <f t="shared" si="49"/>
        <v>0</v>
      </c>
      <c r="D790" s="5"/>
      <c r="E790" s="5">
        <f>IF($B790 &lt;= 0, 0, -ROUND($B790 * (InterestRate / PaymentsPerYear), 2))</f>
        <v>0</v>
      </c>
      <c r="F790" s="5">
        <f>ROUND(IFERROR(IF($B790&lt;=0,0,
MAX(-$B790, -(-PMT(InterestRate/PaymentsPerYear,LoanTerm*PaymentsPerYear,LoanAmount) + $E790))), 0), 2)</f>
        <v>0</v>
      </c>
      <c r="G790" s="5">
        <f t="shared" si="50"/>
        <v>0</v>
      </c>
      <c r="H790" s="5">
        <f t="shared" si="51"/>
        <v>0</v>
      </c>
    </row>
    <row r="791" spans="1:8" x14ac:dyDescent="0.2">
      <c r="A791" s="2">
        <v>790</v>
      </c>
      <c r="B791" s="5">
        <f t="shared" si="48"/>
        <v>0</v>
      </c>
      <c r="C791" s="5">
        <f t="shared" si="49"/>
        <v>0</v>
      </c>
      <c r="D791" s="5"/>
      <c r="E791" s="5">
        <f>IF($B791 &lt;= 0, 0, -ROUND($B791 * (InterestRate / PaymentsPerYear), 2))</f>
        <v>0</v>
      </c>
      <c r="F791" s="5">
        <f>ROUND(IFERROR(IF($B791&lt;=0,0,
MAX(-$B791, -(-PMT(InterestRate/PaymentsPerYear,LoanTerm*PaymentsPerYear,LoanAmount) + $E791))), 0), 2)</f>
        <v>0</v>
      </c>
      <c r="G791" s="5">
        <f t="shared" si="50"/>
        <v>0</v>
      </c>
      <c r="H791" s="5">
        <f t="shared" si="51"/>
        <v>0</v>
      </c>
    </row>
    <row r="792" spans="1:8" x14ac:dyDescent="0.2">
      <c r="A792" s="2">
        <v>791</v>
      </c>
      <c r="B792" s="5">
        <f t="shared" si="48"/>
        <v>0</v>
      </c>
      <c r="C792" s="5">
        <f t="shared" si="49"/>
        <v>0</v>
      </c>
      <c r="D792" s="5"/>
      <c r="E792" s="5">
        <f>IF($B792 &lt;= 0, 0, -ROUND($B792 * (InterestRate / PaymentsPerYear), 2))</f>
        <v>0</v>
      </c>
      <c r="F792" s="5">
        <f>ROUND(IFERROR(IF($B792&lt;=0,0,
MAX(-$B792, -(-PMT(InterestRate/PaymentsPerYear,LoanTerm*PaymentsPerYear,LoanAmount) + $E792))), 0), 2)</f>
        <v>0</v>
      </c>
      <c r="G792" s="5">
        <f t="shared" si="50"/>
        <v>0</v>
      </c>
      <c r="H792" s="5">
        <f t="shared" si="51"/>
        <v>0</v>
      </c>
    </row>
    <row r="793" spans="1:8" x14ac:dyDescent="0.2">
      <c r="A793" s="2">
        <v>792</v>
      </c>
      <c r="B793" s="5">
        <f t="shared" si="48"/>
        <v>0</v>
      </c>
      <c r="C793" s="5">
        <f t="shared" si="49"/>
        <v>0</v>
      </c>
      <c r="D793" s="5"/>
      <c r="E793" s="5">
        <f>IF($B793 &lt;= 0, 0, -ROUND($B793 * (InterestRate / PaymentsPerYear), 2))</f>
        <v>0</v>
      </c>
      <c r="F793" s="5">
        <f>ROUND(IFERROR(IF($B793&lt;=0,0,
MAX(-$B793, -(-PMT(InterestRate/PaymentsPerYear,LoanTerm*PaymentsPerYear,LoanAmount) + $E793))), 0), 2)</f>
        <v>0</v>
      </c>
      <c r="G793" s="5">
        <f t="shared" si="50"/>
        <v>0</v>
      </c>
      <c r="H793" s="5">
        <f t="shared" si="51"/>
        <v>0</v>
      </c>
    </row>
    <row r="794" spans="1:8" x14ac:dyDescent="0.2">
      <c r="A794" s="2">
        <v>793</v>
      </c>
      <c r="B794" s="5">
        <f t="shared" si="48"/>
        <v>0</v>
      </c>
      <c r="C794" s="5">
        <f t="shared" si="49"/>
        <v>0</v>
      </c>
      <c r="D794" s="5"/>
      <c r="E794" s="5">
        <f>IF($B794 &lt;= 0, 0, -ROUND($B794 * (InterestRate / PaymentsPerYear), 2))</f>
        <v>0</v>
      </c>
      <c r="F794" s="5">
        <f>ROUND(IFERROR(IF($B794&lt;=0,0,
MAX(-$B794, -(-PMT(InterestRate/PaymentsPerYear,LoanTerm*PaymentsPerYear,LoanAmount) + $E794))), 0), 2)</f>
        <v>0</v>
      </c>
      <c r="G794" s="5">
        <f t="shared" si="50"/>
        <v>0</v>
      </c>
      <c r="H794" s="5">
        <f t="shared" si="51"/>
        <v>0</v>
      </c>
    </row>
    <row r="795" spans="1:8" x14ac:dyDescent="0.2">
      <c r="A795" s="2">
        <v>794</v>
      </c>
      <c r="B795" s="5">
        <f t="shared" si="48"/>
        <v>0</v>
      </c>
      <c r="C795" s="5">
        <f t="shared" si="49"/>
        <v>0</v>
      </c>
      <c r="D795" s="5"/>
      <c r="E795" s="5">
        <f>IF($B795 &lt;= 0, 0, -ROUND($B795 * (InterestRate / PaymentsPerYear), 2))</f>
        <v>0</v>
      </c>
      <c r="F795" s="5">
        <f>ROUND(IFERROR(IF($B795&lt;=0,0,
MAX(-$B795, -(-PMT(InterestRate/PaymentsPerYear,LoanTerm*PaymentsPerYear,LoanAmount) + $E795))), 0), 2)</f>
        <v>0</v>
      </c>
      <c r="G795" s="5">
        <f t="shared" si="50"/>
        <v>0</v>
      </c>
      <c r="H795" s="5">
        <f t="shared" si="51"/>
        <v>0</v>
      </c>
    </row>
    <row r="796" spans="1:8" x14ac:dyDescent="0.2">
      <c r="A796" s="2">
        <v>795</v>
      </c>
      <c r="B796" s="5">
        <f t="shared" si="48"/>
        <v>0</v>
      </c>
      <c r="C796" s="5">
        <f t="shared" si="49"/>
        <v>0</v>
      </c>
      <c r="D796" s="5"/>
      <c r="E796" s="5">
        <f>IF($B796 &lt;= 0, 0, -ROUND($B796 * (InterestRate / PaymentsPerYear), 2))</f>
        <v>0</v>
      </c>
      <c r="F796" s="5">
        <f>ROUND(IFERROR(IF($B796&lt;=0,0,
MAX(-$B796, -(-PMT(InterestRate/PaymentsPerYear,LoanTerm*PaymentsPerYear,LoanAmount) + $E796))), 0), 2)</f>
        <v>0</v>
      </c>
      <c r="G796" s="5">
        <f t="shared" si="50"/>
        <v>0</v>
      </c>
      <c r="H796" s="5">
        <f t="shared" si="51"/>
        <v>0</v>
      </c>
    </row>
    <row r="797" spans="1:8" x14ac:dyDescent="0.2">
      <c r="A797" s="2">
        <v>796</v>
      </c>
      <c r="B797" s="5">
        <f t="shared" si="48"/>
        <v>0</v>
      </c>
      <c r="C797" s="5">
        <f t="shared" si="49"/>
        <v>0</v>
      </c>
      <c r="D797" s="5"/>
      <c r="E797" s="5">
        <f>IF($B797 &lt;= 0, 0, -ROUND($B797 * (InterestRate / PaymentsPerYear), 2))</f>
        <v>0</v>
      </c>
      <c r="F797" s="5">
        <f>ROUND(IFERROR(IF($B797&lt;=0,0,
MAX(-$B797, -(-PMT(InterestRate/PaymentsPerYear,LoanTerm*PaymentsPerYear,LoanAmount) + $E797))), 0), 2)</f>
        <v>0</v>
      </c>
      <c r="G797" s="5">
        <f t="shared" si="50"/>
        <v>0</v>
      </c>
      <c r="H797" s="5">
        <f t="shared" si="51"/>
        <v>0</v>
      </c>
    </row>
    <row r="798" spans="1:8" x14ac:dyDescent="0.2">
      <c r="A798" s="2">
        <v>797</v>
      </c>
      <c r="B798" s="5">
        <f t="shared" si="48"/>
        <v>0</v>
      </c>
      <c r="C798" s="5">
        <f t="shared" si="49"/>
        <v>0</v>
      </c>
      <c r="D798" s="5"/>
      <c r="E798" s="5">
        <f>IF($B798 &lt;= 0, 0, -ROUND($B798 * (InterestRate / PaymentsPerYear), 2))</f>
        <v>0</v>
      </c>
      <c r="F798" s="5">
        <f>ROUND(IFERROR(IF($B798&lt;=0,0,
MAX(-$B798, -(-PMT(InterestRate/PaymentsPerYear,LoanTerm*PaymentsPerYear,LoanAmount) + $E798))), 0), 2)</f>
        <v>0</v>
      </c>
      <c r="G798" s="5">
        <f t="shared" si="50"/>
        <v>0</v>
      </c>
      <c r="H798" s="5">
        <f t="shared" si="51"/>
        <v>0</v>
      </c>
    </row>
    <row r="799" spans="1:8" x14ac:dyDescent="0.2">
      <c r="A799" s="2">
        <v>798</v>
      </c>
      <c r="B799" s="5">
        <f t="shared" si="48"/>
        <v>0</v>
      </c>
      <c r="C799" s="5">
        <f t="shared" si="49"/>
        <v>0</v>
      </c>
      <c r="D799" s="5"/>
      <c r="E799" s="5">
        <f>IF($B799 &lt;= 0, 0, -ROUND($B799 * (InterestRate / PaymentsPerYear), 2))</f>
        <v>0</v>
      </c>
      <c r="F799" s="5">
        <f>ROUND(IFERROR(IF($B799&lt;=0,0,
MAX(-$B799, -(-PMT(InterestRate/PaymentsPerYear,LoanTerm*PaymentsPerYear,LoanAmount) + $E799))), 0), 2)</f>
        <v>0</v>
      </c>
      <c r="G799" s="5">
        <f t="shared" si="50"/>
        <v>0</v>
      </c>
      <c r="H799" s="5">
        <f t="shared" si="51"/>
        <v>0</v>
      </c>
    </row>
    <row r="800" spans="1:8" x14ac:dyDescent="0.2">
      <c r="A800" s="2">
        <v>799</v>
      </c>
      <c r="B800" s="5">
        <f t="shared" si="48"/>
        <v>0</v>
      </c>
      <c r="C800" s="5">
        <f t="shared" si="49"/>
        <v>0</v>
      </c>
      <c r="D800" s="5"/>
      <c r="E800" s="5">
        <f>IF($B800 &lt;= 0, 0, -ROUND($B800 * (InterestRate / PaymentsPerYear), 2))</f>
        <v>0</v>
      </c>
      <c r="F800" s="5">
        <f>ROUND(IFERROR(IF($B800&lt;=0,0,
MAX(-$B800, -(-PMT(InterestRate/PaymentsPerYear,LoanTerm*PaymentsPerYear,LoanAmount) + $E800))), 0), 2)</f>
        <v>0</v>
      </c>
      <c r="G800" s="5">
        <f t="shared" si="50"/>
        <v>0</v>
      </c>
      <c r="H800" s="5">
        <f t="shared" si="51"/>
        <v>0</v>
      </c>
    </row>
    <row r="801" spans="1:8" x14ac:dyDescent="0.2">
      <c r="A801" s="2">
        <v>800</v>
      </c>
      <c r="B801" s="5">
        <f t="shared" si="48"/>
        <v>0</v>
      </c>
      <c r="C801" s="5">
        <f t="shared" si="49"/>
        <v>0</v>
      </c>
      <c r="D801" s="5"/>
      <c r="E801" s="5">
        <f>IF($B801 &lt;= 0, 0, -ROUND($B801 * (InterestRate / PaymentsPerYear), 2))</f>
        <v>0</v>
      </c>
      <c r="F801" s="5">
        <f>ROUND(IFERROR(IF($B801&lt;=0,0,
MAX(-$B801, -(-PMT(InterestRate/PaymentsPerYear,LoanTerm*PaymentsPerYear,LoanAmount) + $E801))), 0), 2)</f>
        <v>0</v>
      </c>
      <c r="G801" s="5">
        <f t="shared" si="50"/>
        <v>0</v>
      </c>
      <c r="H801" s="5">
        <f t="shared" si="51"/>
        <v>0</v>
      </c>
    </row>
    <row r="802" spans="1:8" x14ac:dyDescent="0.2">
      <c r="A802" s="2">
        <v>801</v>
      </c>
      <c r="B802" s="5">
        <f t="shared" si="48"/>
        <v>0</v>
      </c>
      <c r="C802" s="5">
        <f t="shared" si="49"/>
        <v>0</v>
      </c>
      <c r="D802" s="5"/>
      <c r="E802" s="5">
        <f>IF($B802 &lt;= 0, 0, -ROUND($B802 * (InterestRate / PaymentsPerYear), 2))</f>
        <v>0</v>
      </c>
      <c r="F802" s="5">
        <f>ROUND(IFERROR(IF($B802&lt;=0,0,
MAX(-$B802, -(-PMT(InterestRate/PaymentsPerYear,LoanTerm*PaymentsPerYear,LoanAmount) + $E802))), 0), 2)</f>
        <v>0</v>
      </c>
      <c r="G802" s="5">
        <f t="shared" si="50"/>
        <v>0</v>
      </c>
      <c r="H802" s="5">
        <f t="shared" si="51"/>
        <v>0</v>
      </c>
    </row>
    <row r="803" spans="1:8" x14ac:dyDescent="0.2">
      <c r="A803" s="2">
        <v>802</v>
      </c>
      <c r="B803" s="5">
        <f t="shared" si="48"/>
        <v>0</v>
      </c>
      <c r="C803" s="5">
        <f t="shared" si="49"/>
        <v>0</v>
      </c>
      <c r="D803" s="5"/>
      <c r="E803" s="5">
        <f>IF($B803 &lt;= 0, 0, -ROUND($B803 * (InterestRate / PaymentsPerYear), 2))</f>
        <v>0</v>
      </c>
      <c r="F803" s="5">
        <f>ROUND(IFERROR(IF($B803&lt;=0,0,
MAX(-$B803, -(-PMT(InterestRate/PaymentsPerYear,LoanTerm*PaymentsPerYear,LoanAmount) + $E803))), 0), 2)</f>
        <v>0</v>
      </c>
      <c r="G803" s="5">
        <f t="shared" si="50"/>
        <v>0</v>
      </c>
      <c r="H803" s="5">
        <f t="shared" si="51"/>
        <v>0</v>
      </c>
    </row>
    <row r="804" spans="1:8" x14ac:dyDescent="0.2">
      <c r="A804" s="2">
        <v>803</v>
      </c>
      <c r="B804" s="5">
        <f t="shared" si="48"/>
        <v>0</v>
      </c>
      <c r="C804" s="5">
        <f t="shared" si="49"/>
        <v>0</v>
      </c>
      <c r="D804" s="5"/>
      <c r="E804" s="5">
        <f>IF($B804 &lt;= 0, 0, -ROUND($B804 * (InterestRate / PaymentsPerYear), 2))</f>
        <v>0</v>
      </c>
      <c r="F804" s="5">
        <f>ROUND(IFERROR(IF($B804&lt;=0,0,
MAX(-$B804, -(-PMT(InterestRate/PaymentsPerYear,LoanTerm*PaymentsPerYear,LoanAmount) + $E804))), 0), 2)</f>
        <v>0</v>
      </c>
      <c r="G804" s="5">
        <f t="shared" si="50"/>
        <v>0</v>
      </c>
      <c r="H804" s="5">
        <f t="shared" si="51"/>
        <v>0</v>
      </c>
    </row>
    <row r="805" spans="1:8" x14ac:dyDescent="0.2">
      <c r="A805" s="2">
        <v>804</v>
      </c>
      <c r="B805" s="5">
        <f t="shared" si="48"/>
        <v>0</v>
      </c>
      <c r="C805" s="5">
        <f t="shared" si="49"/>
        <v>0</v>
      </c>
      <c r="D805" s="5"/>
      <c r="E805" s="5">
        <f>IF($B805 &lt;= 0, 0, -ROUND($B805 * (InterestRate / PaymentsPerYear), 2))</f>
        <v>0</v>
      </c>
      <c r="F805" s="5">
        <f>ROUND(IFERROR(IF($B805&lt;=0,0,
MAX(-$B805, -(-PMT(InterestRate/PaymentsPerYear,LoanTerm*PaymentsPerYear,LoanAmount) + $E805))), 0), 2)</f>
        <v>0</v>
      </c>
      <c r="G805" s="5">
        <f t="shared" si="50"/>
        <v>0</v>
      </c>
      <c r="H805" s="5">
        <f t="shared" si="51"/>
        <v>0</v>
      </c>
    </row>
    <row r="806" spans="1:8" x14ac:dyDescent="0.2">
      <c r="A806" s="2">
        <v>805</v>
      </c>
      <c r="B806" s="5">
        <f t="shared" si="48"/>
        <v>0</v>
      </c>
      <c r="C806" s="5">
        <f t="shared" si="49"/>
        <v>0</v>
      </c>
      <c r="D806" s="5"/>
      <c r="E806" s="5">
        <f>IF($B806 &lt;= 0, 0, -ROUND($B806 * (InterestRate / PaymentsPerYear), 2))</f>
        <v>0</v>
      </c>
      <c r="F806" s="5">
        <f>ROUND(IFERROR(IF($B806&lt;=0,0,
MAX(-$B806, -(-PMT(InterestRate/PaymentsPerYear,LoanTerm*PaymentsPerYear,LoanAmount) + $E806))), 0), 2)</f>
        <v>0</v>
      </c>
      <c r="G806" s="5">
        <f t="shared" si="50"/>
        <v>0</v>
      </c>
      <c r="H806" s="5">
        <f t="shared" si="51"/>
        <v>0</v>
      </c>
    </row>
    <row r="807" spans="1:8" x14ac:dyDescent="0.2">
      <c r="A807" s="2">
        <v>806</v>
      </c>
      <c r="B807" s="5">
        <f t="shared" si="48"/>
        <v>0</v>
      </c>
      <c r="C807" s="5">
        <f t="shared" si="49"/>
        <v>0</v>
      </c>
      <c r="D807" s="5"/>
      <c r="E807" s="5">
        <f>IF($B807 &lt;= 0, 0, -ROUND($B807 * (InterestRate / PaymentsPerYear), 2))</f>
        <v>0</v>
      </c>
      <c r="F807" s="5">
        <f>ROUND(IFERROR(IF($B807&lt;=0,0,
MAX(-$B807, -(-PMT(InterestRate/PaymentsPerYear,LoanTerm*PaymentsPerYear,LoanAmount) + $E807))), 0), 2)</f>
        <v>0</v>
      </c>
      <c r="G807" s="5">
        <f t="shared" si="50"/>
        <v>0</v>
      </c>
      <c r="H807" s="5">
        <f t="shared" si="51"/>
        <v>0</v>
      </c>
    </row>
    <row r="808" spans="1:8" x14ac:dyDescent="0.2">
      <c r="A808" s="2">
        <v>807</v>
      </c>
      <c r="B808" s="5">
        <f t="shared" si="48"/>
        <v>0</v>
      </c>
      <c r="C808" s="5">
        <f t="shared" si="49"/>
        <v>0</v>
      </c>
      <c r="D808" s="5"/>
      <c r="E808" s="5">
        <f>IF($B808 &lt;= 0, 0, -ROUND($B808 * (InterestRate / PaymentsPerYear), 2))</f>
        <v>0</v>
      </c>
      <c r="F808" s="5">
        <f>ROUND(IFERROR(IF($B808&lt;=0,0,
MAX(-$B808, -(-PMT(InterestRate/PaymentsPerYear,LoanTerm*PaymentsPerYear,LoanAmount) + $E808))), 0), 2)</f>
        <v>0</v>
      </c>
      <c r="G808" s="5">
        <f t="shared" si="50"/>
        <v>0</v>
      </c>
      <c r="H808" s="5">
        <f t="shared" si="51"/>
        <v>0</v>
      </c>
    </row>
    <row r="809" spans="1:8" x14ac:dyDescent="0.2">
      <c r="A809" s="2">
        <v>808</v>
      </c>
      <c r="B809" s="5">
        <f t="shared" si="48"/>
        <v>0</v>
      </c>
      <c r="C809" s="5">
        <f t="shared" si="49"/>
        <v>0</v>
      </c>
      <c r="D809" s="5"/>
      <c r="E809" s="5">
        <f>IF($B809 &lt;= 0, 0, -ROUND($B809 * (InterestRate / PaymentsPerYear), 2))</f>
        <v>0</v>
      </c>
      <c r="F809" s="5">
        <f>ROUND(IFERROR(IF($B809&lt;=0,0,
MAX(-$B809, -(-PMT(InterestRate/PaymentsPerYear,LoanTerm*PaymentsPerYear,LoanAmount) + $E809))), 0), 2)</f>
        <v>0</v>
      </c>
      <c r="G809" s="5">
        <f t="shared" si="50"/>
        <v>0</v>
      </c>
      <c r="H809" s="5">
        <f t="shared" si="51"/>
        <v>0</v>
      </c>
    </row>
    <row r="810" spans="1:8" x14ac:dyDescent="0.2">
      <c r="A810" s="2">
        <v>809</v>
      </c>
      <c r="B810" s="5">
        <f t="shared" si="48"/>
        <v>0</v>
      </c>
      <c r="C810" s="5">
        <f t="shared" si="49"/>
        <v>0</v>
      </c>
      <c r="D810" s="5"/>
      <c r="E810" s="5">
        <f>IF($B810 &lt;= 0, 0, -ROUND($B810 * (InterestRate / PaymentsPerYear), 2))</f>
        <v>0</v>
      </c>
      <c r="F810" s="5">
        <f>ROUND(IFERROR(IF($B810&lt;=0,0,
MAX(-$B810, -(-PMT(InterestRate/PaymentsPerYear,LoanTerm*PaymentsPerYear,LoanAmount) + $E810))), 0), 2)</f>
        <v>0</v>
      </c>
      <c r="G810" s="5">
        <f t="shared" si="50"/>
        <v>0</v>
      </c>
      <c r="H810" s="5">
        <f t="shared" si="51"/>
        <v>0</v>
      </c>
    </row>
    <row r="811" spans="1:8" x14ac:dyDescent="0.2">
      <c r="A811" s="2">
        <v>810</v>
      </c>
      <c r="B811" s="5">
        <f t="shared" si="48"/>
        <v>0</v>
      </c>
      <c r="C811" s="5">
        <f t="shared" si="49"/>
        <v>0</v>
      </c>
      <c r="D811" s="5"/>
      <c r="E811" s="5">
        <f>IF($B811 &lt;= 0, 0, -ROUND($B811 * (InterestRate / PaymentsPerYear), 2))</f>
        <v>0</v>
      </c>
      <c r="F811" s="5">
        <f>ROUND(IFERROR(IF($B811&lt;=0,0,
MAX(-$B811, -(-PMT(InterestRate/PaymentsPerYear,LoanTerm*PaymentsPerYear,LoanAmount) + $E811))), 0), 2)</f>
        <v>0</v>
      </c>
      <c r="G811" s="5">
        <f t="shared" si="50"/>
        <v>0</v>
      </c>
      <c r="H811" s="5">
        <f t="shared" si="51"/>
        <v>0</v>
      </c>
    </row>
    <row r="812" spans="1:8" x14ac:dyDescent="0.2">
      <c r="A812" s="2">
        <v>811</v>
      </c>
      <c r="B812" s="5">
        <f t="shared" si="48"/>
        <v>0</v>
      </c>
      <c r="C812" s="5">
        <f t="shared" si="49"/>
        <v>0</v>
      </c>
      <c r="D812" s="5"/>
      <c r="E812" s="5">
        <f>IF($B812 &lt;= 0, 0, -ROUND($B812 * (InterestRate / PaymentsPerYear), 2))</f>
        <v>0</v>
      </c>
      <c r="F812" s="5">
        <f>ROUND(IFERROR(IF($B812&lt;=0,0,
MAX(-$B812, -(-PMT(InterestRate/PaymentsPerYear,LoanTerm*PaymentsPerYear,LoanAmount) + $E812))), 0), 2)</f>
        <v>0</v>
      </c>
      <c r="G812" s="5">
        <f t="shared" si="50"/>
        <v>0</v>
      </c>
      <c r="H812" s="5">
        <f t="shared" si="51"/>
        <v>0</v>
      </c>
    </row>
    <row r="813" spans="1:8" x14ac:dyDescent="0.2">
      <c r="A813" s="2">
        <v>812</v>
      </c>
      <c r="B813" s="5">
        <f t="shared" si="48"/>
        <v>0</v>
      </c>
      <c r="C813" s="5">
        <f t="shared" si="49"/>
        <v>0</v>
      </c>
      <c r="D813" s="5"/>
      <c r="E813" s="5">
        <f>IF($B813 &lt;= 0, 0, -ROUND($B813 * (InterestRate / PaymentsPerYear), 2))</f>
        <v>0</v>
      </c>
      <c r="F813" s="5">
        <f>ROUND(IFERROR(IF($B813&lt;=0,0,
MAX(-$B813, -(-PMT(InterestRate/PaymentsPerYear,LoanTerm*PaymentsPerYear,LoanAmount) + $E813))), 0), 2)</f>
        <v>0</v>
      </c>
      <c r="G813" s="5">
        <f t="shared" si="50"/>
        <v>0</v>
      </c>
      <c r="H813" s="5">
        <f t="shared" si="51"/>
        <v>0</v>
      </c>
    </row>
    <row r="814" spans="1:8" x14ac:dyDescent="0.2">
      <c r="A814" s="2">
        <v>813</v>
      </c>
      <c r="B814" s="5">
        <f t="shared" si="48"/>
        <v>0</v>
      </c>
      <c r="C814" s="5">
        <f t="shared" si="49"/>
        <v>0</v>
      </c>
      <c r="D814" s="5"/>
      <c r="E814" s="5">
        <f>IF($B814 &lt;= 0, 0, -ROUND($B814 * (InterestRate / PaymentsPerYear), 2))</f>
        <v>0</v>
      </c>
      <c r="F814" s="5">
        <f>ROUND(IFERROR(IF($B814&lt;=0,0,
MAX(-$B814, -(-PMT(InterestRate/PaymentsPerYear,LoanTerm*PaymentsPerYear,LoanAmount) + $E814))), 0), 2)</f>
        <v>0</v>
      </c>
      <c r="G814" s="5">
        <f t="shared" si="50"/>
        <v>0</v>
      </c>
      <c r="H814" s="5">
        <f t="shared" si="51"/>
        <v>0</v>
      </c>
    </row>
    <row r="815" spans="1:8" x14ac:dyDescent="0.2">
      <c r="A815" s="2">
        <v>814</v>
      </c>
      <c r="B815" s="5">
        <f t="shared" si="48"/>
        <v>0</v>
      </c>
      <c r="C815" s="5">
        <f t="shared" si="49"/>
        <v>0</v>
      </c>
      <c r="D815" s="5"/>
      <c r="E815" s="5">
        <f>IF($B815 &lt;= 0, 0, -ROUND($B815 * (InterestRate / PaymentsPerYear), 2))</f>
        <v>0</v>
      </c>
      <c r="F815" s="5">
        <f>ROUND(IFERROR(IF($B815&lt;=0,0,
MAX(-$B815, -(-PMT(InterestRate/PaymentsPerYear,LoanTerm*PaymentsPerYear,LoanAmount) + $E815))), 0), 2)</f>
        <v>0</v>
      </c>
      <c r="G815" s="5">
        <f t="shared" si="50"/>
        <v>0</v>
      </c>
      <c r="H815" s="5">
        <f t="shared" si="51"/>
        <v>0</v>
      </c>
    </row>
    <row r="816" spans="1:8" x14ac:dyDescent="0.2">
      <c r="A816" s="2">
        <v>815</v>
      </c>
      <c r="B816" s="5">
        <f t="shared" si="48"/>
        <v>0</v>
      </c>
      <c r="C816" s="5">
        <f t="shared" si="49"/>
        <v>0</v>
      </c>
      <c r="D816" s="5"/>
      <c r="E816" s="5">
        <f>IF($B816 &lt;= 0, 0, -ROUND($B816 * (InterestRate / PaymentsPerYear), 2))</f>
        <v>0</v>
      </c>
      <c r="F816" s="5">
        <f>ROUND(IFERROR(IF($B816&lt;=0,0,
MAX(-$B816, -(-PMT(InterestRate/PaymentsPerYear,LoanTerm*PaymentsPerYear,LoanAmount) + $E816))), 0), 2)</f>
        <v>0</v>
      </c>
      <c r="G816" s="5">
        <f t="shared" si="50"/>
        <v>0</v>
      </c>
      <c r="H816" s="5">
        <f t="shared" si="51"/>
        <v>0</v>
      </c>
    </row>
    <row r="817" spans="1:8" x14ac:dyDescent="0.2">
      <c r="A817" s="2">
        <v>816</v>
      </c>
      <c r="B817" s="5">
        <f t="shared" si="48"/>
        <v>0</v>
      </c>
      <c r="C817" s="5">
        <f t="shared" si="49"/>
        <v>0</v>
      </c>
      <c r="D817" s="5"/>
      <c r="E817" s="5">
        <f>IF($B817 &lt;= 0, 0, -ROUND($B817 * (InterestRate / PaymentsPerYear), 2))</f>
        <v>0</v>
      </c>
      <c r="F817" s="5">
        <f>ROUND(IFERROR(IF($B817&lt;=0,0,
MAX(-$B817, -(-PMT(InterestRate/PaymentsPerYear,LoanTerm*PaymentsPerYear,LoanAmount) + $E817))), 0), 2)</f>
        <v>0</v>
      </c>
      <c r="G817" s="5">
        <f t="shared" si="50"/>
        <v>0</v>
      </c>
      <c r="H817" s="5">
        <f t="shared" si="51"/>
        <v>0</v>
      </c>
    </row>
    <row r="818" spans="1:8" x14ac:dyDescent="0.2">
      <c r="A818" s="2">
        <v>817</v>
      </c>
      <c r="B818" s="5">
        <f t="shared" si="48"/>
        <v>0</v>
      </c>
      <c r="C818" s="5">
        <f t="shared" si="49"/>
        <v>0</v>
      </c>
      <c r="D818" s="5"/>
      <c r="E818" s="5">
        <f>IF($B818 &lt;= 0, 0, -ROUND($B818 * (InterestRate / PaymentsPerYear), 2))</f>
        <v>0</v>
      </c>
      <c r="F818" s="5">
        <f>ROUND(IFERROR(IF($B818&lt;=0,0,
MAX(-$B818, -(-PMT(InterestRate/PaymentsPerYear,LoanTerm*PaymentsPerYear,LoanAmount) + $E818))), 0), 2)</f>
        <v>0</v>
      </c>
      <c r="G818" s="5">
        <f t="shared" si="50"/>
        <v>0</v>
      </c>
      <c r="H818" s="5">
        <f t="shared" si="51"/>
        <v>0</v>
      </c>
    </row>
    <row r="819" spans="1:8" x14ac:dyDescent="0.2">
      <c r="A819" s="2">
        <v>818</v>
      </c>
      <c r="B819" s="5">
        <f t="shared" si="48"/>
        <v>0</v>
      </c>
      <c r="C819" s="5">
        <f t="shared" si="49"/>
        <v>0</v>
      </c>
      <c r="D819" s="5"/>
      <c r="E819" s="5">
        <f>IF($B819 &lt;= 0, 0, -ROUND($B819 * (InterestRate / PaymentsPerYear), 2))</f>
        <v>0</v>
      </c>
      <c r="F819" s="5">
        <f>ROUND(IFERROR(IF($B819&lt;=0,0,
MAX(-$B819, -(-PMT(InterestRate/PaymentsPerYear,LoanTerm*PaymentsPerYear,LoanAmount) + $E819))), 0), 2)</f>
        <v>0</v>
      </c>
      <c r="G819" s="5">
        <f t="shared" si="50"/>
        <v>0</v>
      </c>
      <c r="H819" s="5">
        <f t="shared" si="51"/>
        <v>0</v>
      </c>
    </row>
    <row r="820" spans="1:8" x14ac:dyDescent="0.2">
      <c r="A820" s="2">
        <v>819</v>
      </c>
      <c r="B820" s="5">
        <f t="shared" si="48"/>
        <v>0</v>
      </c>
      <c r="C820" s="5">
        <f t="shared" si="49"/>
        <v>0</v>
      </c>
      <c r="D820" s="5"/>
      <c r="E820" s="5">
        <f>IF($B820 &lt;= 0, 0, -ROUND($B820 * (InterestRate / PaymentsPerYear), 2))</f>
        <v>0</v>
      </c>
      <c r="F820" s="5">
        <f>ROUND(IFERROR(IF($B820&lt;=0,0,
MAX(-$B820, -(-PMT(InterestRate/PaymentsPerYear,LoanTerm*PaymentsPerYear,LoanAmount) + $E820))), 0), 2)</f>
        <v>0</v>
      </c>
      <c r="G820" s="5">
        <f t="shared" si="50"/>
        <v>0</v>
      </c>
      <c r="H820" s="5">
        <f t="shared" si="51"/>
        <v>0</v>
      </c>
    </row>
    <row r="821" spans="1:8" x14ac:dyDescent="0.2">
      <c r="A821" s="2">
        <v>820</v>
      </c>
      <c r="B821" s="5">
        <f t="shared" si="48"/>
        <v>0</v>
      </c>
      <c r="C821" s="5">
        <f t="shared" si="49"/>
        <v>0</v>
      </c>
      <c r="D821" s="5"/>
      <c r="E821" s="5">
        <f>IF($B821 &lt;= 0, 0, -ROUND($B821 * (InterestRate / PaymentsPerYear), 2))</f>
        <v>0</v>
      </c>
      <c r="F821" s="5">
        <f>ROUND(IFERROR(IF($B821&lt;=0,0,
MAX(-$B821, -(-PMT(InterestRate/PaymentsPerYear,LoanTerm*PaymentsPerYear,LoanAmount) + $E821))), 0), 2)</f>
        <v>0</v>
      </c>
      <c r="G821" s="5">
        <f t="shared" si="50"/>
        <v>0</v>
      </c>
      <c r="H821" s="5">
        <f t="shared" si="51"/>
        <v>0</v>
      </c>
    </row>
    <row r="822" spans="1:8" x14ac:dyDescent="0.2">
      <c r="A822" s="2">
        <v>821</v>
      </c>
      <c r="B822" s="5">
        <f t="shared" si="48"/>
        <v>0</v>
      </c>
      <c r="C822" s="5">
        <f t="shared" si="49"/>
        <v>0</v>
      </c>
      <c r="D822" s="5"/>
      <c r="E822" s="5">
        <f>IF($B822 &lt;= 0, 0, -ROUND($B822 * (InterestRate / PaymentsPerYear), 2))</f>
        <v>0</v>
      </c>
      <c r="F822" s="5">
        <f>ROUND(IFERROR(IF($B822&lt;=0,0,
MAX(-$B822, -(-PMT(InterestRate/PaymentsPerYear,LoanTerm*PaymentsPerYear,LoanAmount) + $E822))), 0), 2)</f>
        <v>0</v>
      </c>
      <c r="G822" s="5">
        <f t="shared" si="50"/>
        <v>0</v>
      </c>
      <c r="H822" s="5">
        <f t="shared" si="51"/>
        <v>0</v>
      </c>
    </row>
    <row r="823" spans="1:8" x14ac:dyDescent="0.2">
      <c r="A823" s="2">
        <v>822</v>
      </c>
      <c r="B823" s="5">
        <f t="shared" si="48"/>
        <v>0</v>
      </c>
      <c r="C823" s="5">
        <f t="shared" si="49"/>
        <v>0</v>
      </c>
      <c r="D823" s="5"/>
      <c r="E823" s="5">
        <f>IF($B823 &lt;= 0, 0, -ROUND($B823 * (InterestRate / PaymentsPerYear), 2))</f>
        <v>0</v>
      </c>
      <c r="F823" s="5">
        <f>ROUND(IFERROR(IF($B823&lt;=0,0,
MAX(-$B823, -(-PMT(InterestRate/PaymentsPerYear,LoanTerm*PaymentsPerYear,LoanAmount) + $E823))), 0), 2)</f>
        <v>0</v>
      </c>
      <c r="G823" s="5">
        <f t="shared" si="50"/>
        <v>0</v>
      </c>
      <c r="H823" s="5">
        <f t="shared" si="51"/>
        <v>0</v>
      </c>
    </row>
    <row r="824" spans="1:8" x14ac:dyDescent="0.2">
      <c r="A824" s="2">
        <v>823</v>
      </c>
      <c r="B824" s="5">
        <f t="shared" si="48"/>
        <v>0</v>
      </c>
      <c r="C824" s="5">
        <f t="shared" si="49"/>
        <v>0</v>
      </c>
      <c r="D824" s="5"/>
      <c r="E824" s="5">
        <f>IF($B824 &lt;= 0, 0, -ROUND($B824 * (InterestRate / PaymentsPerYear), 2))</f>
        <v>0</v>
      </c>
      <c r="F824" s="5">
        <f>ROUND(IFERROR(IF($B824&lt;=0,0,
MAX(-$B824, -(-PMT(InterestRate/PaymentsPerYear,LoanTerm*PaymentsPerYear,LoanAmount) + $E824))), 0), 2)</f>
        <v>0</v>
      </c>
      <c r="G824" s="5">
        <f t="shared" si="50"/>
        <v>0</v>
      </c>
      <c r="H824" s="5">
        <f t="shared" si="51"/>
        <v>0</v>
      </c>
    </row>
    <row r="825" spans="1:8" x14ac:dyDescent="0.2">
      <c r="A825" s="2">
        <v>824</v>
      </c>
      <c r="B825" s="5">
        <f t="shared" si="48"/>
        <v>0</v>
      </c>
      <c r="C825" s="5">
        <f t="shared" si="49"/>
        <v>0</v>
      </c>
      <c r="D825" s="5"/>
      <c r="E825" s="5">
        <f>IF($B825 &lt;= 0, 0, -ROUND($B825 * (InterestRate / PaymentsPerYear), 2))</f>
        <v>0</v>
      </c>
      <c r="F825" s="5">
        <f>ROUND(IFERROR(IF($B825&lt;=0,0,
MAX(-$B825, -(-PMT(InterestRate/PaymentsPerYear,LoanTerm*PaymentsPerYear,LoanAmount) + $E825))), 0), 2)</f>
        <v>0</v>
      </c>
      <c r="G825" s="5">
        <f t="shared" si="50"/>
        <v>0</v>
      </c>
      <c r="H825" s="5">
        <f t="shared" si="51"/>
        <v>0</v>
      </c>
    </row>
    <row r="826" spans="1:8" x14ac:dyDescent="0.2">
      <c r="A826" s="2">
        <v>825</v>
      </c>
      <c r="B826" s="5">
        <f t="shared" si="48"/>
        <v>0</v>
      </c>
      <c r="C826" s="5">
        <f t="shared" si="49"/>
        <v>0</v>
      </c>
      <c r="D826" s="5"/>
      <c r="E826" s="5">
        <f>IF($B826 &lt;= 0, 0, -ROUND($B826 * (InterestRate / PaymentsPerYear), 2))</f>
        <v>0</v>
      </c>
      <c r="F826" s="5">
        <f>ROUND(IFERROR(IF($B826&lt;=0,0,
MAX(-$B826, -(-PMT(InterestRate/PaymentsPerYear,LoanTerm*PaymentsPerYear,LoanAmount) + $E826))), 0), 2)</f>
        <v>0</v>
      </c>
      <c r="G826" s="5">
        <f t="shared" si="50"/>
        <v>0</v>
      </c>
      <c r="H826" s="5">
        <f t="shared" si="51"/>
        <v>0</v>
      </c>
    </row>
    <row r="827" spans="1:8" x14ac:dyDescent="0.2">
      <c r="A827" s="2">
        <v>826</v>
      </c>
      <c r="B827" s="5">
        <f t="shared" si="48"/>
        <v>0</v>
      </c>
      <c r="C827" s="5">
        <f t="shared" si="49"/>
        <v>0</v>
      </c>
      <c r="D827" s="5"/>
      <c r="E827" s="5">
        <f>IF($B827 &lt;= 0, 0, -ROUND($B827 * (InterestRate / PaymentsPerYear), 2))</f>
        <v>0</v>
      </c>
      <c r="F827" s="5">
        <f>ROUND(IFERROR(IF($B827&lt;=0,0,
MAX(-$B827, -(-PMT(InterestRate/PaymentsPerYear,LoanTerm*PaymentsPerYear,LoanAmount) + $E827))), 0), 2)</f>
        <v>0</v>
      </c>
      <c r="G827" s="5">
        <f t="shared" si="50"/>
        <v>0</v>
      </c>
      <c r="H827" s="5">
        <f t="shared" si="51"/>
        <v>0</v>
      </c>
    </row>
    <row r="828" spans="1:8" x14ac:dyDescent="0.2">
      <c r="A828" s="2">
        <v>827</v>
      </c>
      <c r="B828" s="5">
        <f t="shared" si="48"/>
        <v>0</v>
      </c>
      <c r="C828" s="5">
        <f t="shared" si="49"/>
        <v>0</v>
      </c>
      <c r="D828" s="5"/>
      <c r="E828" s="5">
        <f>IF($B828 &lt;= 0, 0, -ROUND($B828 * (InterestRate / PaymentsPerYear), 2))</f>
        <v>0</v>
      </c>
      <c r="F828" s="5">
        <f>ROUND(IFERROR(IF($B828&lt;=0,0,
MAX(-$B828, -(-PMT(InterestRate/PaymentsPerYear,LoanTerm*PaymentsPerYear,LoanAmount) + $E828))), 0), 2)</f>
        <v>0</v>
      </c>
      <c r="G828" s="5">
        <f t="shared" si="50"/>
        <v>0</v>
      </c>
      <c r="H828" s="5">
        <f t="shared" si="51"/>
        <v>0</v>
      </c>
    </row>
    <row r="829" spans="1:8" x14ac:dyDescent="0.2">
      <c r="A829" s="2">
        <v>828</v>
      </c>
      <c r="B829" s="5">
        <f t="shared" si="48"/>
        <v>0</v>
      </c>
      <c r="C829" s="5">
        <f t="shared" si="49"/>
        <v>0</v>
      </c>
      <c r="D829" s="5"/>
      <c r="E829" s="5">
        <f>IF($B829 &lt;= 0, 0, -ROUND($B829 * (InterestRate / PaymentsPerYear), 2))</f>
        <v>0</v>
      </c>
      <c r="F829" s="5">
        <f>ROUND(IFERROR(IF($B829&lt;=0,0,
MAX(-$B829, -(-PMT(InterestRate/PaymentsPerYear,LoanTerm*PaymentsPerYear,LoanAmount) + $E829))), 0), 2)</f>
        <v>0</v>
      </c>
      <c r="G829" s="5">
        <f t="shared" si="50"/>
        <v>0</v>
      </c>
      <c r="H829" s="5">
        <f t="shared" si="51"/>
        <v>0</v>
      </c>
    </row>
    <row r="830" spans="1:8" x14ac:dyDescent="0.2">
      <c r="A830" s="2">
        <v>829</v>
      </c>
      <c r="B830" s="5">
        <f t="shared" si="48"/>
        <v>0</v>
      </c>
      <c r="C830" s="5">
        <f t="shared" si="49"/>
        <v>0</v>
      </c>
      <c r="D830" s="5"/>
      <c r="E830" s="5">
        <f>IF($B830 &lt;= 0, 0, -ROUND($B830 * (InterestRate / PaymentsPerYear), 2))</f>
        <v>0</v>
      </c>
      <c r="F830" s="5">
        <f>ROUND(IFERROR(IF($B830&lt;=0,0,
MAX(-$B830, -(-PMT(InterestRate/PaymentsPerYear,LoanTerm*PaymentsPerYear,LoanAmount) + $E830))), 0), 2)</f>
        <v>0</v>
      </c>
      <c r="G830" s="5">
        <f t="shared" si="50"/>
        <v>0</v>
      </c>
      <c r="H830" s="5">
        <f t="shared" si="51"/>
        <v>0</v>
      </c>
    </row>
    <row r="831" spans="1:8" x14ac:dyDescent="0.2">
      <c r="A831" s="2">
        <v>830</v>
      </c>
      <c r="B831" s="5">
        <f t="shared" si="48"/>
        <v>0</v>
      </c>
      <c r="C831" s="5">
        <f t="shared" si="49"/>
        <v>0</v>
      </c>
      <c r="D831" s="5"/>
      <c r="E831" s="5">
        <f>IF($B831 &lt;= 0, 0, -ROUND($B831 * (InterestRate / PaymentsPerYear), 2))</f>
        <v>0</v>
      </c>
      <c r="F831" s="5">
        <f>ROUND(IFERROR(IF($B831&lt;=0,0,
MAX(-$B831, -(-PMT(InterestRate/PaymentsPerYear,LoanTerm*PaymentsPerYear,LoanAmount) + $E831))), 0), 2)</f>
        <v>0</v>
      </c>
      <c r="G831" s="5">
        <f t="shared" si="50"/>
        <v>0</v>
      </c>
      <c r="H831" s="5">
        <f t="shared" si="51"/>
        <v>0</v>
      </c>
    </row>
    <row r="832" spans="1:8" x14ac:dyDescent="0.2">
      <c r="A832" s="2">
        <v>831</v>
      </c>
      <c r="B832" s="5">
        <f t="shared" si="48"/>
        <v>0</v>
      </c>
      <c r="C832" s="5">
        <f t="shared" si="49"/>
        <v>0</v>
      </c>
      <c r="D832" s="5"/>
      <c r="E832" s="5">
        <f>IF($B832 &lt;= 0, 0, -ROUND($B832 * (InterestRate / PaymentsPerYear), 2))</f>
        <v>0</v>
      </c>
      <c r="F832" s="5">
        <f>ROUND(IFERROR(IF($B832&lt;=0,0,
MAX(-$B832, -(-PMT(InterestRate/PaymentsPerYear,LoanTerm*PaymentsPerYear,LoanAmount) + $E832))), 0), 2)</f>
        <v>0</v>
      </c>
      <c r="G832" s="5">
        <f t="shared" si="50"/>
        <v>0</v>
      </c>
      <c r="H832" s="5">
        <f t="shared" si="51"/>
        <v>0</v>
      </c>
    </row>
    <row r="833" spans="1:8" x14ac:dyDescent="0.2">
      <c r="A833" s="2">
        <v>832</v>
      </c>
      <c r="B833" s="5">
        <f t="shared" si="48"/>
        <v>0</v>
      </c>
      <c r="C833" s="5">
        <f t="shared" si="49"/>
        <v>0</v>
      </c>
      <c r="D833" s="5"/>
      <c r="E833" s="5">
        <f>IF($B833 &lt;= 0, 0, -ROUND($B833 * (InterestRate / PaymentsPerYear), 2))</f>
        <v>0</v>
      </c>
      <c r="F833" s="5">
        <f>ROUND(IFERROR(IF($B833&lt;=0,0,
MAX(-$B833, -(-PMT(InterestRate/PaymentsPerYear,LoanTerm*PaymentsPerYear,LoanAmount) + $E833))), 0), 2)</f>
        <v>0</v>
      </c>
      <c r="G833" s="5">
        <f t="shared" si="50"/>
        <v>0</v>
      </c>
      <c r="H833" s="5">
        <f t="shared" si="51"/>
        <v>0</v>
      </c>
    </row>
    <row r="834" spans="1:8" x14ac:dyDescent="0.2">
      <c r="A834" s="2">
        <v>833</v>
      </c>
      <c r="B834" s="5">
        <f t="shared" si="48"/>
        <v>0</v>
      </c>
      <c r="C834" s="5">
        <f t="shared" si="49"/>
        <v>0</v>
      </c>
      <c r="D834" s="5"/>
      <c r="E834" s="5">
        <f>IF($B834 &lt;= 0, 0, -ROUND($B834 * (InterestRate / PaymentsPerYear), 2))</f>
        <v>0</v>
      </c>
      <c r="F834" s="5">
        <f>ROUND(IFERROR(IF($B834&lt;=0,0,
MAX(-$B834, -(-PMT(InterestRate/PaymentsPerYear,LoanTerm*PaymentsPerYear,LoanAmount) + $E834))), 0), 2)</f>
        <v>0</v>
      </c>
      <c r="G834" s="5">
        <f t="shared" si="50"/>
        <v>0</v>
      </c>
      <c r="H834" s="5">
        <f t="shared" si="51"/>
        <v>0</v>
      </c>
    </row>
    <row r="835" spans="1:8" x14ac:dyDescent="0.2">
      <c r="A835" s="2">
        <v>834</v>
      </c>
      <c r="B835" s="5">
        <f t="shared" si="48"/>
        <v>0</v>
      </c>
      <c r="C835" s="5">
        <f t="shared" si="49"/>
        <v>0</v>
      </c>
      <c r="D835" s="5"/>
      <c r="E835" s="5">
        <f>IF($B835 &lt;= 0, 0, -ROUND($B835 * (InterestRate / PaymentsPerYear), 2))</f>
        <v>0</v>
      </c>
      <c r="F835" s="5">
        <f>ROUND(IFERROR(IF($B835&lt;=0,0,
MAX(-$B835, -(-PMT(InterestRate/PaymentsPerYear,LoanTerm*PaymentsPerYear,LoanAmount) + $E835))), 0), 2)</f>
        <v>0</v>
      </c>
      <c r="G835" s="5">
        <f t="shared" si="50"/>
        <v>0</v>
      </c>
      <c r="H835" s="5">
        <f t="shared" si="51"/>
        <v>0</v>
      </c>
    </row>
    <row r="836" spans="1:8" x14ac:dyDescent="0.2">
      <c r="A836" s="2">
        <v>835</v>
      </c>
      <c r="B836" s="5">
        <f t="shared" ref="B836:B899" si="52">ROUND(IF($H835 &gt;= 0, MAX($H835, $F835), 0), 2)</f>
        <v>0</v>
      </c>
      <c r="C836" s="5">
        <f t="shared" ref="C836:C899" si="53">IF($B836 &lt;= 0, 0, $E836+$F836)</f>
        <v>0</v>
      </c>
      <c r="D836" s="5"/>
      <c r="E836" s="5">
        <f>IF($B836 &lt;= 0, 0, -ROUND($B836 * (InterestRate / PaymentsPerYear), 2))</f>
        <v>0</v>
      </c>
      <c r="F836" s="5">
        <f>ROUND(IFERROR(IF($B836&lt;=0,0,
MAX(-$B836, -(-PMT(InterestRate/PaymentsPerYear,LoanTerm*PaymentsPerYear,LoanAmount) + $E836))), 0), 2)</f>
        <v>0</v>
      </c>
      <c r="G836" s="5">
        <f t="shared" ref="G836:G899" si="54">$F836</f>
        <v>0</v>
      </c>
      <c r="H836" s="5">
        <f t="shared" ref="H836:H899" si="55">ROUND(IF($B836 &lt;= 0, 0,MAX(0, $B836 + $G836)), 2)</f>
        <v>0</v>
      </c>
    </row>
    <row r="837" spans="1:8" x14ac:dyDescent="0.2">
      <c r="A837" s="2">
        <v>836</v>
      </c>
      <c r="B837" s="5">
        <f t="shared" si="52"/>
        <v>0</v>
      </c>
      <c r="C837" s="5">
        <f t="shared" si="53"/>
        <v>0</v>
      </c>
      <c r="D837" s="5"/>
      <c r="E837" s="5">
        <f>IF($B837 &lt;= 0, 0, -ROUND($B837 * (InterestRate / PaymentsPerYear), 2))</f>
        <v>0</v>
      </c>
      <c r="F837" s="5">
        <f>ROUND(IFERROR(IF($B837&lt;=0,0,
MAX(-$B837, -(-PMT(InterestRate/PaymentsPerYear,LoanTerm*PaymentsPerYear,LoanAmount) + $E837))), 0), 2)</f>
        <v>0</v>
      </c>
      <c r="G837" s="5">
        <f t="shared" si="54"/>
        <v>0</v>
      </c>
      <c r="H837" s="5">
        <f t="shared" si="55"/>
        <v>0</v>
      </c>
    </row>
    <row r="838" spans="1:8" x14ac:dyDescent="0.2">
      <c r="A838" s="2">
        <v>837</v>
      </c>
      <c r="B838" s="5">
        <f t="shared" si="52"/>
        <v>0</v>
      </c>
      <c r="C838" s="5">
        <f t="shared" si="53"/>
        <v>0</v>
      </c>
      <c r="D838" s="5"/>
      <c r="E838" s="5">
        <f>IF($B838 &lt;= 0, 0, -ROUND($B838 * (InterestRate / PaymentsPerYear), 2))</f>
        <v>0</v>
      </c>
      <c r="F838" s="5">
        <f>ROUND(IFERROR(IF($B838&lt;=0,0,
MAX(-$B838, -(-PMT(InterestRate/PaymentsPerYear,LoanTerm*PaymentsPerYear,LoanAmount) + $E838))), 0), 2)</f>
        <v>0</v>
      </c>
      <c r="G838" s="5">
        <f t="shared" si="54"/>
        <v>0</v>
      </c>
      <c r="H838" s="5">
        <f t="shared" si="55"/>
        <v>0</v>
      </c>
    </row>
    <row r="839" spans="1:8" x14ac:dyDescent="0.2">
      <c r="A839" s="2">
        <v>838</v>
      </c>
      <c r="B839" s="5">
        <f t="shared" si="52"/>
        <v>0</v>
      </c>
      <c r="C839" s="5">
        <f t="shared" si="53"/>
        <v>0</v>
      </c>
      <c r="D839" s="5"/>
      <c r="E839" s="5">
        <f>IF($B839 &lt;= 0, 0, -ROUND($B839 * (InterestRate / PaymentsPerYear), 2))</f>
        <v>0</v>
      </c>
      <c r="F839" s="5">
        <f>ROUND(IFERROR(IF($B839&lt;=0,0,
MAX(-$B839, -(-PMT(InterestRate/PaymentsPerYear,LoanTerm*PaymentsPerYear,LoanAmount) + $E839))), 0), 2)</f>
        <v>0</v>
      </c>
      <c r="G839" s="5">
        <f t="shared" si="54"/>
        <v>0</v>
      </c>
      <c r="H839" s="5">
        <f t="shared" si="55"/>
        <v>0</v>
      </c>
    </row>
    <row r="840" spans="1:8" x14ac:dyDescent="0.2">
      <c r="A840" s="2">
        <v>839</v>
      </c>
      <c r="B840" s="5">
        <f t="shared" si="52"/>
        <v>0</v>
      </c>
      <c r="C840" s="5">
        <f t="shared" si="53"/>
        <v>0</v>
      </c>
      <c r="D840" s="5"/>
      <c r="E840" s="5">
        <f>IF($B840 &lt;= 0, 0, -ROUND($B840 * (InterestRate / PaymentsPerYear), 2))</f>
        <v>0</v>
      </c>
      <c r="F840" s="5">
        <f>ROUND(IFERROR(IF($B840&lt;=0,0,
MAX(-$B840, -(-PMT(InterestRate/PaymentsPerYear,LoanTerm*PaymentsPerYear,LoanAmount) + $E840))), 0), 2)</f>
        <v>0</v>
      </c>
      <c r="G840" s="5">
        <f t="shared" si="54"/>
        <v>0</v>
      </c>
      <c r="H840" s="5">
        <f t="shared" si="55"/>
        <v>0</v>
      </c>
    </row>
    <row r="841" spans="1:8" x14ac:dyDescent="0.2">
      <c r="A841" s="2">
        <v>840</v>
      </c>
      <c r="B841" s="5">
        <f t="shared" si="52"/>
        <v>0</v>
      </c>
      <c r="C841" s="5">
        <f t="shared" si="53"/>
        <v>0</v>
      </c>
      <c r="D841" s="5"/>
      <c r="E841" s="5">
        <f>IF($B841 &lt;= 0, 0, -ROUND($B841 * (InterestRate / PaymentsPerYear), 2))</f>
        <v>0</v>
      </c>
      <c r="F841" s="5">
        <f>ROUND(IFERROR(IF($B841&lt;=0,0,
MAX(-$B841, -(-PMT(InterestRate/PaymentsPerYear,LoanTerm*PaymentsPerYear,LoanAmount) + $E841))), 0), 2)</f>
        <v>0</v>
      </c>
      <c r="G841" s="5">
        <f t="shared" si="54"/>
        <v>0</v>
      </c>
      <c r="H841" s="5">
        <f t="shared" si="55"/>
        <v>0</v>
      </c>
    </row>
    <row r="842" spans="1:8" x14ac:dyDescent="0.2">
      <c r="A842" s="2">
        <v>841</v>
      </c>
      <c r="B842" s="5">
        <f t="shared" si="52"/>
        <v>0</v>
      </c>
      <c r="C842" s="5">
        <f t="shared" si="53"/>
        <v>0</v>
      </c>
      <c r="D842" s="5"/>
      <c r="E842" s="5">
        <f>IF($B842 &lt;= 0, 0, -ROUND($B842 * (InterestRate / PaymentsPerYear), 2))</f>
        <v>0</v>
      </c>
      <c r="F842" s="5">
        <f>ROUND(IFERROR(IF($B842&lt;=0,0,
MAX(-$B842, -(-PMT(InterestRate/PaymentsPerYear,LoanTerm*PaymentsPerYear,LoanAmount) + $E842))), 0), 2)</f>
        <v>0</v>
      </c>
      <c r="G842" s="5">
        <f t="shared" si="54"/>
        <v>0</v>
      </c>
      <c r="H842" s="5">
        <f t="shared" si="55"/>
        <v>0</v>
      </c>
    </row>
    <row r="843" spans="1:8" x14ac:dyDescent="0.2">
      <c r="A843" s="2">
        <v>842</v>
      </c>
      <c r="B843" s="5">
        <f t="shared" si="52"/>
        <v>0</v>
      </c>
      <c r="C843" s="5">
        <f t="shared" si="53"/>
        <v>0</v>
      </c>
      <c r="D843" s="5"/>
      <c r="E843" s="5">
        <f>IF($B843 &lt;= 0, 0, -ROUND($B843 * (InterestRate / PaymentsPerYear), 2))</f>
        <v>0</v>
      </c>
      <c r="F843" s="5">
        <f>ROUND(IFERROR(IF($B843&lt;=0,0,
MAX(-$B843, -(-PMT(InterestRate/PaymentsPerYear,LoanTerm*PaymentsPerYear,LoanAmount) + $E843))), 0), 2)</f>
        <v>0</v>
      </c>
      <c r="G843" s="5">
        <f t="shared" si="54"/>
        <v>0</v>
      </c>
      <c r="H843" s="5">
        <f t="shared" si="55"/>
        <v>0</v>
      </c>
    </row>
    <row r="844" spans="1:8" x14ac:dyDescent="0.2">
      <c r="A844" s="2">
        <v>843</v>
      </c>
      <c r="B844" s="5">
        <f t="shared" si="52"/>
        <v>0</v>
      </c>
      <c r="C844" s="5">
        <f t="shared" si="53"/>
        <v>0</v>
      </c>
      <c r="D844" s="5"/>
      <c r="E844" s="5">
        <f>IF($B844 &lt;= 0, 0, -ROUND($B844 * (InterestRate / PaymentsPerYear), 2))</f>
        <v>0</v>
      </c>
      <c r="F844" s="5">
        <f>ROUND(IFERROR(IF($B844&lt;=0,0,
MAX(-$B844, -(-PMT(InterestRate/PaymentsPerYear,LoanTerm*PaymentsPerYear,LoanAmount) + $E844))), 0), 2)</f>
        <v>0</v>
      </c>
      <c r="G844" s="5">
        <f t="shared" si="54"/>
        <v>0</v>
      </c>
      <c r="H844" s="5">
        <f t="shared" si="55"/>
        <v>0</v>
      </c>
    </row>
    <row r="845" spans="1:8" x14ac:dyDescent="0.2">
      <c r="A845" s="2">
        <v>844</v>
      </c>
      <c r="B845" s="5">
        <f t="shared" si="52"/>
        <v>0</v>
      </c>
      <c r="C845" s="5">
        <f t="shared" si="53"/>
        <v>0</v>
      </c>
      <c r="D845" s="5"/>
      <c r="E845" s="5">
        <f>IF($B845 &lt;= 0, 0, -ROUND($B845 * (InterestRate / PaymentsPerYear), 2))</f>
        <v>0</v>
      </c>
      <c r="F845" s="5">
        <f>ROUND(IFERROR(IF($B845&lt;=0,0,
MAX(-$B845, -(-PMT(InterestRate/PaymentsPerYear,LoanTerm*PaymentsPerYear,LoanAmount) + $E845))), 0), 2)</f>
        <v>0</v>
      </c>
      <c r="G845" s="5">
        <f t="shared" si="54"/>
        <v>0</v>
      </c>
      <c r="H845" s="5">
        <f t="shared" si="55"/>
        <v>0</v>
      </c>
    </row>
    <row r="846" spans="1:8" x14ac:dyDescent="0.2">
      <c r="A846" s="2">
        <v>845</v>
      </c>
      <c r="B846" s="5">
        <f t="shared" si="52"/>
        <v>0</v>
      </c>
      <c r="C846" s="5">
        <f t="shared" si="53"/>
        <v>0</v>
      </c>
      <c r="D846" s="5"/>
      <c r="E846" s="5">
        <f>IF($B846 &lt;= 0, 0, -ROUND($B846 * (InterestRate / PaymentsPerYear), 2))</f>
        <v>0</v>
      </c>
      <c r="F846" s="5">
        <f>ROUND(IFERROR(IF($B846&lt;=0,0,
MAX(-$B846, -(-PMT(InterestRate/PaymentsPerYear,LoanTerm*PaymentsPerYear,LoanAmount) + $E846))), 0), 2)</f>
        <v>0</v>
      </c>
      <c r="G846" s="5">
        <f t="shared" si="54"/>
        <v>0</v>
      </c>
      <c r="H846" s="5">
        <f t="shared" si="55"/>
        <v>0</v>
      </c>
    </row>
    <row r="847" spans="1:8" x14ac:dyDescent="0.2">
      <c r="A847" s="2">
        <v>846</v>
      </c>
      <c r="B847" s="5">
        <f t="shared" si="52"/>
        <v>0</v>
      </c>
      <c r="C847" s="5">
        <f t="shared" si="53"/>
        <v>0</v>
      </c>
      <c r="D847" s="5"/>
      <c r="E847" s="5">
        <f>IF($B847 &lt;= 0, 0, -ROUND($B847 * (InterestRate / PaymentsPerYear), 2))</f>
        <v>0</v>
      </c>
      <c r="F847" s="5">
        <f>ROUND(IFERROR(IF($B847&lt;=0,0,
MAX(-$B847, -(-PMT(InterestRate/PaymentsPerYear,LoanTerm*PaymentsPerYear,LoanAmount) + $E847))), 0), 2)</f>
        <v>0</v>
      </c>
      <c r="G847" s="5">
        <f t="shared" si="54"/>
        <v>0</v>
      </c>
      <c r="H847" s="5">
        <f t="shared" si="55"/>
        <v>0</v>
      </c>
    </row>
    <row r="848" spans="1:8" x14ac:dyDescent="0.2">
      <c r="A848" s="2">
        <v>847</v>
      </c>
      <c r="B848" s="5">
        <f t="shared" si="52"/>
        <v>0</v>
      </c>
      <c r="C848" s="5">
        <f t="shared" si="53"/>
        <v>0</v>
      </c>
      <c r="D848" s="5"/>
      <c r="E848" s="5">
        <f>IF($B848 &lt;= 0, 0, -ROUND($B848 * (InterestRate / PaymentsPerYear), 2))</f>
        <v>0</v>
      </c>
      <c r="F848" s="5">
        <f>ROUND(IFERROR(IF($B848&lt;=0,0,
MAX(-$B848, -(-PMT(InterestRate/PaymentsPerYear,LoanTerm*PaymentsPerYear,LoanAmount) + $E848))), 0), 2)</f>
        <v>0</v>
      </c>
      <c r="G848" s="5">
        <f t="shared" si="54"/>
        <v>0</v>
      </c>
      <c r="H848" s="5">
        <f t="shared" si="55"/>
        <v>0</v>
      </c>
    </row>
    <row r="849" spans="1:8" x14ac:dyDescent="0.2">
      <c r="A849" s="2">
        <v>848</v>
      </c>
      <c r="B849" s="5">
        <f t="shared" si="52"/>
        <v>0</v>
      </c>
      <c r="C849" s="5">
        <f t="shared" si="53"/>
        <v>0</v>
      </c>
      <c r="D849" s="5"/>
      <c r="E849" s="5">
        <f>IF($B849 &lt;= 0, 0, -ROUND($B849 * (InterestRate / PaymentsPerYear), 2))</f>
        <v>0</v>
      </c>
      <c r="F849" s="5">
        <f>ROUND(IFERROR(IF($B849&lt;=0,0,
MAX(-$B849, -(-PMT(InterestRate/PaymentsPerYear,LoanTerm*PaymentsPerYear,LoanAmount) + $E849))), 0), 2)</f>
        <v>0</v>
      </c>
      <c r="G849" s="5">
        <f t="shared" si="54"/>
        <v>0</v>
      </c>
      <c r="H849" s="5">
        <f t="shared" si="55"/>
        <v>0</v>
      </c>
    </row>
    <row r="850" spans="1:8" x14ac:dyDescent="0.2">
      <c r="A850" s="2">
        <v>849</v>
      </c>
      <c r="B850" s="5">
        <f t="shared" si="52"/>
        <v>0</v>
      </c>
      <c r="C850" s="5">
        <f t="shared" si="53"/>
        <v>0</v>
      </c>
      <c r="D850" s="5"/>
      <c r="E850" s="5">
        <f>IF($B850 &lt;= 0, 0, -ROUND($B850 * (InterestRate / PaymentsPerYear), 2))</f>
        <v>0</v>
      </c>
      <c r="F850" s="5">
        <f>ROUND(IFERROR(IF($B850&lt;=0,0,
MAX(-$B850, -(-PMT(InterestRate/PaymentsPerYear,LoanTerm*PaymentsPerYear,LoanAmount) + $E850))), 0), 2)</f>
        <v>0</v>
      </c>
      <c r="G850" s="5">
        <f t="shared" si="54"/>
        <v>0</v>
      </c>
      <c r="H850" s="5">
        <f t="shared" si="55"/>
        <v>0</v>
      </c>
    </row>
    <row r="851" spans="1:8" x14ac:dyDescent="0.2">
      <c r="A851" s="2">
        <v>850</v>
      </c>
      <c r="B851" s="5">
        <f t="shared" si="52"/>
        <v>0</v>
      </c>
      <c r="C851" s="5">
        <f t="shared" si="53"/>
        <v>0</v>
      </c>
      <c r="D851" s="5"/>
      <c r="E851" s="5">
        <f>IF($B851 &lt;= 0, 0, -ROUND($B851 * (InterestRate / PaymentsPerYear), 2))</f>
        <v>0</v>
      </c>
      <c r="F851" s="5">
        <f>ROUND(IFERROR(IF($B851&lt;=0,0,
MAX(-$B851, -(-PMT(InterestRate/PaymentsPerYear,LoanTerm*PaymentsPerYear,LoanAmount) + $E851))), 0), 2)</f>
        <v>0</v>
      </c>
      <c r="G851" s="5">
        <f t="shared" si="54"/>
        <v>0</v>
      </c>
      <c r="H851" s="5">
        <f t="shared" si="55"/>
        <v>0</v>
      </c>
    </row>
    <row r="852" spans="1:8" x14ac:dyDescent="0.2">
      <c r="A852" s="2">
        <v>851</v>
      </c>
      <c r="B852" s="5">
        <f t="shared" si="52"/>
        <v>0</v>
      </c>
      <c r="C852" s="5">
        <f t="shared" si="53"/>
        <v>0</v>
      </c>
      <c r="D852" s="5"/>
      <c r="E852" s="5">
        <f>IF($B852 &lt;= 0, 0, -ROUND($B852 * (InterestRate / PaymentsPerYear), 2))</f>
        <v>0</v>
      </c>
      <c r="F852" s="5">
        <f>ROUND(IFERROR(IF($B852&lt;=0,0,
MAX(-$B852, -(-PMT(InterestRate/PaymentsPerYear,LoanTerm*PaymentsPerYear,LoanAmount) + $E852))), 0), 2)</f>
        <v>0</v>
      </c>
      <c r="G852" s="5">
        <f t="shared" si="54"/>
        <v>0</v>
      </c>
      <c r="H852" s="5">
        <f t="shared" si="55"/>
        <v>0</v>
      </c>
    </row>
    <row r="853" spans="1:8" x14ac:dyDescent="0.2">
      <c r="A853" s="2">
        <v>852</v>
      </c>
      <c r="B853" s="5">
        <f t="shared" si="52"/>
        <v>0</v>
      </c>
      <c r="C853" s="5">
        <f t="shared" si="53"/>
        <v>0</v>
      </c>
      <c r="D853" s="5"/>
      <c r="E853" s="5">
        <f>IF($B853 &lt;= 0, 0, -ROUND($B853 * (InterestRate / PaymentsPerYear), 2))</f>
        <v>0</v>
      </c>
      <c r="F853" s="5">
        <f>ROUND(IFERROR(IF($B853&lt;=0,0,
MAX(-$B853, -(-PMT(InterestRate/PaymentsPerYear,LoanTerm*PaymentsPerYear,LoanAmount) + $E853))), 0), 2)</f>
        <v>0</v>
      </c>
      <c r="G853" s="5">
        <f t="shared" si="54"/>
        <v>0</v>
      </c>
      <c r="H853" s="5">
        <f t="shared" si="55"/>
        <v>0</v>
      </c>
    </row>
    <row r="854" spans="1:8" x14ac:dyDescent="0.2">
      <c r="A854" s="2">
        <v>853</v>
      </c>
      <c r="B854" s="5">
        <f t="shared" si="52"/>
        <v>0</v>
      </c>
      <c r="C854" s="5">
        <f t="shared" si="53"/>
        <v>0</v>
      </c>
      <c r="D854" s="5"/>
      <c r="E854" s="5">
        <f>IF($B854 &lt;= 0, 0, -ROUND($B854 * (InterestRate / PaymentsPerYear), 2))</f>
        <v>0</v>
      </c>
      <c r="F854" s="5">
        <f>ROUND(IFERROR(IF($B854&lt;=0,0,
MAX(-$B854, -(-PMT(InterestRate/PaymentsPerYear,LoanTerm*PaymentsPerYear,LoanAmount) + $E854))), 0), 2)</f>
        <v>0</v>
      </c>
      <c r="G854" s="5">
        <f t="shared" si="54"/>
        <v>0</v>
      </c>
      <c r="H854" s="5">
        <f t="shared" si="55"/>
        <v>0</v>
      </c>
    </row>
    <row r="855" spans="1:8" x14ac:dyDescent="0.2">
      <c r="A855" s="2">
        <v>854</v>
      </c>
      <c r="B855" s="5">
        <f t="shared" si="52"/>
        <v>0</v>
      </c>
      <c r="C855" s="5">
        <f t="shared" si="53"/>
        <v>0</v>
      </c>
      <c r="D855" s="5"/>
      <c r="E855" s="5">
        <f>IF($B855 &lt;= 0, 0, -ROUND($B855 * (InterestRate / PaymentsPerYear), 2))</f>
        <v>0</v>
      </c>
      <c r="F855" s="5">
        <f>ROUND(IFERROR(IF($B855&lt;=0,0,
MAX(-$B855, -(-PMT(InterestRate/PaymentsPerYear,LoanTerm*PaymentsPerYear,LoanAmount) + $E855))), 0), 2)</f>
        <v>0</v>
      </c>
      <c r="G855" s="5">
        <f t="shared" si="54"/>
        <v>0</v>
      </c>
      <c r="H855" s="5">
        <f t="shared" si="55"/>
        <v>0</v>
      </c>
    </row>
    <row r="856" spans="1:8" x14ac:dyDescent="0.2">
      <c r="A856" s="2">
        <v>855</v>
      </c>
      <c r="B856" s="5">
        <f t="shared" si="52"/>
        <v>0</v>
      </c>
      <c r="C856" s="5">
        <f t="shared" si="53"/>
        <v>0</v>
      </c>
      <c r="D856" s="5"/>
      <c r="E856" s="5">
        <f>IF($B856 &lt;= 0, 0, -ROUND($B856 * (InterestRate / PaymentsPerYear), 2))</f>
        <v>0</v>
      </c>
      <c r="F856" s="5">
        <f>ROUND(IFERROR(IF($B856&lt;=0,0,
MAX(-$B856, -(-PMT(InterestRate/PaymentsPerYear,LoanTerm*PaymentsPerYear,LoanAmount) + $E856))), 0), 2)</f>
        <v>0</v>
      </c>
      <c r="G856" s="5">
        <f t="shared" si="54"/>
        <v>0</v>
      </c>
      <c r="H856" s="5">
        <f t="shared" si="55"/>
        <v>0</v>
      </c>
    </row>
    <row r="857" spans="1:8" x14ac:dyDescent="0.2">
      <c r="A857" s="2">
        <v>856</v>
      </c>
      <c r="B857" s="5">
        <f t="shared" si="52"/>
        <v>0</v>
      </c>
      <c r="C857" s="5">
        <f t="shared" si="53"/>
        <v>0</v>
      </c>
      <c r="D857" s="5"/>
      <c r="E857" s="5">
        <f>IF($B857 &lt;= 0, 0, -ROUND($B857 * (InterestRate / PaymentsPerYear), 2))</f>
        <v>0</v>
      </c>
      <c r="F857" s="5">
        <f>ROUND(IFERROR(IF($B857&lt;=0,0,
MAX(-$B857, -(-PMT(InterestRate/PaymentsPerYear,LoanTerm*PaymentsPerYear,LoanAmount) + $E857))), 0), 2)</f>
        <v>0</v>
      </c>
      <c r="G857" s="5">
        <f t="shared" si="54"/>
        <v>0</v>
      </c>
      <c r="H857" s="5">
        <f t="shared" si="55"/>
        <v>0</v>
      </c>
    </row>
    <row r="858" spans="1:8" x14ac:dyDescent="0.2">
      <c r="A858" s="2">
        <v>857</v>
      </c>
      <c r="B858" s="5">
        <f t="shared" si="52"/>
        <v>0</v>
      </c>
      <c r="C858" s="5">
        <f t="shared" si="53"/>
        <v>0</v>
      </c>
      <c r="D858" s="5"/>
      <c r="E858" s="5">
        <f>IF($B858 &lt;= 0, 0, -ROUND($B858 * (InterestRate / PaymentsPerYear), 2))</f>
        <v>0</v>
      </c>
      <c r="F858" s="5">
        <f>ROUND(IFERROR(IF($B858&lt;=0,0,
MAX(-$B858, -(-PMT(InterestRate/PaymentsPerYear,LoanTerm*PaymentsPerYear,LoanAmount) + $E858))), 0), 2)</f>
        <v>0</v>
      </c>
      <c r="G858" s="5">
        <f t="shared" si="54"/>
        <v>0</v>
      </c>
      <c r="H858" s="5">
        <f t="shared" si="55"/>
        <v>0</v>
      </c>
    </row>
    <row r="859" spans="1:8" x14ac:dyDescent="0.2">
      <c r="A859" s="2">
        <v>858</v>
      </c>
      <c r="B859" s="5">
        <f t="shared" si="52"/>
        <v>0</v>
      </c>
      <c r="C859" s="5">
        <f t="shared" si="53"/>
        <v>0</v>
      </c>
      <c r="D859" s="5"/>
      <c r="E859" s="5">
        <f>IF($B859 &lt;= 0, 0, -ROUND($B859 * (InterestRate / PaymentsPerYear), 2))</f>
        <v>0</v>
      </c>
      <c r="F859" s="5">
        <f>ROUND(IFERROR(IF($B859&lt;=0,0,
MAX(-$B859, -(-PMT(InterestRate/PaymentsPerYear,LoanTerm*PaymentsPerYear,LoanAmount) + $E859))), 0), 2)</f>
        <v>0</v>
      </c>
      <c r="G859" s="5">
        <f t="shared" si="54"/>
        <v>0</v>
      </c>
      <c r="H859" s="5">
        <f t="shared" si="55"/>
        <v>0</v>
      </c>
    </row>
    <row r="860" spans="1:8" x14ac:dyDescent="0.2">
      <c r="A860" s="2">
        <v>859</v>
      </c>
      <c r="B860" s="5">
        <f t="shared" si="52"/>
        <v>0</v>
      </c>
      <c r="C860" s="5">
        <f t="shared" si="53"/>
        <v>0</v>
      </c>
      <c r="D860" s="5"/>
      <c r="E860" s="5">
        <f>IF($B860 &lt;= 0, 0, -ROUND($B860 * (InterestRate / PaymentsPerYear), 2))</f>
        <v>0</v>
      </c>
      <c r="F860" s="5">
        <f>ROUND(IFERROR(IF($B860&lt;=0,0,
MAX(-$B860, -(-PMT(InterestRate/PaymentsPerYear,LoanTerm*PaymentsPerYear,LoanAmount) + $E860))), 0), 2)</f>
        <v>0</v>
      </c>
      <c r="G860" s="5">
        <f t="shared" si="54"/>
        <v>0</v>
      </c>
      <c r="H860" s="5">
        <f t="shared" si="55"/>
        <v>0</v>
      </c>
    </row>
    <row r="861" spans="1:8" x14ac:dyDescent="0.2">
      <c r="A861" s="2">
        <v>860</v>
      </c>
      <c r="B861" s="5">
        <f t="shared" si="52"/>
        <v>0</v>
      </c>
      <c r="C861" s="5">
        <f t="shared" si="53"/>
        <v>0</v>
      </c>
      <c r="D861" s="5"/>
      <c r="E861" s="5">
        <f>IF($B861 &lt;= 0, 0, -ROUND($B861 * (InterestRate / PaymentsPerYear), 2))</f>
        <v>0</v>
      </c>
      <c r="F861" s="5">
        <f>ROUND(IFERROR(IF($B861&lt;=0,0,
MAX(-$B861, -(-PMT(InterestRate/PaymentsPerYear,LoanTerm*PaymentsPerYear,LoanAmount) + $E861))), 0), 2)</f>
        <v>0</v>
      </c>
      <c r="G861" s="5">
        <f t="shared" si="54"/>
        <v>0</v>
      </c>
      <c r="H861" s="5">
        <f t="shared" si="55"/>
        <v>0</v>
      </c>
    </row>
    <row r="862" spans="1:8" x14ac:dyDescent="0.2">
      <c r="A862" s="2">
        <v>861</v>
      </c>
      <c r="B862" s="5">
        <f t="shared" si="52"/>
        <v>0</v>
      </c>
      <c r="C862" s="5">
        <f t="shared" si="53"/>
        <v>0</v>
      </c>
      <c r="D862" s="5"/>
      <c r="E862" s="5">
        <f>IF($B862 &lt;= 0, 0, -ROUND($B862 * (InterestRate / PaymentsPerYear), 2))</f>
        <v>0</v>
      </c>
      <c r="F862" s="5">
        <f>ROUND(IFERROR(IF($B862&lt;=0,0,
MAX(-$B862, -(-PMT(InterestRate/PaymentsPerYear,LoanTerm*PaymentsPerYear,LoanAmount) + $E862))), 0), 2)</f>
        <v>0</v>
      </c>
      <c r="G862" s="5">
        <f t="shared" si="54"/>
        <v>0</v>
      </c>
      <c r="H862" s="5">
        <f t="shared" si="55"/>
        <v>0</v>
      </c>
    </row>
    <row r="863" spans="1:8" x14ac:dyDescent="0.2">
      <c r="A863" s="2">
        <v>862</v>
      </c>
      <c r="B863" s="5">
        <f t="shared" si="52"/>
        <v>0</v>
      </c>
      <c r="C863" s="5">
        <f t="shared" si="53"/>
        <v>0</v>
      </c>
      <c r="D863" s="5"/>
      <c r="E863" s="5">
        <f>IF($B863 &lt;= 0, 0, -ROUND($B863 * (InterestRate / PaymentsPerYear), 2))</f>
        <v>0</v>
      </c>
      <c r="F863" s="5">
        <f>ROUND(IFERROR(IF($B863&lt;=0,0,
MAX(-$B863, -(-PMT(InterestRate/PaymentsPerYear,LoanTerm*PaymentsPerYear,LoanAmount) + $E863))), 0), 2)</f>
        <v>0</v>
      </c>
      <c r="G863" s="5">
        <f t="shared" si="54"/>
        <v>0</v>
      </c>
      <c r="H863" s="5">
        <f t="shared" si="55"/>
        <v>0</v>
      </c>
    </row>
    <row r="864" spans="1:8" x14ac:dyDescent="0.2">
      <c r="A864" s="2">
        <v>863</v>
      </c>
      <c r="B864" s="5">
        <f t="shared" si="52"/>
        <v>0</v>
      </c>
      <c r="C864" s="5">
        <f t="shared" si="53"/>
        <v>0</v>
      </c>
      <c r="D864" s="5"/>
      <c r="E864" s="5">
        <f>IF($B864 &lt;= 0, 0, -ROUND($B864 * (InterestRate / PaymentsPerYear), 2))</f>
        <v>0</v>
      </c>
      <c r="F864" s="5">
        <f>ROUND(IFERROR(IF($B864&lt;=0,0,
MAX(-$B864, -(-PMT(InterestRate/PaymentsPerYear,LoanTerm*PaymentsPerYear,LoanAmount) + $E864))), 0), 2)</f>
        <v>0</v>
      </c>
      <c r="G864" s="5">
        <f t="shared" si="54"/>
        <v>0</v>
      </c>
      <c r="H864" s="5">
        <f t="shared" si="55"/>
        <v>0</v>
      </c>
    </row>
    <row r="865" spans="1:8" x14ac:dyDescent="0.2">
      <c r="A865" s="2">
        <v>864</v>
      </c>
      <c r="B865" s="5">
        <f t="shared" si="52"/>
        <v>0</v>
      </c>
      <c r="C865" s="5">
        <f t="shared" si="53"/>
        <v>0</v>
      </c>
      <c r="D865" s="5"/>
      <c r="E865" s="5">
        <f>IF($B865 &lt;= 0, 0, -ROUND($B865 * (InterestRate / PaymentsPerYear), 2))</f>
        <v>0</v>
      </c>
      <c r="F865" s="5">
        <f>ROUND(IFERROR(IF($B865&lt;=0,0,
MAX(-$B865, -(-PMT(InterestRate/PaymentsPerYear,LoanTerm*PaymentsPerYear,LoanAmount) + $E865))), 0), 2)</f>
        <v>0</v>
      </c>
      <c r="G865" s="5">
        <f t="shared" si="54"/>
        <v>0</v>
      </c>
      <c r="H865" s="5">
        <f t="shared" si="55"/>
        <v>0</v>
      </c>
    </row>
    <row r="866" spans="1:8" x14ac:dyDescent="0.2">
      <c r="A866" s="2">
        <v>865</v>
      </c>
      <c r="B866" s="5">
        <f t="shared" si="52"/>
        <v>0</v>
      </c>
      <c r="C866" s="5">
        <f t="shared" si="53"/>
        <v>0</v>
      </c>
      <c r="D866" s="5"/>
      <c r="E866" s="5">
        <f>IF($B866 &lt;= 0, 0, -ROUND($B866 * (InterestRate / PaymentsPerYear), 2))</f>
        <v>0</v>
      </c>
      <c r="F866" s="5">
        <f>ROUND(IFERROR(IF($B866&lt;=0,0,
MAX(-$B866, -(-PMT(InterestRate/PaymentsPerYear,LoanTerm*PaymentsPerYear,LoanAmount) + $E866))), 0), 2)</f>
        <v>0</v>
      </c>
      <c r="G866" s="5">
        <f t="shared" si="54"/>
        <v>0</v>
      </c>
      <c r="H866" s="5">
        <f t="shared" si="55"/>
        <v>0</v>
      </c>
    </row>
    <row r="867" spans="1:8" x14ac:dyDescent="0.2">
      <c r="A867" s="2">
        <v>866</v>
      </c>
      <c r="B867" s="5">
        <f t="shared" si="52"/>
        <v>0</v>
      </c>
      <c r="C867" s="5">
        <f t="shared" si="53"/>
        <v>0</v>
      </c>
      <c r="D867" s="5"/>
      <c r="E867" s="5">
        <f>IF($B867 &lt;= 0, 0, -ROUND($B867 * (InterestRate / PaymentsPerYear), 2))</f>
        <v>0</v>
      </c>
      <c r="F867" s="5">
        <f>ROUND(IFERROR(IF($B867&lt;=0,0,
MAX(-$B867, -(-PMT(InterestRate/PaymentsPerYear,LoanTerm*PaymentsPerYear,LoanAmount) + $E867))), 0), 2)</f>
        <v>0</v>
      </c>
      <c r="G867" s="5">
        <f t="shared" si="54"/>
        <v>0</v>
      </c>
      <c r="H867" s="5">
        <f t="shared" si="55"/>
        <v>0</v>
      </c>
    </row>
    <row r="868" spans="1:8" x14ac:dyDescent="0.2">
      <c r="A868" s="2">
        <v>867</v>
      </c>
      <c r="B868" s="5">
        <f t="shared" si="52"/>
        <v>0</v>
      </c>
      <c r="C868" s="5">
        <f t="shared" si="53"/>
        <v>0</v>
      </c>
      <c r="D868" s="5"/>
      <c r="E868" s="5">
        <f>IF($B868 &lt;= 0, 0, -ROUND($B868 * (InterestRate / PaymentsPerYear), 2))</f>
        <v>0</v>
      </c>
      <c r="F868" s="5">
        <f>ROUND(IFERROR(IF($B868&lt;=0,0,
MAX(-$B868, -(-PMT(InterestRate/PaymentsPerYear,LoanTerm*PaymentsPerYear,LoanAmount) + $E868))), 0), 2)</f>
        <v>0</v>
      </c>
      <c r="G868" s="5">
        <f t="shared" si="54"/>
        <v>0</v>
      </c>
      <c r="H868" s="5">
        <f t="shared" si="55"/>
        <v>0</v>
      </c>
    </row>
    <row r="869" spans="1:8" x14ac:dyDescent="0.2">
      <c r="A869" s="2">
        <v>868</v>
      </c>
      <c r="B869" s="5">
        <f t="shared" si="52"/>
        <v>0</v>
      </c>
      <c r="C869" s="5">
        <f t="shared" si="53"/>
        <v>0</v>
      </c>
      <c r="D869" s="5"/>
      <c r="E869" s="5">
        <f>IF($B869 &lt;= 0, 0, -ROUND($B869 * (InterestRate / PaymentsPerYear), 2))</f>
        <v>0</v>
      </c>
      <c r="F869" s="5">
        <f>ROUND(IFERROR(IF($B869&lt;=0,0,
MAX(-$B869, -(-PMT(InterestRate/PaymentsPerYear,LoanTerm*PaymentsPerYear,LoanAmount) + $E869))), 0), 2)</f>
        <v>0</v>
      </c>
      <c r="G869" s="5">
        <f t="shared" si="54"/>
        <v>0</v>
      </c>
      <c r="H869" s="5">
        <f t="shared" si="55"/>
        <v>0</v>
      </c>
    </row>
    <row r="870" spans="1:8" x14ac:dyDescent="0.2">
      <c r="A870" s="2">
        <v>869</v>
      </c>
      <c r="B870" s="5">
        <f t="shared" si="52"/>
        <v>0</v>
      </c>
      <c r="C870" s="5">
        <f t="shared" si="53"/>
        <v>0</v>
      </c>
      <c r="D870" s="5"/>
      <c r="E870" s="5">
        <f>IF($B870 &lt;= 0, 0, -ROUND($B870 * (InterestRate / PaymentsPerYear), 2))</f>
        <v>0</v>
      </c>
      <c r="F870" s="5">
        <f>ROUND(IFERROR(IF($B870&lt;=0,0,
MAX(-$B870, -(-PMT(InterestRate/PaymentsPerYear,LoanTerm*PaymentsPerYear,LoanAmount) + $E870))), 0), 2)</f>
        <v>0</v>
      </c>
      <c r="G870" s="5">
        <f t="shared" si="54"/>
        <v>0</v>
      </c>
      <c r="H870" s="5">
        <f t="shared" si="55"/>
        <v>0</v>
      </c>
    </row>
    <row r="871" spans="1:8" x14ac:dyDescent="0.2">
      <c r="A871" s="2">
        <v>870</v>
      </c>
      <c r="B871" s="5">
        <f t="shared" si="52"/>
        <v>0</v>
      </c>
      <c r="C871" s="5">
        <f t="shared" si="53"/>
        <v>0</v>
      </c>
      <c r="D871" s="5"/>
      <c r="E871" s="5">
        <f>IF($B871 &lt;= 0, 0, -ROUND($B871 * (InterestRate / PaymentsPerYear), 2))</f>
        <v>0</v>
      </c>
      <c r="F871" s="5">
        <f>ROUND(IFERROR(IF($B871&lt;=0,0,
MAX(-$B871, -(-PMT(InterestRate/PaymentsPerYear,LoanTerm*PaymentsPerYear,LoanAmount) + $E871))), 0), 2)</f>
        <v>0</v>
      </c>
      <c r="G871" s="5">
        <f t="shared" si="54"/>
        <v>0</v>
      </c>
      <c r="H871" s="5">
        <f t="shared" si="55"/>
        <v>0</v>
      </c>
    </row>
    <row r="872" spans="1:8" x14ac:dyDescent="0.2">
      <c r="A872" s="2">
        <v>871</v>
      </c>
      <c r="B872" s="5">
        <f t="shared" si="52"/>
        <v>0</v>
      </c>
      <c r="C872" s="5">
        <f t="shared" si="53"/>
        <v>0</v>
      </c>
      <c r="D872" s="5"/>
      <c r="E872" s="5">
        <f>IF($B872 &lt;= 0, 0, -ROUND($B872 * (InterestRate / PaymentsPerYear), 2))</f>
        <v>0</v>
      </c>
      <c r="F872" s="5">
        <f>ROUND(IFERROR(IF($B872&lt;=0,0,
MAX(-$B872, -(-PMT(InterestRate/PaymentsPerYear,LoanTerm*PaymentsPerYear,LoanAmount) + $E872))), 0), 2)</f>
        <v>0</v>
      </c>
      <c r="G872" s="5">
        <f t="shared" si="54"/>
        <v>0</v>
      </c>
      <c r="H872" s="5">
        <f t="shared" si="55"/>
        <v>0</v>
      </c>
    </row>
    <row r="873" spans="1:8" x14ac:dyDescent="0.2">
      <c r="A873" s="2">
        <v>872</v>
      </c>
      <c r="B873" s="5">
        <f t="shared" si="52"/>
        <v>0</v>
      </c>
      <c r="C873" s="5">
        <f t="shared" si="53"/>
        <v>0</v>
      </c>
      <c r="D873" s="5"/>
      <c r="E873" s="5">
        <f>IF($B873 &lt;= 0, 0, -ROUND($B873 * (InterestRate / PaymentsPerYear), 2))</f>
        <v>0</v>
      </c>
      <c r="F873" s="5">
        <f>ROUND(IFERROR(IF($B873&lt;=0,0,
MAX(-$B873, -(-PMT(InterestRate/PaymentsPerYear,LoanTerm*PaymentsPerYear,LoanAmount) + $E873))), 0), 2)</f>
        <v>0</v>
      </c>
      <c r="G873" s="5">
        <f t="shared" si="54"/>
        <v>0</v>
      </c>
      <c r="H873" s="5">
        <f t="shared" si="55"/>
        <v>0</v>
      </c>
    </row>
    <row r="874" spans="1:8" x14ac:dyDescent="0.2">
      <c r="A874" s="2">
        <v>873</v>
      </c>
      <c r="B874" s="5">
        <f t="shared" si="52"/>
        <v>0</v>
      </c>
      <c r="C874" s="5">
        <f t="shared" si="53"/>
        <v>0</v>
      </c>
      <c r="D874" s="5"/>
      <c r="E874" s="5">
        <f>IF($B874 &lt;= 0, 0, -ROUND($B874 * (InterestRate / PaymentsPerYear), 2))</f>
        <v>0</v>
      </c>
      <c r="F874" s="5">
        <f>ROUND(IFERROR(IF($B874&lt;=0,0,
MAX(-$B874, -(-PMT(InterestRate/PaymentsPerYear,LoanTerm*PaymentsPerYear,LoanAmount) + $E874))), 0), 2)</f>
        <v>0</v>
      </c>
      <c r="G874" s="5">
        <f t="shared" si="54"/>
        <v>0</v>
      </c>
      <c r="H874" s="5">
        <f t="shared" si="55"/>
        <v>0</v>
      </c>
    </row>
    <row r="875" spans="1:8" x14ac:dyDescent="0.2">
      <c r="A875" s="2">
        <v>874</v>
      </c>
      <c r="B875" s="5">
        <f t="shared" si="52"/>
        <v>0</v>
      </c>
      <c r="C875" s="5">
        <f t="shared" si="53"/>
        <v>0</v>
      </c>
      <c r="D875" s="5"/>
      <c r="E875" s="5">
        <f>IF($B875 &lt;= 0, 0, -ROUND($B875 * (InterestRate / PaymentsPerYear), 2))</f>
        <v>0</v>
      </c>
      <c r="F875" s="5">
        <f>ROUND(IFERROR(IF($B875&lt;=0,0,
MAX(-$B875, -(-PMT(InterestRate/PaymentsPerYear,LoanTerm*PaymentsPerYear,LoanAmount) + $E875))), 0), 2)</f>
        <v>0</v>
      </c>
      <c r="G875" s="5">
        <f t="shared" si="54"/>
        <v>0</v>
      </c>
      <c r="H875" s="5">
        <f t="shared" si="55"/>
        <v>0</v>
      </c>
    </row>
    <row r="876" spans="1:8" x14ac:dyDescent="0.2">
      <c r="A876" s="2">
        <v>875</v>
      </c>
      <c r="B876" s="5">
        <f t="shared" si="52"/>
        <v>0</v>
      </c>
      <c r="C876" s="5">
        <f t="shared" si="53"/>
        <v>0</v>
      </c>
      <c r="D876" s="5"/>
      <c r="E876" s="5">
        <f>IF($B876 &lt;= 0, 0, -ROUND($B876 * (InterestRate / PaymentsPerYear), 2))</f>
        <v>0</v>
      </c>
      <c r="F876" s="5">
        <f>ROUND(IFERROR(IF($B876&lt;=0,0,
MAX(-$B876, -(-PMT(InterestRate/PaymentsPerYear,LoanTerm*PaymentsPerYear,LoanAmount) + $E876))), 0), 2)</f>
        <v>0</v>
      </c>
      <c r="G876" s="5">
        <f t="shared" si="54"/>
        <v>0</v>
      </c>
      <c r="H876" s="5">
        <f t="shared" si="55"/>
        <v>0</v>
      </c>
    </row>
    <row r="877" spans="1:8" x14ac:dyDescent="0.2">
      <c r="A877" s="2">
        <v>876</v>
      </c>
      <c r="B877" s="5">
        <f t="shared" si="52"/>
        <v>0</v>
      </c>
      <c r="C877" s="5">
        <f t="shared" si="53"/>
        <v>0</v>
      </c>
      <c r="D877" s="5"/>
      <c r="E877" s="5">
        <f>IF($B877 &lt;= 0, 0, -ROUND($B877 * (InterestRate / PaymentsPerYear), 2))</f>
        <v>0</v>
      </c>
      <c r="F877" s="5">
        <f>ROUND(IFERROR(IF($B877&lt;=0,0,
MAX(-$B877, -(-PMT(InterestRate/PaymentsPerYear,LoanTerm*PaymentsPerYear,LoanAmount) + $E877))), 0), 2)</f>
        <v>0</v>
      </c>
      <c r="G877" s="5">
        <f t="shared" si="54"/>
        <v>0</v>
      </c>
      <c r="H877" s="5">
        <f t="shared" si="55"/>
        <v>0</v>
      </c>
    </row>
    <row r="878" spans="1:8" x14ac:dyDescent="0.2">
      <c r="A878" s="2">
        <v>877</v>
      </c>
      <c r="B878" s="5">
        <f t="shared" si="52"/>
        <v>0</v>
      </c>
      <c r="C878" s="5">
        <f t="shared" si="53"/>
        <v>0</v>
      </c>
      <c r="D878" s="5"/>
      <c r="E878" s="5">
        <f>IF($B878 &lt;= 0, 0, -ROUND($B878 * (InterestRate / PaymentsPerYear), 2))</f>
        <v>0</v>
      </c>
      <c r="F878" s="5">
        <f>ROUND(IFERROR(IF($B878&lt;=0,0,
MAX(-$B878, -(-PMT(InterestRate/PaymentsPerYear,LoanTerm*PaymentsPerYear,LoanAmount) + $E878))), 0), 2)</f>
        <v>0</v>
      </c>
      <c r="G878" s="5">
        <f t="shared" si="54"/>
        <v>0</v>
      </c>
      <c r="H878" s="5">
        <f t="shared" si="55"/>
        <v>0</v>
      </c>
    </row>
    <row r="879" spans="1:8" x14ac:dyDescent="0.2">
      <c r="A879" s="2">
        <v>878</v>
      </c>
      <c r="B879" s="5">
        <f t="shared" si="52"/>
        <v>0</v>
      </c>
      <c r="C879" s="5">
        <f t="shared" si="53"/>
        <v>0</v>
      </c>
      <c r="D879" s="5"/>
      <c r="E879" s="5">
        <f>IF($B879 &lt;= 0, 0, -ROUND($B879 * (InterestRate / PaymentsPerYear), 2))</f>
        <v>0</v>
      </c>
      <c r="F879" s="5">
        <f>ROUND(IFERROR(IF($B879&lt;=0,0,
MAX(-$B879, -(-PMT(InterestRate/PaymentsPerYear,LoanTerm*PaymentsPerYear,LoanAmount) + $E879))), 0), 2)</f>
        <v>0</v>
      </c>
      <c r="G879" s="5">
        <f t="shared" si="54"/>
        <v>0</v>
      </c>
      <c r="H879" s="5">
        <f t="shared" si="55"/>
        <v>0</v>
      </c>
    </row>
    <row r="880" spans="1:8" x14ac:dyDescent="0.2">
      <c r="A880" s="2">
        <v>879</v>
      </c>
      <c r="B880" s="5">
        <f t="shared" si="52"/>
        <v>0</v>
      </c>
      <c r="C880" s="5">
        <f t="shared" si="53"/>
        <v>0</v>
      </c>
      <c r="D880" s="5"/>
      <c r="E880" s="5">
        <f>IF($B880 &lt;= 0, 0, -ROUND($B880 * (InterestRate / PaymentsPerYear), 2))</f>
        <v>0</v>
      </c>
      <c r="F880" s="5">
        <f>ROUND(IFERROR(IF($B880&lt;=0,0,
MAX(-$B880, -(-PMT(InterestRate/PaymentsPerYear,LoanTerm*PaymentsPerYear,LoanAmount) + $E880))), 0), 2)</f>
        <v>0</v>
      </c>
      <c r="G880" s="5">
        <f t="shared" si="54"/>
        <v>0</v>
      </c>
      <c r="H880" s="5">
        <f t="shared" si="55"/>
        <v>0</v>
      </c>
    </row>
    <row r="881" spans="1:8" x14ac:dyDescent="0.2">
      <c r="A881" s="2">
        <v>880</v>
      </c>
      <c r="B881" s="5">
        <f t="shared" si="52"/>
        <v>0</v>
      </c>
      <c r="C881" s="5">
        <f t="shared" si="53"/>
        <v>0</v>
      </c>
      <c r="D881" s="5"/>
      <c r="E881" s="5">
        <f>IF($B881 &lt;= 0, 0, -ROUND($B881 * (InterestRate / PaymentsPerYear), 2))</f>
        <v>0</v>
      </c>
      <c r="F881" s="5">
        <f>ROUND(IFERROR(IF($B881&lt;=0,0,
MAX(-$B881, -(-PMT(InterestRate/PaymentsPerYear,LoanTerm*PaymentsPerYear,LoanAmount) + $E881))), 0), 2)</f>
        <v>0</v>
      </c>
      <c r="G881" s="5">
        <f t="shared" si="54"/>
        <v>0</v>
      </c>
      <c r="H881" s="5">
        <f t="shared" si="55"/>
        <v>0</v>
      </c>
    </row>
    <row r="882" spans="1:8" x14ac:dyDescent="0.2">
      <c r="A882" s="2">
        <v>881</v>
      </c>
      <c r="B882" s="5">
        <f t="shared" si="52"/>
        <v>0</v>
      </c>
      <c r="C882" s="5">
        <f t="shared" si="53"/>
        <v>0</v>
      </c>
      <c r="D882" s="5"/>
      <c r="E882" s="5">
        <f>IF($B882 &lt;= 0, 0, -ROUND($B882 * (InterestRate / PaymentsPerYear), 2))</f>
        <v>0</v>
      </c>
      <c r="F882" s="5">
        <f>ROUND(IFERROR(IF($B882&lt;=0,0,
MAX(-$B882, -(-PMT(InterestRate/PaymentsPerYear,LoanTerm*PaymentsPerYear,LoanAmount) + $E882))), 0), 2)</f>
        <v>0</v>
      </c>
      <c r="G882" s="5">
        <f t="shared" si="54"/>
        <v>0</v>
      </c>
      <c r="H882" s="5">
        <f t="shared" si="55"/>
        <v>0</v>
      </c>
    </row>
    <row r="883" spans="1:8" x14ac:dyDescent="0.2">
      <c r="A883" s="2">
        <v>882</v>
      </c>
      <c r="B883" s="5">
        <f t="shared" si="52"/>
        <v>0</v>
      </c>
      <c r="C883" s="5">
        <f t="shared" si="53"/>
        <v>0</v>
      </c>
      <c r="D883" s="5"/>
      <c r="E883" s="5">
        <f>IF($B883 &lt;= 0, 0, -ROUND($B883 * (InterestRate / PaymentsPerYear), 2))</f>
        <v>0</v>
      </c>
      <c r="F883" s="5">
        <f>ROUND(IFERROR(IF($B883&lt;=0,0,
MAX(-$B883, -(-PMT(InterestRate/PaymentsPerYear,LoanTerm*PaymentsPerYear,LoanAmount) + $E883))), 0), 2)</f>
        <v>0</v>
      </c>
      <c r="G883" s="5">
        <f t="shared" si="54"/>
        <v>0</v>
      </c>
      <c r="H883" s="5">
        <f t="shared" si="55"/>
        <v>0</v>
      </c>
    </row>
    <row r="884" spans="1:8" x14ac:dyDescent="0.2">
      <c r="A884" s="2">
        <v>883</v>
      </c>
      <c r="B884" s="5">
        <f t="shared" si="52"/>
        <v>0</v>
      </c>
      <c r="C884" s="5">
        <f t="shared" si="53"/>
        <v>0</v>
      </c>
      <c r="D884" s="5"/>
      <c r="E884" s="5">
        <f>IF($B884 &lt;= 0, 0, -ROUND($B884 * (InterestRate / PaymentsPerYear), 2))</f>
        <v>0</v>
      </c>
      <c r="F884" s="5">
        <f>ROUND(IFERROR(IF($B884&lt;=0,0,
MAX(-$B884, -(-PMT(InterestRate/PaymentsPerYear,LoanTerm*PaymentsPerYear,LoanAmount) + $E884))), 0), 2)</f>
        <v>0</v>
      </c>
      <c r="G884" s="5">
        <f t="shared" si="54"/>
        <v>0</v>
      </c>
      <c r="H884" s="5">
        <f t="shared" si="55"/>
        <v>0</v>
      </c>
    </row>
    <row r="885" spans="1:8" x14ac:dyDescent="0.2">
      <c r="A885" s="2">
        <v>884</v>
      </c>
      <c r="B885" s="5">
        <f t="shared" si="52"/>
        <v>0</v>
      </c>
      <c r="C885" s="5">
        <f t="shared" si="53"/>
        <v>0</v>
      </c>
      <c r="D885" s="5"/>
      <c r="E885" s="5">
        <f>IF($B885 &lt;= 0, 0, -ROUND($B885 * (InterestRate / PaymentsPerYear), 2))</f>
        <v>0</v>
      </c>
      <c r="F885" s="5">
        <f>ROUND(IFERROR(IF($B885&lt;=0,0,
MAX(-$B885, -(-PMT(InterestRate/PaymentsPerYear,LoanTerm*PaymentsPerYear,LoanAmount) + $E885))), 0), 2)</f>
        <v>0</v>
      </c>
      <c r="G885" s="5">
        <f t="shared" si="54"/>
        <v>0</v>
      </c>
      <c r="H885" s="5">
        <f t="shared" si="55"/>
        <v>0</v>
      </c>
    </row>
    <row r="886" spans="1:8" x14ac:dyDescent="0.2">
      <c r="A886" s="2">
        <v>885</v>
      </c>
      <c r="B886" s="5">
        <f t="shared" si="52"/>
        <v>0</v>
      </c>
      <c r="C886" s="5">
        <f t="shared" si="53"/>
        <v>0</v>
      </c>
      <c r="D886" s="5"/>
      <c r="E886" s="5">
        <f>IF($B886 &lt;= 0, 0, -ROUND($B886 * (InterestRate / PaymentsPerYear), 2))</f>
        <v>0</v>
      </c>
      <c r="F886" s="5">
        <f>ROUND(IFERROR(IF($B886&lt;=0,0,
MAX(-$B886, -(-PMT(InterestRate/PaymentsPerYear,LoanTerm*PaymentsPerYear,LoanAmount) + $E886))), 0), 2)</f>
        <v>0</v>
      </c>
      <c r="G886" s="5">
        <f t="shared" si="54"/>
        <v>0</v>
      </c>
      <c r="H886" s="5">
        <f t="shared" si="55"/>
        <v>0</v>
      </c>
    </row>
    <row r="887" spans="1:8" x14ac:dyDescent="0.2">
      <c r="A887" s="2">
        <v>886</v>
      </c>
      <c r="B887" s="5">
        <f t="shared" si="52"/>
        <v>0</v>
      </c>
      <c r="C887" s="5">
        <f t="shared" si="53"/>
        <v>0</v>
      </c>
      <c r="D887" s="5"/>
      <c r="E887" s="5">
        <f>IF($B887 &lt;= 0, 0, -ROUND($B887 * (InterestRate / PaymentsPerYear), 2))</f>
        <v>0</v>
      </c>
      <c r="F887" s="5">
        <f>ROUND(IFERROR(IF($B887&lt;=0,0,
MAX(-$B887, -(-PMT(InterestRate/PaymentsPerYear,LoanTerm*PaymentsPerYear,LoanAmount) + $E887))), 0), 2)</f>
        <v>0</v>
      </c>
      <c r="G887" s="5">
        <f t="shared" si="54"/>
        <v>0</v>
      </c>
      <c r="H887" s="5">
        <f t="shared" si="55"/>
        <v>0</v>
      </c>
    </row>
    <row r="888" spans="1:8" x14ac:dyDescent="0.2">
      <c r="A888" s="2">
        <v>887</v>
      </c>
      <c r="B888" s="5">
        <f t="shared" si="52"/>
        <v>0</v>
      </c>
      <c r="C888" s="5">
        <f t="shared" si="53"/>
        <v>0</v>
      </c>
      <c r="D888" s="5"/>
      <c r="E888" s="5">
        <f>IF($B888 &lt;= 0, 0, -ROUND($B888 * (InterestRate / PaymentsPerYear), 2))</f>
        <v>0</v>
      </c>
      <c r="F888" s="5">
        <f>ROUND(IFERROR(IF($B888&lt;=0,0,
MAX(-$B888, -(-PMT(InterestRate/PaymentsPerYear,LoanTerm*PaymentsPerYear,LoanAmount) + $E888))), 0), 2)</f>
        <v>0</v>
      </c>
      <c r="G888" s="5">
        <f t="shared" si="54"/>
        <v>0</v>
      </c>
      <c r="H888" s="5">
        <f t="shared" si="55"/>
        <v>0</v>
      </c>
    </row>
    <row r="889" spans="1:8" x14ac:dyDescent="0.2">
      <c r="A889" s="2">
        <v>888</v>
      </c>
      <c r="B889" s="5">
        <f t="shared" si="52"/>
        <v>0</v>
      </c>
      <c r="C889" s="5">
        <f t="shared" si="53"/>
        <v>0</v>
      </c>
      <c r="D889" s="5"/>
      <c r="E889" s="5">
        <f>IF($B889 &lt;= 0, 0, -ROUND($B889 * (InterestRate / PaymentsPerYear), 2))</f>
        <v>0</v>
      </c>
      <c r="F889" s="5">
        <f>ROUND(IFERROR(IF($B889&lt;=0,0,
MAX(-$B889, -(-PMT(InterestRate/PaymentsPerYear,LoanTerm*PaymentsPerYear,LoanAmount) + $E889))), 0), 2)</f>
        <v>0</v>
      </c>
      <c r="G889" s="5">
        <f t="shared" si="54"/>
        <v>0</v>
      </c>
      <c r="H889" s="5">
        <f t="shared" si="55"/>
        <v>0</v>
      </c>
    </row>
    <row r="890" spans="1:8" x14ac:dyDescent="0.2">
      <c r="A890" s="2">
        <v>889</v>
      </c>
      <c r="B890" s="5">
        <f t="shared" si="52"/>
        <v>0</v>
      </c>
      <c r="C890" s="5">
        <f t="shared" si="53"/>
        <v>0</v>
      </c>
      <c r="D890" s="5"/>
      <c r="E890" s="5">
        <f>IF($B890 &lt;= 0, 0, -ROUND($B890 * (InterestRate / PaymentsPerYear), 2))</f>
        <v>0</v>
      </c>
      <c r="F890" s="5">
        <f>ROUND(IFERROR(IF($B890&lt;=0,0,
MAX(-$B890, -(-PMT(InterestRate/PaymentsPerYear,LoanTerm*PaymentsPerYear,LoanAmount) + $E890))), 0), 2)</f>
        <v>0</v>
      </c>
      <c r="G890" s="5">
        <f t="shared" si="54"/>
        <v>0</v>
      </c>
      <c r="H890" s="5">
        <f t="shared" si="55"/>
        <v>0</v>
      </c>
    </row>
    <row r="891" spans="1:8" x14ac:dyDescent="0.2">
      <c r="A891" s="2">
        <v>890</v>
      </c>
      <c r="B891" s="5">
        <f t="shared" si="52"/>
        <v>0</v>
      </c>
      <c r="C891" s="5">
        <f t="shared" si="53"/>
        <v>0</v>
      </c>
      <c r="D891" s="5"/>
      <c r="E891" s="5">
        <f>IF($B891 &lt;= 0, 0, -ROUND($B891 * (InterestRate / PaymentsPerYear), 2))</f>
        <v>0</v>
      </c>
      <c r="F891" s="5">
        <f>ROUND(IFERROR(IF($B891&lt;=0,0,
MAX(-$B891, -(-PMT(InterestRate/PaymentsPerYear,LoanTerm*PaymentsPerYear,LoanAmount) + $E891))), 0), 2)</f>
        <v>0</v>
      </c>
      <c r="G891" s="5">
        <f t="shared" si="54"/>
        <v>0</v>
      </c>
      <c r="H891" s="5">
        <f t="shared" si="55"/>
        <v>0</v>
      </c>
    </row>
    <row r="892" spans="1:8" x14ac:dyDescent="0.2">
      <c r="A892" s="2">
        <v>891</v>
      </c>
      <c r="B892" s="5">
        <f t="shared" si="52"/>
        <v>0</v>
      </c>
      <c r="C892" s="5">
        <f t="shared" si="53"/>
        <v>0</v>
      </c>
      <c r="D892" s="5"/>
      <c r="E892" s="5">
        <f>IF($B892 &lt;= 0, 0, -ROUND($B892 * (InterestRate / PaymentsPerYear), 2))</f>
        <v>0</v>
      </c>
      <c r="F892" s="5">
        <f>ROUND(IFERROR(IF($B892&lt;=0,0,
MAX(-$B892, -(-PMT(InterestRate/PaymentsPerYear,LoanTerm*PaymentsPerYear,LoanAmount) + $E892))), 0), 2)</f>
        <v>0</v>
      </c>
      <c r="G892" s="5">
        <f t="shared" si="54"/>
        <v>0</v>
      </c>
      <c r="H892" s="5">
        <f t="shared" si="55"/>
        <v>0</v>
      </c>
    </row>
    <row r="893" spans="1:8" x14ac:dyDescent="0.2">
      <c r="A893" s="2">
        <v>892</v>
      </c>
      <c r="B893" s="5">
        <f t="shared" si="52"/>
        <v>0</v>
      </c>
      <c r="C893" s="5">
        <f t="shared" si="53"/>
        <v>0</v>
      </c>
      <c r="D893" s="5"/>
      <c r="E893" s="5">
        <f>IF($B893 &lt;= 0, 0, -ROUND($B893 * (InterestRate / PaymentsPerYear), 2))</f>
        <v>0</v>
      </c>
      <c r="F893" s="5">
        <f>ROUND(IFERROR(IF($B893&lt;=0,0,
MAX(-$B893, -(-PMT(InterestRate/PaymentsPerYear,LoanTerm*PaymentsPerYear,LoanAmount) + $E893))), 0), 2)</f>
        <v>0</v>
      </c>
      <c r="G893" s="5">
        <f t="shared" si="54"/>
        <v>0</v>
      </c>
      <c r="H893" s="5">
        <f t="shared" si="55"/>
        <v>0</v>
      </c>
    </row>
    <row r="894" spans="1:8" x14ac:dyDescent="0.2">
      <c r="A894" s="2">
        <v>893</v>
      </c>
      <c r="B894" s="5">
        <f t="shared" si="52"/>
        <v>0</v>
      </c>
      <c r="C894" s="5">
        <f t="shared" si="53"/>
        <v>0</v>
      </c>
      <c r="D894" s="5"/>
      <c r="E894" s="5">
        <f>IF($B894 &lt;= 0, 0, -ROUND($B894 * (InterestRate / PaymentsPerYear), 2))</f>
        <v>0</v>
      </c>
      <c r="F894" s="5">
        <f>ROUND(IFERROR(IF($B894&lt;=0,0,
MAX(-$B894, -(-PMT(InterestRate/PaymentsPerYear,LoanTerm*PaymentsPerYear,LoanAmount) + $E894))), 0), 2)</f>
        <v>0</v>
      </c>
      <c r="G894" s="5">
        <f t="shared" si="54"/>
        <v>0</v>
      </c>
      <c r="H894" s="5">
        <f t="shared" si="55"/>
        <v>0</v>
      </c>
    </row>
    <row r="895" spans="1:8" x14ac:dyDescent="0.2">
      <c r="A895" s="2">
        <v>894</v>
      </c>
      <c r="B895" s="5">
        <f t="shared" si="52"/>
        <v>0</v>
      </c>
      <c r="C895" s="5">
        <f t="shared" si="53"/>
        <v>0</v>
      </c>
      <c r="D895" s="5"/>
      <c r="E895" s="5">
        <f>IF($B895 &lt;= 0, 0, -ROUND($B895 * (InterestRate / PaymentsPerYear), 2))</f>
        <v>0</v>
      </c>
      <c r="F895" s="5">
        <f>ROUND(IFERROR(IF($B895&lt;=0,0,
MAX(-$B895, -(-PMT(InterestRate/PaymentsPerYear,LoanTerm*PaymentsPerYear,LoanAmount) + $E895))), 0), 2)</f>
        <v>0</v>
      </c>
      <c r="G895" s="5">
        <f t="shared" si="54"/>
        <v>0</v>
      </c>
      <c r="H895" s="5">
        <f t="shared" si="55"/>
        <v>0</v>
      </c>
    </row>
    <row r="896" spans="1:8" x14ac:dyDescent="0.2">
      <c r="A896" s="2">
        <v>895</v>
      </c>
      <c r="B896" s="5">
        <f t="shared" si="52"/>
        <v>0</v>
      </c>
      <c r="C896" s="5">
        <f t="shared" si="53"/>
        <v>0</v>
      </c>
      <c r="D896" s="5"/>
      <c r="E896" s="5">
        <f>IF($B896 &lt;= 0, 0, -ROUND($B896 * (InterestRate / PaymentsPerYear), 2))</f>
        <v>0</v>
      </c>
      <c r="F896" s="5">
        <f>ROUND(IFERROR(IF($B896&lt;=0,0,
MAX(-$B896, -(-PMT(InterestRate/PaymentsPerYear,LoanTerm*PaymentsPerYear,LoanAmount) + $E896))), 0), 2)</f>
        <v>0</v>
      </c>
      <c r="G896" s="5">
        <f t="shared" si="54"/>
        <v>0</v>
      </c>
      <c r="H896" s="5">
        <f t="shared" si="55"/>
        <v>0</v>
      </c>
    </row>
    <row r="897" spans="1:8" x14ac:dyDescent="0.2">
      <c r="A897" s="2">
        <v>896</v>
      </c>
      <c r="B897" s="5">
        <f t="shared" si="52"/>
        <v>0</v>
      </c>
      <c r="C897" s="5">
        <f t="shared" si="53"/>
        <v>0</v>
      </c>
      <c r="D897" s="5"/>
      <c r="E897" s="5">
        <f>IF($B897 &lt;= 0, 0, -ROUND($B897 * (InterestRate / PaymentsPerYear), 2))</f>
        <v>0</v>
      </c>
      <c r="F897" s="5">
        <f>ROUND(IFERROR(IF($B897&lt;=0,0,
MAX(-$B897, -(-PMT(InterestRate/PaymentsPerYear,LoanTerm*PaymentsPerYear,LoanAmount) + $E897))), 0), 2)</f>
        <v>0</v>
      </c>
      <c r="G897" s="5">
        <f t="shared" si="54"/>
        <v>0</v>
      </c>
      <c r="H897" s="5">
        <f t="shared" si="55"/>
        <v>0</v>
      </c>
    </row>
    <row r="898" spans="1:8" x14ac:dyDescent="0.2">
      <c r="A898" s="2">
        <v>897</v>
      </c>
      <c r="B898" s="5">
        <f t="shared" si="52"/>
        <v>0</v>
      </c>
      <c r="C898" s="5">
        <f t="shared" si="53"/>
        <v>0</v>
      </c>
      <c r="D898" s="5"/>
      <c r="E898" s="5">
        <f>IF($B898 &lt;= 0, 0, -ROUND($B898 * (InterestRate / PaymentsPerYear), 2))</f>
        <v>0</v>
      </c>
      <c r="F898" s="5">
        <f>ROUND(IFERROR(IF($B898&lt;=0,0,
MAX(-$B898, -(-PMT(InterestRate/PaymentsPerYear,LoanTerm*PaymentsPerYear,LoanAmount) + $E898))), 0), 2)</f>
        <v>0</v>
      </c>
      <c r="G898" s="5">
        <f t="shared" si="54"/>
        <v>0</v>
      </c>
      <c r="H898" s="5">
        <f t="shared" si="55"/>
        <v>0</v>
      </c>
    </row>
    <row r="899" spans="1:8" x14ac:dyDescent="0.2">
      <c r="A899" s="2">
        <v>898</v>
      </c>
      <c r="B899" s="5">
        <f t="shared" si="52"/>
        <v>0</v>
      </c>
      <c r="C899" s="5">
        <f t="shared" si="53"/>
        <v>0</v>
      </c>
      <c r="D899" s="5"/>
      <c r="E899" s="5">
        <f>IF($B899 &lt;= 0, 0, -ROUND($B899 * (InterestRate / PaymentsPerYear), 2))</f>
        <v>0</v>
      </c>
      <c r="F899" s="5">
        <f>ROUND(IFERROR(IF($B899&lt;=0,0,
MAX(-$B899, -(-PMT(InterestRate/PaymentsPerYear,LoanTerm*PaymentsPerYear,LoanAmount) + $E899))), 0), 2)</f>
        <v>0</v>
      </c>
      <c r="G899" s="5">
        <f t="shared" si="54"/>
        <v>0</v>
      </c>
      <c r="H899" s="5">
        <f t="shared" si="55"/>
        <v>0</v>
      </c>
    </row>
    <row r="900" spans="1:8" x14ac:dyDescent="0.2">
      <c r="A900" s="2">
        <v>899</v>
      </c>
      <c r="B900" s="5">
        <f t="shared" ref="B900:B963" si="56">ROUND(IF($H899 &gt;= 0, MAX($H899, $F899), 0), 2)</f>
        <v>0</v>
      </c>
      <c r="C900" s="5">
        <f t="shared" ref="C900:C963" si="57">IF($B900 &lt;= 0, 0, $E900+$F900)</f>
        <v>0</v>
      </c>
      <c r="D900" s="5"/>
      <c r="E900" s="5">
        <f>IF($B900 &lt;= 0, 0, -ROUND($B900 * (InterestRate / PaymentsPerYear), 2))</f>
        <v>0</v>
      </c>
      <c r="F900" s="5">
        <f>ROUND(IFERROR(IF($B900&lt;=0,0,
MAX(-$B900, -(-PMT(InterestRate/PaymentsPerYear,LoanTerm*PaymentsPerYear,LoanAmount) + $E900))), 0), 2)</f>
        <v>0</v>
      </c>
      <c r="G900" s="5">
        <f t="shared" ref="G900:G963" si="58">$F900</f>
        <v>0</v>
      </c>
      <c r="H900" s="5">
        <f t="shared" ref="H900:H963" si="59">ROUND(IF($B900 &lt;= 0, 0,MAX(0, $B900 + $G900)), 2)</f>
        <v>0</v>
      </c>
    </row>
    <row r="901" spans="1:8" x14ac:dyDescent="0.2">
      <c r="A901" s="2">
        <v>900</v>
      </c>
      <c r="B901" s="5">
        <f t="shared" si="56"/>
        <v>0</v>
      </c>
      <c r="C901" s="5">
        <f t="shared" si="57"/>
        <v>0</v>
      </c>
      <c r="D901" s="5"/>
      <c r="E901" s="5">
        <f>IF($B901 &lt;= 0, 0, -ROUND($B901 * (InterestRate / PaymentsPerYear), 2))</f>
        <v>0</v>
      </c>
      <c r="F901" s="5">
        <f>ROUND(IFERROR(IF($B901&lt;=0,0,
MAX(-$B901, -(-PMT(InterestRate/PaymentsPerYear,LoanTerm*PaymentsPerYear,LoanAmount) + $E901))), 0), 2)</f>
        <v>0</v>
      </c>
      <c r="G901" s="5">
        <f t="shared" si="58"/>
        <v>0</v>
      </c>
      <c r="H901" s="5">
        <f t="shared" si="59"/>
        <v>0</v>
      </c>
    </row>
    <row r="902" spans="1:8" x14ac:dyDescent="0.2">
      <c r="A902" s="2">
        <v>901</v>
      </c>
      <c r="B902" s="5">
        <f t="shared" si="56"/>
        <v>0</v>
      </c>
      <c r="C902" s="5">
        <f t="shared" si="57"/>
        <v>0</v>
      </c>
      <c r="D902" s="5"/>
      <c r="E902" s="5">
        <f>IF($B902 &lt;= 0, 0, -ROUND($B902 * (InterestRate / PaymentsPerYear), 2))</f>
        <v>0</v>
      </c>
      <c r="F902" s="5">
        <f>ROUND(IFERROR(IF($B902&lt;=0,0,
MAX(-$B902, -(-PMT(InterestRate/PaymentsPerYear,LoanTerm*PaymentsPerYear,LoanAmount) + $E902))), 0), 2)</f>
        <v>0</v>
      </c>
      <c r="G902" s="5">
        <f t="shared" si="58"/>
        <v>0</v>
      </c>
      <c r="H902" s="5">
        <f t="shared" si="59"/>
        <v>0</v>
      </c>
    </row>
    <row r="903" spans="1:8" x14ac:dyDescent="0.2">
      <c r="A903" s="2">
        <v>902</v>
      </c>
      <c r="B903" s="5">
        <f t="shared" si="56"/>
        <v>0</v>
      </c>
      <c r="C903" s="5">
        <f t="shared" si="57"/>
        <v>0</v>
      </c>
      <c r="D903" s="5"/>
      <c r="E903" s="5">
        <f>IF($B903 &lt;= 0, 0, -ROUND($B903 * (InterestRate / PaymentsPerYear), 2))</f>
        <v>0</v>
      </c>
      <c r="F903" s="5">
        <f>ROUND(IFERROR(IF($B903&lt;=0,0,
MAX(-$B903, -(-PMT(InterestRate/PaymentsPerYear,LoanTerm*PaymentsPerYear,LoanAmount) + $E903))), 0), 2)</f>
        <v>0</v>
      </c>
      <c r="G903" s="5">
        <f t="shared" si="58"/>
        <v>0</v>
      </c>
      <c r="H903" s="5">
        <f t="shared" si="59"/>
        <v>0</v>
      </c>
    </row>
    <row r="904" spans="1:8" x14ac:dyDescent="0.2">
      <c r="A904" s="2">
        <v>903</v>
      </c>
      <c r="B904" s="5">
        <f t="shared" si="56"/>
        <v>0</v>
      </c>
      <c r="C904" s="5">
        <f t="shared" si="57"/>
        <v>0</v>
      </c>
      <c r="D904" s="5"/>
      <c r="E904" s="5">
        <f>IF($B904 &lt;= 0, 0, -ROUND($B904 * (InterestRate / PaymentsPerYear), 2))</f>
        <v>0</v>
      </c>
      <c r="F904" s="5">
        <f>ROUND(IFERROR(IF($B904&lt;=0,0,
MAX(-$B904, -(-PMT(InterestRate/PaymentsPerYear,LoanTerm*PaymentsPerYear,LoanAmount) + $E904))), 0), 2)</f>
        <v>0</v>
      </c>
      <c r="G904" s="5">
        <f t="shared" si="58"/>
        <v>0</v>
      </c>
      <c r="H904" s="5">
        <f t="shared" si="59"/>
        <v>0</v>
      </c>
    </row>
    <row r="905" spans="1:8" x14ac:dyDescent="0.2">
      <c r="A905" s="2">
        <v>904</v>
      </c>
      <c r="B905" s="5">
        <f t="shared" si="56"/>
        <v>0</v>
      </c>
      <c r="C905" s="5">
        <f t="shared" si="57"/>
        <v>0</v>
      </c>
      <c r="D905" s="5"/>
      <c r="E905" s="5">
        <f>IF($B905 &lt;= 0, 0, -ROUND($B905 * (InterestRate / PaymentsPerYear), 2))</f>
        <v>0</v>
      </c>
      <c r="F905" s="5">
        <f>ROUND(IFERROR(IF($B905&lt;=0,0,
MAX(-$B905, -(-PMT(InterestRate/PaymentsPerYear,LoanTerm*PaymentsPerYear,LoanAmount) + $E905))), 0), 2)</f>
        <v>0</v>
      </c>
      <c r="G905" s="5">
        <f t="shared" si="58"/>
        <v>0</v>
      </c>
      <c r="H905" s="5">
        <f t="shared" si="59"/>
        <v>0</v>
      </c>
    </row>
    <row r="906" spans="1:8" x14ac:dyDescent="0.2">
      <c r="A906" s="2">
        <v>905</v>
      </c>
      <c r="B906" s="5">
        <f t="shared" si="56"/>
        <v>0</v>
      </c>
      <c r="C906" s="5">
        <f t="shared" si="57"/>
        <v>0</v>
      </c>
      <c r="D906" s="5"/>
      <c r="E906" s="5">
        <f>IF($B906 &lt;= 0, 0, -ROUND($B906 * (InterestRate / PaymentsPerYear), 2))</f>
        <v>0</v>
      </c>
      <c r="F906" s="5">
        <f>ROUND(IFERROR(IF($B906&lt;=0,0,
MAX(-$B906, -(-PMT(InterestRate/PaymentsPerYear,LoanTerm*PaymentsPerYear,LoanAmount) + $E906))), 0), 2)</f>
        <v>0</v>
      </c>
      <c r="G906" s="5">
        <f t="shared" si="58"/>
        <v>0</v>
      </c>
      <c r="H906" s="5">
        <f t="shared" si="59"/>
        <v>0</v>
      </c>
    </row>
    <row r="907" spans="1:8" x14ac:dyDescent="0.2">
      <c r="A907" s="2">
        <v>906</v>
      </c>
      <c r="B907" s="5">
        <f t="shared" si="56"/>
        <v>0</v>
      </c>
      <c r="C907" s="5">
        <f t="shared" si="57"/>
        <v>0</v>
      </c>
      <c r="D907" s="5"/>
      <c r="E907" s="5">
        <f>IF($B907 &lt;= 0, 0, -ROUND($B907 * (InterestRate / PaymentsPerYear), 2))</f>
        <v>0</v>
      </c>
      <c r="F907" s="5">
        <f>ROUND(IFERROR(IF($B907&lt;=0,0,
MAX(-$B907, -(-PMT(InterestRate/PaymentsPerYear,LoanTerm*PaymentsPerYear,LoanAmount) + $E907))), 0), 2)</f>
        <v>0</v>
      </c>
      <c r="G907" s="5">
        <f t="shared" si="58"/>
        <v>0</v>
      </c>
      <c r="H907" s="5">
        <f t="shared" si="59"/>
        <v>0</v>
      </c>
    </row>
    <row r="908" spans="1:8" x14ac:dyDescent="0.2">
      <c r="A908" s="2">
        <v>907</v>
      </c>
      <c r="B908" s="5">
        <f t="shared" si="56"/>
        <v>0</v>
      </c>
      <c r="C908" s="5">
        <f t="shared" si="57"/>
        <v>0</v>
      </c>
      <c r="D908" s="5"/>
      <c r="E908" s="5">
        <f>IF($B908 &lt;= 0, 0, -ROUND($B908 * (InterestRate / PaymentsPerYear), 2))</f>
        <v>0</v>
      </c>
      <c r="F908" s="5">
        <f>ROUND(IFERROR(IF($B908&lt;=0,0,
MAX(-$B908, -(-PMT(InterestRate/PaymentsPerYear,LoanTerm*PaymentsPerYear,LoanAmount) + $E908))), 0), 2)</f>
        <v>0</v>
      </c>
      <c r="G908" s="5">
        <f t="shared" si="58"/>
        <v>0</v>
      </c>
      <c r="H908" s="5">
        <f t="shared" si="59"/>
        <v>0</v>
      </c>
    </row>
    <row r="909" spans="1:8" x14ac:dyDescent="0.2">
      <c r="A909" s="2">
        <v>908</v>
      </c>
      <c r="B909" s="5">
        <f t="shared" si="56"/>
        <v>0</v>
      </c>
      <c r="C909" s="5">
        <f t="shared" si="57"/>
        <v>0</v>
      </c>
      <c r="D909" s="5"/>
      <c r="E909" s="5">
        <f>IF($B909 &lt;= 0, 0, -ROUND($B909 * (InterestRate / PaymentsPerYear), 2))</f>
        <v>0</v>
      </c>
      <c r="F909" s="5">
        <f>ROUND(IFERROR(IF($B909&lt;=0,0,
MAX(-$B909, -(-PMT(InterestRate/PaymentsPerYear,LoanTerm*PaymentsPerYear,LoanAmount) + $E909))), 0), 2)</f>
        <v>0</v>
      </c>
      <c r="G909" s="5">
        <f t="shared" si="58"/>
        <v>0</v>
      </c>
      <c r="H909" s="5">
        <f t="shared" si="59"/>
        <v>0</v>
      </c>
    </row>
    <row r="910" spans="1:8" x14ac:dyDescent="0.2">
      <c r="A910" s="2">
        <v>909</v>
      </c>
      <c r="B910" s="5">
        <f t="shared" si="56"/>
        <v>0</v>
      </c>
      <c r="C910" s="5">
        <f t="shared" si="57"/>
        <v>0</v>
      </c>
      <c r="D910" s="5"/>
      <c r="E910" s="5">
        <f>IF($B910 &lt;= 0, 0, -ROUND($B910 * (InterestRate / PaymentsPerYear), 2))</f>
        <v>0</v>
      </c>
      <c r="F910" s="5">
        <f>ROUND(IFERROR(IF($B910&lt;=0,0,
MAX(-$B910, -(-PMT(InterestRate/PaymentsPerYear,LoanTerm*PaymentsPerYear,LoanAmount) + $E910))), 0), 2)</f>
        <v>0</v>
      </c>
      <c r="G910" s="5">
        <f t="shared" si="58"/>
        <v>0</v>
      </c>
      <c r="H910" s="5">
        <f t="shared" si="59"/>
        <v>0</v>
      </c>
    </row>
    <row r="911" spans="1:8" x14ac:dyDescent="0.2">
      <c r="A911" s="2">
        <v>910</v>
      </c>
      <c r="B911" s="5">
        <f t="shared" si="56"/>
        <v>0</v>
      </c>
      <c r="C911" s="5">
        <f t="shared" si="57"/>
        <v>0</v>
      </c>
      <c r="D911" s="5"/>
      <c r="E911" s="5">
        <f>IF($B911 &lt;= 0, 0, -ROUND($B911 * (InterestRate / PaymentsPerYear), 2))</f>
        <v>0</v>
      </c>
      <c r="F911" s="5">
        <f>ROUND(IFERROR(IF($B911&lt;=0,0,
MAX(-$B911, -(-PMT(InterestRate/PaymentsPerYear,LoanTerm*PaymentsPerYear,LoanAmount) + $E911))), 0), 2)</f>
        <v>0</v>
      </c>
      <c r="G911" s="5">
        <f t="shared" si="58"/>
        <v>0</v>
      </c>
      <c r="H911" s="5">
        <f t="shared" si="59"/>
        <v>0</v>
      </c>
    </row>
    <row r="912" spans="1:8" x14ac:dyDescent="0.2">
      <c r="A912" s="2">
        <v>911</v>
      </c>
      <c r="B912" s="5">
        <f t="shared" si="56"/>
        <v>0</v>
      </c>
      <c r="C912" s="5">
        <f t="shared" si="57"/>
        <v>0</v>
      </c>
      <c r="D912" s="5"/>
      <c r="E912" s="5">
        <f>IF($B912 &lt;= 0, 0, -ROUND($B912 * (InterestRate / PaymentsPerYear), 2))</f>
        <v>0</v>
      </c>
      <c r="F912" s="5">
        <f>ROUND(IFERROR(IF($B912&lt;=0,0,
MAX(-$B912, -(-PMT(InterestRate/PaymentsPerYear,LoanTerm*PaymentsPerYear,LoanAmount) + $E912))), 0), 2)</f>
        <v>0</v>
      </c>
      <c r="G912" s="5">
        <f t="shared" si="58"/>
        <v>0</v>
      </c>
      <c r="H912" s="5">
        <f t="shared" si="59"/>
        <v>0</v>
      </c>
    </row>
    <row r="913" spans="1:8" x14ac:dyDescent="0.2">
      <c r="A913" s="2">
        <v>912</v>
      </c>
      <c r="B913" s="5">
        <f t="shared" si="56"/>
        <v>0</v>
      </c>
      <c r="C913" s="5">
        <f t="shared" si="57"/>
        <v>0</v>
      </c>
      <c r="D913" s="5"/>
      <c r="E913" s="5">
        <f>IF($B913 &lt;= 0, 0, -ROUND($B913 * (InterestRate / PaymentsPerYear), 2))</f>
        <v>0</v>
      </c>
      <c r="F913" s="5">
        <f>ROUND(IFERROR(IF($B913&lt;=0,0,
MAX(-$B913, -(-PMT(InterestRate/PaymentsPerYear,LoanTerm*PaymentsPerYear,LoanAmount) + $E913))), 0), 2)</f>
        <v>0</v>
      </c>
      <c r="G913" s="5">
        <f t="shared" si="58"/>
        <v>0</v>
      </c>
      <c r="H913" s="5">
        <f t="shared" si="59"/>
        <v>0</v>
      </c>
    </row>
    <row r="914" spans="1:8" x14ac:dyDescent="0.2">
      <c r="A914" s="2">
        <v>913</v>
      </c>
      <c r="B914" s="5">
        <f t="shared" si="56"/>
        <v>0</v>
      </c>
      <c r="C914" s="5">
        <f t="shared" si="57"/>
        <v>0</v>
      </c>
      <c r="D914" s="5"/>
      <c r="E914" s="5">
        <f>IF($B914 &lt;= 0, 0, -ROUND($B914 * (InterestRate / PaymentsPerYear), 2))</f>
        <v>0</v>
      </c>
      <c r="F914" s="5">
        <f>ROUND(IFERROR(IF($B914&lt;=0,0,
MAX(-$B914, -(-PMT(InterestRate/PaymentsPerYear,LoanTerm*PaymentsPerYear,LoanAmount) + $E914))), 0), 2)</f>
        <v>0</v>
      </c>
      <c r="G914" s="5">
        <f t="shared" si="58"/>
        <v>0</v>
      </c>
      <c r="H914" s="5">
        <f t="shared" si="59"/>
        <v>0</v>
      </c>
    </row>
    <row r="915" spans="1:8" x14ac:dyDescent="0.2">
      <c r="A915" s="2">
        <v>914</v>
      </c>
      <c r="B915" s="5">
        <f t="shared" si="56"/>
        <v>0</v>
      </c>
      <c r="C915" s="5">
        <f t="shared" si="57"/>
        <v>0</v>
      </c>
      <c r="D915" s="5"/>
      <c r="E915" s="5">
        <f>IF($B915 &lt;= 0, 0, -ROUND($B915 * (InterestRate / PaymentsPerYear), 2))</f>
        <v>0</v>
      </c>
      <c r="F915" s="5">
        <f>ROUND(IFERROR(IF($B915&lt;=0,0,
MAX(-$B915, -(-PMT(InterestRate/PaymentsPerYear,LoanTerm*PaymentsPerYear,LoanAmount) + $E915))), 0), 2)</f>
        <v>0</v>
      </c>
      <c r="G915" s="5">
        <f t="shared" si="58"/>
        <v>0</v>
      </c>
      <c r="H915" s="5">
        <f t="shared" si="59"/>
        <v>0</v>
      </c>
    </row>
    <row r="916" spans="1:8" x14ac:dyDescent="0.2">
      <c r="A916" s="2">
        <v>915</v>
      </c>
      <c r="B916" s="5">
        <f t="shared" si="56"/>
        <v>0</v>
      </c>
      <c r="C916" s="5">
        <f t="shared" si="57"/>
        <v>0</v>
      </c>
      <c r="D916" s="5"/>
      <c r="E916" s="5">
        <f>IF($B916 &lt;= 0, 0, -ROUND($B916 * (InterestRate / PaymentsPerYear), 2))</f>
        <v>0</v>
      </c>
      <c r="F916" s="5">
        <f>ROUND(IFERROR(IF($B916&lt;=0,0,
MAX(-$B916, -(-PMT(InterestRate/PaymentsPerYear,LoanTerm*PaymentsPerYear,LoanAmount) + $E916))), 0), 2)</f>
        <v>0</v>
      </c>
      <c r="G916" s="5">
        <f t="shared" si="58"/>
        <v>0</v>
      </c>
      <c r="H916" s="5">
        <f t="shared" si="59"/>
        <v>0</v>
      </c>
    </row>
    <row r="917" spans="1:8" x14ac:dyDescent="0.2">
      <c r="A917" s="2">
        <v>916</v>
      </c>
      <c r="B917" s="5">
        <f t="shared" si="56"/>
        <v>0</v>
      </c>
      <c r="C917" s="5">
        <f t="shared" si="57"/>
        <v>0</v>
      </c>
      <c r="D917" s="5"/>
      <c r="E917" s="5">
        <f>IF($B917 &lt;= 0, 0, -ROUND($B917 * (InterestRate / PaymentsPerYear), 2))</f>
        <v>0</v>
      </c>
      <c r="F917" s="5">
        <f>ROUND(IFERROR(IF($B917&lt;=0,0,
MAX(-$B917, -(-PMT(InterestRate/PaymentsPerYear,LoanTerm*PaymentsPerYear,LoanAmount) + $E917))), 0), 2)</f>
        <v>0</v>
      </c>
      <c r="G917" s="5">
        <f t="shared" si="58"/>
        <v>0</v>
      </c>
      <c r="H917" s="5">
        <f t="shared" si="59"/>
        <v>0</v>
      </c>
    </row>
    <row r="918" spans="1:8" x14ac:dyDescent="0.2">
      <c r="A918" s="2">
        <v>917</v>
      </c>
      <c r="B918" s="5">
        <f t="shared" si="56"/>
        <v>0</v>
      </c>
      <c r="C918" s="5">
        <f t="shared" si="57"/>
        <v>0</v>
      </c>
      <c r="D918" s="5"/>
      <c r="E918" s="5">
        <f>IF($B918 &lt;= 0, 0, -ROUND($B918 * (InterestRate / PaymentsPerYear), 2))</f>
        <v>0</v>
      </c>
      <c r="F918" s="5">
        <f>ROUND(IFERROR(IF($B918&lt;=0,0,
MAX(-$B918, -(-PMT(InterestRate/PaymentsPerYear,LoanTerm*PaymentsPerYear,LoanAmount) + $E918))), 0), 2)</f>
        <v>0</v>
      </c>
      <c r="G918" s="5">
        <f t="shared" si="58"/>
        <v>0</v>
      </c>
      <c r="H918" s="5">
        <f t="shared" si="59"/>
        <v>0</v>
      </c>
    </row>
    <row r="919" spans="1:8" x14ac:dyDescent="0.2">
      <c r="A919" s="2">
        <v>918</v>
      </c>
      <c r="B919" s="5">
        <f t="shared" si="56"/>
        <v>0</v>
      </c>
      <c r="C919" s="5">
        <f t="shared" si="57"/>
        <v>0</v>
      </c>
      <c r="D919" s="5"/>
      <c r="E919" s="5">
        <f>IF($B919 &lt;= 0, 0, -ROUND($B919 * (InterestRate / PaymentsPerYear), 2))</f>
        <v>0</v>
      </c>
      <c r="F919" s="5">
        <f>ROUND(IFERROR(IF($B919&lt;=0,0,
MAX(-$B919, -(-PMT(InterestRate/PaymentsPerYear,LoanTerm*PaymentsPerYear,LoanAmount) + $E919))), 0), 2)</f>
        <v>0</v>
      </c>
      <c r="G919" s="5">
        <f t="shared" si="58"/>
        <v>0</v>
      </c>
      <c r="H919" s="5">
        <f t="shared" si="59"/>
        <v>0</v>
      </c>
    </row>
    <row r="920" spans="1:8" x14ac:dyDescent="0.2">
      <c r="A920" s="2">
        <v>919</v>
      </c>
      <c r="B920" s="5">
        <f t="shared" si="56"/>
        <v>0</v>
      </c>
      <c r="C920" s="5">
        <f t="shared" si="57"/>
        <v>0</v>
      </c>
      <c r="D920" s="5"/>
      <c r="E920" s="5">
        <f>IF($B920 &lt;= 0, 0, -ROUND($B920 * (InterestRate / PaymentsPerYear), 2))</f>
        <v>0</v>
      </c>
      <c r="F920" s="5">
        <f>ROUND(IFERROR(IF($B920&lt;=0,0,
MAX(-$B920, -(-PMT(InterestRate/PaymentsPerYear,LoanTerm*PaymentsPerYear,LoanAmount) + $E920))), 0), 2)</f>
        <v>0</v>
      </c>
      <c r="G920" s="5">
        <f t="shared" si="58"/>
        <v>0</v>
      </c>
      <c r="H920" s="5">
        <f t="shared" si="59"/>
        <v>0</v>
      </c>
    </row>
    <row r="921" spans="1:8" x14ac:dyDescent="0.2">
      <c r="A921" s="2">
        <v>920</v>
      </c>
      <c r="B921" s="5">
        <f t="shared" si="56"/>
        <v>0</v>
      </c>
      <c r="C921" s="5">
        <f t="shared" si="57"/>
        <v>0</v>
      </c>
      <c r="D921" s="5"/>
      <c r="E921" s="5">
        <f>IF($B921 &lt;= 0, 0, -ROUND($B921 * (InterestRate / PaymentsPerYear), 2))</f>
        <v>0</v>
      </c>
      <c r="F921" s="5">
        <f>ROUND(IFERROR(IF($B921&lt;=0,0,
MAX(-$B921, -(-PMT(InterestRate/PaymentsPerYear,LoanTerm*PaymentsPerYear,LoanAmount) + $E921))), 0), 2)</f>
        <v>0</v>
      </c>
      <c r="G921" s="5">
        <f t="shared" si="58"/>
        <v>0</v>
      </c>
      <c r="H921" s="5">
        <f t="shared" si="59"/>
        <v>0</v>
      </c>
    </row>
    <row r="922" spans="1:8" x14ac:dyDescent="0.2">
      <c r="A922" s="2">
        <v>921</v>
      </c>
      <c r="B922" s="5">
        <f t="shared" si="56"/>
        <v>0</v>
      </c>
      <c r="C922" s="5">
        <f t="shared" si="57"/>
        <v>0</v>
      </c>
      <c r="D922" s="5"/>
      <c r="E922" s="5">
        <f>IF($B922 &lt;= 0, 0, -ROUND($B922 * (InterestRate / PaymentsPerYear), 2))</f>
        <v>0</v>
      </c>
      <c r="F922" s="5">
        <f>ROUND(IFERROR(IF($B922&lt;=0,0,
MAX(-$B922, -(-PMT(InterestRate/PaymentsPerYear,LoanTerm*PaymentsPerYear,LoanAmount) + $E922))), 0), 2)</f>
        <v>0</v>
      </c>
      <c r="G922" s="5">
        <f t="shared" si="58"/>
        <v>0</v>
      </c>
      <c r="H922" s="5">
        <f t="shared" si="59"/>
        <v>0</v>
      </c>
    </row>
    <row r="923" spans="1:8" x14ac:dyDescent="0.2">
      <c r="A923" s="2">
        <v>922</v>
      </c>
      <c r="B923" s="5">
        <f t="shared" si="56"/>
        <v>0</v>
      </c>
      <c r="C923" s="5">
        <f t="shared" si="57"/>
        <v>0</v>
      </c>
      <c r="D923" s="5"/>
      <c r="E923" s="5">
        <f>IF($B923 &lt;= 0, 0, -ROUND($B923 * (InterestRate / PaymentsPerYear), 2))</f>
        <v>0</v>
      </c>
      <c r="F923" s="5">
        <f>ROUND(IFERROR(IF($B923&lt;=0,0,
MAX(-$B923, -(-PMT(InterestRate/PaymentsPerYear,LoanTerm*PaymentsPerYear,LoanAmount) + $E923))), 0), 2)</f>
        <v>0</v>
      </c>
      <c r="G923" s="5">
        <f t="shared" si="58"/>
        <v>0</v>
      </c>
      <c r="H923" s="5">
        <f t="shared" si="59"/>
        <v>0</v>
      </c>
    </row>
    <row r="924" spans="1:8" x14ac:dyDescent="0.2">
      <c r="A924" s="2">
        <v>923</v>
      </c>
      <c r="B924" s="5">
        <f t="shared" si="56"/>
        <v>0</v>
      </c>
      <c r="C924" s="5">
        <f t="shared" si="57"/>
        <v>0</v>
      </c>
      <c r="D924" s="5"/>
      <c r="E924" s="5">
        <f>IF($B924 &lt;= 0, 0, -ROUND($B924 * (InterestRate / PaymentsPerYear), 2))</f>
        <v>0</v>
      </c>
      <c r="F924" s="5">
        <f>ROUND(IFERROR(IF($B924&lt;=0,0,
MAX(-$B924, -(-PMT(InterestRate/PaymentsPerYear,LoanTerm*PaymentsPerYear,LoanAmount) + $E924))), 0), 2)</f>
        <v>0</v>
      </c>
      <c r="G924" s="5">
        <f t="shared" si="58"/>
        <v>0</v>
      </c>
      <c r="H924" s="5">
        <f t="shared" si="59"/>
        <v>0</v>
      </c>
    </row>
    <row r="925" spans="1:8" x14ac:dyDescent="0.2">
      <c r="A925" s="2">
        <v>924</v>
      </c>
      <c r="B925" s="5">
        <f t="shared" si="56"/>
        <v>0</v>
      </c>
      <c r="C925" s="5">
        <f t="shared" si="57"/>
        <v>0</v>
      </c>
      <c r="D925" s="5"/>
      <c r="E925" s="5">
        <f>IF($B925 &lt;= 0, 0, -ROUND($B925 * (InterestRate / PaymentsPerYear), 2))</f>
        <v>0</v>
      </c>
      <c r="F925" s="5">
        <f>ROUND(IFERROR(IF($B925&lt;=0,0,
MAX(-$B925, -(-PMT(InterestRate/PaymentsPerYear,LoanTerm*PaymentsPerYear,LoanAmount) + $E925))), 0), 2)</f>
        <v>0</v>
      </c>
      <c r="G925" s="5">
        <f t="shared" si="58"/>
        <v>0</v>
      </c>
      <c r="H925" s="5">
        <f t="shared" si="59"/>
        <v>0</v>
      </c>
    </row>
    <row r="926" spans="1:8" x14ac:dyDescent="0.2">
      <c r="A926" s="2">
        <v>925</v>
      </c>
      <c r="B926" s="5">
        <f t="shared" si="56"/>
        <v>0</v>
      </c>
      <c r="C926" s="5">
        <f t="shared" si="57"/>
        <v>0</v>
      </c>
      <c r="D926" s="5"/>
      <c r="E926" s="5">
        <f>IF($B926 &lt;= 0, 0, -ROUND($B926 * (InterestRate / PaymentsPerYear), 2))</f>
        <v>0</v>
      </c>
      <c r="F926" s="5">
        <f>ROUND(IFERROR(IF($B926&lt;=0,0,
MAX(-$B926, -(-PMT(InterestRate/PaymentsPerYear,LoanTerm*PaymentsPerYear,LoanAmount) + $E926))), 0), 2)</f>
        <v>0</v>
      </c>
      <c r="G926" s="5">
        <f t="shared" si="58"/>
        <v>0</v>
      </c>
      <c r="H926" s="5">
        <f t="shared" si="59"/>
        <v>0</v>
      </c>
    </row>
    <row r="927" spans="1:8" x14ac:dyDescent="0.2">
      <c r="A927" s="2">
        <v>926</v>
      </c>
      <c r="B927" s="5">
        <f t="shared" si="56"/>
        <v>0</v>
      </c>
      <c r="C927" s="5">
        <f t="shared" si="57"/>
        <v>0</v>
      </c>
      <c r="D927" s="5"/>
      <c r="E927" s="5">
        <f>IF($B927 &lt;= 0, 0, -ROUND($B927 * (InterestRate / PaymentsPerYear), 2))</f>
        <v>0</v>
      </c>
      <c r="F927" s="5">
        <f>ROUND(IFERROR(IF($B927&lt;=0,0,
MAX(-$B927, -(-PMT(InterestRate/PaymentsPerYear,LoanTerm*PaymentsPerYear,LoanAmount) + $E927))), 0), 2)</f>
        <v>0</v>
      </c>
      <c r="G927" s="5">
        <f t="shared" si="58"/>
        <v>0</v>
      </c>
      <c r="H927" s="5">
        <f t="shared" si="59"/>
        <v>0</v>
      </c>
    </row>
    <row r="928" spans="1:8" x14ac:dyDescent="0.2">
      <c r="A928" s="2">
        <v>927</v>
      </c>
      <c r="B928" s="5">
        <f t="shared" si="56"/>
        <v>0</v>
      </c>
      <c r="C928" s="5">
        <f t="shared" si="57"/>
        <v>0</v>
      </c>
      <c r="D928" s="5"/>
      <c r="E928" s="5">
        <f>IF($B928 &lt;= 0, 0, -ROUND($B928 * (InterestRate / PaymentsPerYear), 2))</f>
        <v>0</v>
      </c>
      <c r="F928" s="5">
        <f>ROUND(IFERROR(IF($B928&lt;=0,0,
MAX(-$B928, -(-PMT(InterestRate/PaymentsPerYear,LoanTerm*PaymentsPerYear,LoanAmount) + $E928))), 0), 2)</f>
        <v>0</v>
      </c>
      <c r="G928" s="5">
        <f t="shared" si="58"/>
        <v>0</v>
      </c>
      <c r="H928" s="5">
        <f t="shared" si="59"/>
        <v>0</v>
      </c>
    </row>
    <row r="929" spans="1:8" x14ac:dyDescent="0.2">
      <c r="A929" s="2">
        <v>928</v>
      </c>
      <c r="B929" s="5">
        <f t="shared" si="56"/>
        <v>0</v>
      </c>
      <c r="C929" s="5">
        <f t="shared" si="57"/>
        <v>0</v>
      </c>
      <c r="D929" s="5"/>
      <c r="E929" s="5">
        <f>IF($B929 &lt;= 0, 0, -ROUND($B929 * (InterestRate / PaymentsPerYear), 2))</f>
        <v>0</v>
      </c>
      <c r="F929" s="5">
        <f>ROUND(IFERROR(IF($B929&lt;=0,0,
MAX(-$B929, -(-PMT(InterestRate/PaymentsPerYear,LoanTerm*PaymentsPerYear,LoanAmount) + $E929))), 0), 2)</f>
        <v>0</v>
      </c>
      <c r="G929" s="5">
        <f t="shared" si="58"/>
        <v>0</v>
      </c>
      <c r="H929" s="5">
        <f t="shared" si="59"/>
        <v>0</v>
      </c>
    </row>
    <row r="930" spans="1:8" x14ac:dyDescent="0.2">
      <c r="A930" s="2">
        <v>929</v>
      </c>
      <c r="B930" s="5">
        <f t="shared" si="56"/>
        <v>0</v>
      </c>
      <c r="C930" s="5">
        <f t="shared" si="57"/>
        <v>0</v>
      </c>
      <c r="D930" s="5"/>
      <c r="E930" s="5">
        <f>IF($B930 &lt;= 0, 0, -ROUND($B930 * (InterestRate / PaymentsPerYear), 2))</f>
        <v>0</v>
      </c>
      <c r="F930" s="5">
        <f>ROUND(IFERROR(IF($B930&lt;=0,0,
MAX(-$B930, -(-PMT(InterestRate/PaymentsPerYear,LoanTerm*PaymentsPerYear,LoanAmount) + $E930))), 0), 2)</f>
        <v>0</v>
      </c>
      <c r="G930" s="5">
        <f t="shared" si="58"/>
        <v>0</v>
      </c>
      <c r="H930" s="5">
        <f t="shared" si="59"/>
        <v>0</v>
      </c>
    </row>
    <row r="931" spans="1:8" x14ac:dyDescent="0.2">
      <c r="A931" s="2">
        <v>930</v>
      </c>
      <c r="B931" s="5">
        <f t="shared" si="56"/>
        <v>0</v>
      </c>
      <c r="C931" s="5">
        <f t="shared" si="57"/>
        <v>0</v>
      </c>
      <c r="D931" s="5"/>
      <c r="E931" s="5">
        <f>IF($B931 &lt;= 0, 0, -ROUND($B931 * (InterestRate / PaymentsPerYear), 2))</f>
        <v>0</v>
      </c>
      <c r="F931" s="5">
        <f>ROUND(IFERROR(IF($B931&lt;=0,0,
MAX(-$B931, -(-PMT(InterestRate/PaymentsPerYear,LoanTerm*PaymentsPerYear,LoanAmount) + $E931))), 0), 2)</f>
        <v>0</v>
      </c>
      <c r="G931" s="5">
        <f t="shared" si="58"/>
        <v>0</v>
      </c>
      <c r="H931" s="5">
        <f t="shared" si="59"/>
        <v>0</v>
      </c>
    </row>
    <row r="932" spans="1:8" x14ac:dyDescent="0.2">
      <c r="A932" s="2">
        <v>931</v>
      </c>
      <c r="B932" s="5">
        <f t="shared" si="56"/>
        <v>0</v>
      </c>
      <c r="C932" s="5">
        <f t="shared" si="57"/>
        <v>0</v>
      </c>
      <c r="D932" s="5"/>
      <c r="E932" s="5">
        <f>IF($B932 &lt;= 0, 0, -ROUND($B932 * (InterestRate / PaymentsPerYear), 2))</f>
        <v>0</v>
      </c>
      <c r="F932" s="5">
        <f>ROUND(IFERROR(IF($B932&lt;=0,0,
MAX(-$B932, -(-PMT(InterestRate/PaymentsPerYear,LoanTerm*PaymentsPerYear,LoanAmount) + $E932))), 0), 2)</f>
        <v>0</v>
      </c>
      <c r="G932" s="5">
        <f t="shared" si="58"/>
        <v>0</v>
      </c>
      <c r="H932" s="5">
        <f t="shared" si="59"/>
        <v>0</v>
      </c>
    </row>
    <row r="933" spans="1:8" x14ac:dyDescent="0.2">
      <c r="A933" s="2">
        <v>932</v>
      </c>
      <c r="B933" s="5">
        <f t="shared" si="56"/>
        <v>0</v>
      </c>
      <c r="C933" s="5">
        <f t="shared" si="57"/>
        <v>0</v>
      </c>
      <c r="D933" s="5"/>
      <c r="E933" s="5">
        <f>IF($B933 &lt;= 0, 0, -ROUND($B933 * (InterestRate / PaymentsPerYear), 2))</f>
        <v>0</v>
      </c>
      <c r="F933" s="5">
        <f>ROUND(IFERROR(IF($B933&lt;=0,0,
MAX(-$B933, -(-PMT(InterestRate/PaymentsPerYear,LoanTerm*PaymentsPerYear,LoanAmount) + $E933))), 0), 2)</f>
        <v>0</v>
      </c>
      <c r="G933" s="5">
        <f t="shared" si="58"/>
        <v>0</v>
      </c>
      <c r="H933" s="5">
        <f t="shared" si="59"/>
        <v>0</v>
      </c>
    </row>
    <row r="934" spans="1:8" x14ac:dyDescent="0.2">
      <c r="A934" s="2">
        <v>933</v>
      </c>
      <c r="B934" s="5">
        <f t="shared" si="56"/>
        <v>0</v>
      </c>
      <c r="C934" s="5">
        <f t="shared" si="57"/>
        <v>0</v>
      </c>
      <c r="D934" s="5"/>
      <c r="E934" s="5">
        <f>IF($B934 &lt;= 0, 0, -ROUND($B934 * (InterestRate / PaymentsPerYear), 2))</f>
        <v>0</v>
      </c>
      <c r="F934" s="5">
        <f>ROUND(IFERROR(IF($B934&lt;=0,0,
MAX(-$B934, -(-PMT(InterestRate/PaymentsPerYear,LoanTerm*PaymentsPerYear,LoanAmount) + $E934))), 0), 2)</f>
        <v>0</v>
      </c>
      <c r="G934" s="5">
        <f t="shared" si="58"/>
        <v>0</v>
      </c>
      <c r="H934" s="5">
        <f t="shared" si="59"/>
        <v>0</v>
      </c>
    </row>
    <row r="935" spans="1:8" x14ac:dyDescent="0.2">
      <c r="A935" s="2">
        <v>934</v>
      </c>
      <c r="B935" s="5">
        <f t="shared" si="56"/>
        <v>0</v>
      </c>
      <c r="C935" s="5">
        <f t="shared" si="57"/>
        <v>0</v>
      </c>
      <c r="D935" s="5"/>
      <c r="E935" s="5">
        <f>IF($B935 &lt;= 0, 0, -ROUND($B935 * (InterestRate / PaymentsPerYear), 2))</f>
        <v>0</v>
      </c>
      <c r="F935" s="5">
        <f>ROUND(IFERROR(IF($B935&lt;=0,0,
MAX(-$B935, -(-PMT(InterestRate/PaymentsPerYear,LoanTerm*PaymentsPerYear,LoanAmount) + $E935))), 0), 2)</f>
        <v>0</v>
      </c>
      <c r="G935" s="5">
        <f t="shared" si="58"/>
        <v>0</v>
      </c>
      <c r="H935" s="5">
        <f t="shared" si="59"/>
        <v>0</v>
      </c>
    </row>
    <row r="936" spans="1:8" x14ac:dyDescent="0.2">
      <c r="A936" s="2">
        <v>935</v>
      </c>
      <c r="B936" s="5">
        <f t="shared" si="56"/>
        <v>0</v>
      </c>
      <c r="C936" s="5">
        <f t="shared" si="57"/>
        <v>0</v>
      </c>
      <c r="D936" s="5"/>
      <c r="E936" s="5">
        <f>IF($B936 &lt;= 0, 0, -ROUND($B936 * (InterestRate / PaymentsPerYear), 2))</f>
        <v>0</v>
      </c>
      <c r="F936" s="5">
        <f>ROUND(IFERROR(IF($B936&lt;=0,0,
MAX(-$B936, -(-PMT(InterestRate/PaymentsPerYear,LoanTerm*PaymentsPerYear,LoanAmount) + $E936))), 0), 2)</f>
        <v>0</v>
      </c>
      <c r="G936" s="5">
        <f t="shared" si="58"/>
        <v>0</v>
      </c>
      <c r="H936" s="5">
        <f t="shared" si="59"/>
        <v>0</v>
      </c>
    </row>
    <row r="937" spans="1:8" x14ac:dyDescent="0.2">
      <c r="A937" s="2">
        <v>936</v>
      </c>
      <c r="B937" s="5">
        <f t="shared" si="56"/>
        <v>0</v>
      </c>
      <c r="C937" s="5">
        <f t="shared" si="57"/>
        <v>0</v>
      </c>
      <c r="D937" s="5"/>
      <c r="E937" s="5">
        <f>IF($B937 &lt;= 0, 0, -ROUND($B937 * (InterestRate / PaymentsPerYear), 2))</f>
        <v>0</v>
      </c>
      <c r="F937" s="5">
        <f>ROUND(IFERROR(IF($B937&lt;=0,0,
MAX(-$B937, -(-PMT(InterestRate/PaymentsPerYear,LoanTerm*PaymentsPerYear,LoanAmount) + $E937))), 0), 2)</f>
        <v>0</v>
      </c>
      <c r="G937" s="5">
        <f t="shared" si="58"/>
        <v>0</v>
      </c>
      <c r="H937" s="5">
        <f t="shared" si="59"/>
        <v>0</v>
      </c>
    </row>
    <row r="938" spans="1:8" x14ac:dyDescent="0.2">
      <c r="A938" s="2">
        <v>937</v>
      </c>
      <c r="B938" s="5">
        <f t="shared" si="56"/>
        <v>0</v>
      </c>
      <c r="C938" s="5">
        <f t="shared" si="57"/>
        <v>0</v>
      </c>
      <c r="D938" s="5"/>
      <c r="E938" s="5">
        <f>IF($B938 &lt;= 0, 0, -ROUND($B938 * (InterestRate / PaymentsPerYear), 2))</f>
        <v>0</v>
      </c>
      <c r="F938" s="5">
        <f>ROUND(IFERROR(IF($B938&lt;=0,0,
MAX(-$B938, -(-PMT(InterestRate/PaymentsPerYear,LoanTerm*PaymentsPerYear,LoanAmount) + $E938))), 0), 2)</f>
        <v>0</v>
      </c>
      <c r="G938" s="5">
        <f t="shared" si="58"/>
        <v>0</v>
      </c>
      <c r="H938" s="5">
        <f t="shared" si="59"/>
        <v>0</v>
      </c>
    </row>
    <row r="939" spans="1:8" x14ac:dyDescent="0.2">
      <c r="A939" s="2">
        <v>938</v>
      </c>
      <c r="B939" s="5">
        <f t="shared" si="56"/>
        <v>0</v>
      </c>
      <c r="C939" s="5">
        <f t="shared" si="57"/>
        <v>0</v>
      </c>
      <c r="D939" s="5"/>
      <c r="E939" s="5">
        <f>IF($B939 &lt;= 0, 0, -ROUND($B939 * (InterestRate / PaymentsPerYear), 2))</f>
        <v>0</v>
      </c>
      <c r="F939" s="5">
        <f>ROUND(IFERROR(IF($B939&lt;=0,0,
MAX(-$B939, -(-PMT(InterestRate/PaymentsPerYear,LoanTerm*PaymentsPerYear,LoanAmount) + $E939))), 0), 2)</f>
        <v>0</v>
      </c>
      <c r="G939" s="5">
        <f t="shared" si="58"/>
        <v>0</v>
      </c>
      <c r="H939" s="5">
        <f t="shared" si="59"/>
        <v>0</v>
      </c>
    </row>
    <row r="940" spans="1:8" x14ac:dyDescent="0.2">
      <c r="A940" s="2">
        <v>939</v>
      </c>
      <c r="B940" s="5">
        <f t="shared" si="56"/>
        <v>0</v>
      </c>
      <c r="C940" s="5">
        <f t="shared" si="57"/>
        <v>0</v>
      </c>
      <c r="D940" s="5"/>
      <c r="E940" s="5">
        <f>IF($B940 &lt;= 0, 0, -ROUND($B940 * (InterestRate / PaymentsPerYear), 2))</f>
        <v>0</v>
      </c>
      <c r="F940" s="5">
        <f>ROUND(IFERROR(IF($B940&lt;=0,0,
MAX(-$B940, -(-PMT(InterestRate/PaymentsPerYear,LoanTerm*PaymentsPerYear,LoanAmount) + $E940))), 0), 2)</f>
        <v>0</v>
      </c>
      <c r="G940" s="5">
        <f t="shared" si="58"/>
        <v>0</v>
      </c>
      <c r="H940" s="5">
        <f t="shared" si="59"/>
        <v>0</v>
      </c>
    </row>
    <row r="941" spans="1:8" x14ac:dyDescent="0.2">
      <c r="A941" s="2">
        <v>940</v>
      </c>
      <c r="B941" s="5">
        <f t="shared" si="56"/>
        <v>0</v>
      </c>
      <c r="C941" s="5">
        <f t="shared" si="57"/>
        <v>0</v>
      </c>
      <c r="D941" s="5"/>
      <c r="E941" s="5">
        <f>IF($B941 &lt;= 0, 0, -ROUND($B941 * (InterestRate / PaymentsPerYear), 2))</f>
        <v>0</v>
      </c>
      <c r="F941" s="5">
        <f>ROUND(IFERROR(IF($B941&lt;=0,0,
MAX(-$B941, -(-PMT(InterestRate/PaymentsPerYear,LoanTerm*PaymentsPerYear,LoanAmount) + $E941))), 0), 2)</f>
        <v>0</v>
      </c>
      <c r="G941" s="5">
        <f t="shared" si="58"/>
        <v>0</v>
      </c>
      <c r="H941" s="5">
        <f t="shared" si="59"/>
        <v>0</v>
      </c>
    </row>
    <row r="942" spans="1:8" x14ac:dyDescent="0.2">
      <c r="A942" s="2">
        <v>941</v>
      </c>
      <c r="B942" s="5">
        <f t="shared" si="56"/>
        <v>0</v>
      </c>
      <c r="C942" s="5">
        <f t="shared" si="57"/>
        <v>0</v>
      </c>
      <c r="D942" s="5"/>
      <c r="E942" s="5">
        <f>IF($B942 &lt;= 0, 0, -ROUND($B942 * (InterestRate / PaymentsPerYear), 2))</f>
        <v>0</v>
      </c>
      <c r="F942" s="5">
        <f>ROUND(IFERROR(IF($B942&lt;=0,0,
MAX(-$B942, -(-PMT(InterestRate/PaymentsPerYear,LoanTerm*PaymentsPerYear,LoanAmount) + $E942))), 0), 2)</f>
        <v>0</v>
      </c>
      <c r="G942" s="5">
        <f t="shared" si="58"/>
        <v>0</v>
      </c>
      <c r="H942" s="5">
        <f t="shared" si="59"/>
        <v>0</v>
      </c>
    </row>
    <row r="943" spans="1:8" x14ac:dyDescent="0.2">
      <c r="A943" s="2">
        <v>942</v>
      </c>
      <c r="B943" s="5">
        <f t="shared" si="56"/>
        <v>0</v>
      </c>
      <c r="C943" s="5">
        <f t="shared" si="57"/>
        <v>0</v>
      </c>
      <c r="D943" s="5"/>
      <c r="E943" s="5">
        <f>IF($B943 &lt;= 0, 0, -ROUND($B943 * (InterestRate / PaymentsPerYear), 2))</f>
        <v>0</v>
      </c>
      <c r="F943" s="5">
        <f>ROUND(IFERROR(IF($B943&lt;=0,0,
MAX(-$B943, -(-PMT(InterestRate/PaymentsPerYear,LoanTerm*PaymentsPerYear,LoanAmount) + $E943))), 0), 2)</f>
        <v>0</v>
      </c>
      <c r="G943" s="5">
        <f t="shared" si="58"/>
        <v>0</v>
      </c>
      <c r="H943" s="5">
        <f t="shared" si="59"/>
        <v>0</v>
      </c>
    </row>
    <row r="944" spans="1:8" x14ac:dyDescent="0.2">
      <c r="A944" s="2">
        <v>943</v>
      </c>
      <c r="B944" s="5">
        <f t="shared" si="56"/>
        <v>0</v>
      </c>
      <c r="C944" s="5">
        <f t="shared" si="57"/>
        <v>0</v>
      </c>
      <c r="D944" s="5"/>
      <c r="E944" s="5">
        <f>IF($B944 &lt;= 0, 0, -ROUND($B944 * (InterestRate / PaymentsPerYear), 2))</f>
        <v>0</v>
      </c>
      <c r="F944" s="5">
        <f>ROUND(IFERROR(IF($B944&lt;=0,0,
MAX(-$B944, -(-PMT(InterestRate/PaymentsPerYear,LoanTerm*PaymentsPerYear,LoanAmount) + $E944))), 0), 2)</f>
        <v>0</v>
      </c>
      <c r="G944" s="5">
        <f t="shared" si="58"/>
        <v>0</v>
      </c>
      <c r="H944" s="5">
        <f t="shared" si="59"/>
        <v>0</v>
      </c>
    </row>
    <row r="945" spans="1:8" x14ac:dyDescent="0.2">
      <c r="A945" s="2">
        <v>944</v>
      </c>
      <c r="B945" s="5">
        <f t="shared" si="56"/>
        <v>0</v>
      </c>
      <c r="C945" s="5">
        <f t="shared" si="57"/>
        <v>0</v>
      </c>
      <c r="D945" s="5"/>
      <c r="E945" s="5">
        <f>IF($B945 &lt;= 0, 0, -ROUND($B945 * (InterestRate / PaymentsPerYear), 2))</f>
        <v>0</v>
      </c>
      <c r="F945" s="5">
        <f>ROUND(IFERROR(IF($B945&lt;=0,0,
MAX(-$B945, -(-PMT(InterestRate/PaymentsPerYear,LoanTerm*PaymentsPerYear,LoanAmount) + $E945))), 0), 2)</f>
        <v>0</v>
      </c>
      <c r="G945" s="5">
        <f t="shared" si="58"/>
        <v>0</v>
      </c>
      <c r="H945" s="5">
        <f t="shared" si="59"/>
        <v>0</v>
      </c>
    </row>
    <row r="946" spans="1:8" x14ac:dyDescent="0.2">
      <c r="A946" s="2">
        <v>945</v>
      </c>
      <c r="B946" s="5">
        <f t="shared" si="56"/>
        <v>0</v>
      </c>
      <c r="C946" s="5">
        <f t="shared" si="57"/>
        <v>0</v>
      </c>
      <c r="D946" s="5"/>
      <c r="E946" s="5">
        <f>IF($B946 &lt;= 0, 0, -ROUND($B946 * (InterestRate / PaymentsPerYear), 2))</f>
        <v>0</v>
      </c>
      <c r="F946" s="5">
        <f>ROUND(IFERROR(IF($B946&lt;=0,0,
MAX(-$B946, -(-PMT(InterestRate/PaymentsPerYear,LoanTerm*PaymentsPerYear,LoanAmount) + $E946))), 0), 2)</f>
        <v>0</v>
      </c>
      <c r="G946" s="5">
        <f t="shared" si="58"/>
        <v>0</v>
      </c>
      <c r="H946" s="5">
        <f t="shared" si="59"/>
        <v>0</v>
      </c>
    </row>
    <row r="947" spans="1:8" x14ac:dyDescent="0.2">
      <c r="A947" s="2">
        <v>946</v>
      </c>
      <c r="B947" s="5">
        <f t="shared" si="56"/>
        <v>0</v>
      </c>
      <c r="C947" s="5">
        <f t="shared" si="57"/>
        <v>0</v>
      </c>
      <c r="D947" s="5"/>
      <c r="E947" s="5">
        <f>IF($B947 &lt;= 0, 0, -ROUND($B947 * (InterestRate / PaymentsPerYear), 2))</f>
        <v>0</v>
      </c>
      <c r="F947" s="5">
        <f>ROUND(IFERROR(IF($B947&lt;=0,0,
MAX(-$B947, -(-PMT(InterestRate/PaymentsPerYear,LoanTerm*PaymentsPerYear,LoanAmount) + $E947))), 0), 2)</f>
        <v>0</v>
      </c>
      <c r="G947" s="5">
        <f t="shared" si="58"/>
        <v>0</v>
      </c>
      <c r="H947" s="5">
        <f t="shared" si="59"/>
        <v>0</v>
      </c>
    </row>
    <row r="948" spans="1:8" x14ac:dyDescent="0.2">
      <c r="A948" s="2">
        <v>947</v>
      </c>
      <c r="B948" s="5">
        <f t="shared" si="56"/>
        <v>0</v>
      </c>
      <c r="C948" s="5">
        <f t="shared" si="57"/>
        <v>0</v>
      </c>
      <c r="D948" s="5"/>
      <c r="E948" s="5">
        <f>IF($B948 &lt;= 0, 0, -ROUND($B948 * (InterestRate / PaymentsPerYear), 2))</f>
        <v>0</v>
      </c>
      <c r="F948" s="5">
        <f>ROUND(IFERROR(IF($B948&lt;=0,0,
MAX(-$B948, -(-PMT(InterestRate/PaymentsPerYear,LoanTerm*PaymentsPerYear,LoanAmount) + $E948))), 0), 2)</f>
        <v>0</v>
      </c>
      <c r="G948" s="5">
        <f t="shared" si="58"/>
        <v>0</v>
      </c>
      <c r="H948" s="5">
        <f t="shared" si="59"/>
        <v>0</v>
      </c>
    </row>
    <row r="949" spans="1:8" x14ac:dyDescent="0.2">
      <c r="A949" s="2">
        <v>948</v>
      </c>
      <c r="B949" s="5">
        <f t="shared" si="56"/>
        <v>0</v>
      </c>
      <c r="C949" s="5">
        <f t="shared" si="57"/>
        <v>0</v>
      </c>
      <c r="D949" s="5"/>
      <c r="E949" s="5">
        <f>IF($B949 &lt;= 0, 0, -ROUND($B949 * (InterestRate / PaymentsPerYear), 2))</f>
        <v>0</v>
      </c>
      <c r="F949" s="5">
        <f>ROUND(IFERROR(IF($B949&lt;=0,0,
MAX(-$B949, -(-PMT(InterestRate/PaymentsPerYear,LoanTerm*PaymentsPerYear,LoanAmount) + $E949))), 0), 2)</f>
        <v>0</v>
      </c>
      <c r="G949" s="5">
        <f t="shared" si="58"/>
        <v>0</v>
      </c>
      <c r="H949" s="5">
        <f t="shared" si="59"/>
        <v>0</v>
      </c>
    </row>
    <row r="950" spans="1:8" x14ac:dyDescent="0.2">
      <c r="A950" s="2">
        <v>949</v>
      </c>
      <c r="B950" s="5">
        <f t="shared" si="56"/>
        <v>0</v>
      </c>
      <c r="C950" s="5">
        <f t="shared" si="57"/>
        <v>0</v>
      </c>
      <c r="D950" s="5"/>
      <c r="E950" s="5">
        <f>IF($B950 &lt;= 0, 0, -ROUND($B950 * (InterestRate / PaymentsPerYear), 2))</f>
        <v>0</v>
      </c>
      <c r="F950" s="5">
        <f>ROUND(IFERROR(IF($B950&lt;=0,0,
MAX(-$B950, -(-PMT(InterestRate/PaymentsPerYear,LoanTerm*PaymentsPerYear,LoanAmount) + $E950))), 0), 2)</f>
        <v>0</v>
      </c>
      <c r="G950" s="5">
        <f t="shared" si="58"/>
        <v>0</v>
      </c>
      <c r="H950" s="5">
        <f t="shared" si="59"/>
        <v>0</v>
      </c>
    </row>
    <row r="951" spans="1:8" x14ac:dyDescent="0.2">
      <c r="A951" s="2">
        <v>950</v>
      </c>
      <c r="B951" s="5">
        <f t="shared" si="56"/>
        <v>0</v>
      </c>
      <c r="C951" s="5">
        <f t="shared" si="57"/>
        <v>0</v>
      </c>
      <c r="D951" s="5"/>
      <c r="E951" s="5">
        <f>IF($B951 &lt;= 0, 0, -ROUND($B951 * (InterestRate / PaymentsPerYear), 2))</f>
        <v>0</v>
      </c>
      <c r="F951" s="5">
        <f>ROUND(IFERROR(IF($B951&lt;=0,0,
MAX(-$B951, -(-PMT(InterestRate/PaymentsPerYear,LoanTerm*PaymentsPerYear,LoanAmount) + $E951))), 0), 2)</f>
        <v>0</v>
      </c>
      <c r="G951" s="5">
        <f t="shared" si="58"/>
        <v>0</v>
      </c>
      <c r="H951" s="5">
        <f t="shared" si="59"/>
        <v>0</v>
      </c>
    </row>
    <row r="952" spans="1:8" x14ac:dyDescent="0.2">
      <c r="A952" s="2">
        <v>951</v>
      </c>
      <c r="B952" s="5">
        <f t="shared" si="56"/>
        <v>0</v>
      </c>
      <c r="C952" s="5">
        <f t="shared" si="57"/>
        <v>0</v>
      </c>
      <c r="D952" s="5"/>
      <c r="E952" s="5">
        <f>IF($B952 &lt;= 0, 0, -ROUND($B952 * (InterestRate / PaymentsPerYear), 2))</f>
        <v>0</v>
      </c>
      <c r="F952" s="5">
        <f>ROUND(IFERROR(IF($B952&lt;=0,0,
MAX(-$B952, -(-PMT(InterestRate/PaymentsPerYear,LoanTerm*PaymentsPerYear,LoanAmount) + $E952))), 0), 2)</f>
        <v>0</v>
      </c>
      <c r="G952" s="5">
        <f t="shared" si="58"/>
        <v>0</v>
      </c>
      <c r="H952" s="5">
        <f t="shared" si="59"/>
        <v>0</v>
      </c>
    </row>
    <row r="953" spans="1:8" x14ac:dyDescent="0.2">
      <c r="A953" s="2">
        <v>952</v>
      </c>
      <c r="B953" s="5">
        <f t="shared" si="56"/>
        <v>0</v>
      </c>
      <c r="C953" s="5">
        <f t="shared" si="57"/>
        <v>0</v>
      </c>
      <c r="D953" s="5"/>
      <c r="E953" s="5">
        <f>IF($B953 &lt;= 0, 0, -ROUND($B953 * (InterestRate / PaymentsPerYear), 2))</f>
        <v>0</v>
      </c>
      <c r="F953" s="5">
        <f>ROUND(IFERROR(IF($B953&lt;=0,0,
MAX(-$B953, -(-PMT(InterestRate/PaymentsPerYear,LoanTerm*PaymentsPerYear,LoanAmount) + $E953))), 0), 2)</f>
        <v>0</v>
      </c>
      <c r="G953" s="5">
        <f t="shared" si="58"/>
        <v>0</v>
      </c>
      <c r="H953" s="5">
        <f t="shared" si="59"/>
        <v>0</v>
      </c>
    </row>
    <row r="954" spans="1:8" x14ac:dyDescent="0.2">
      <c r="A954" s="2">
        <v>953</v>
      </c>
      <c r="B954" s="5">
        <f t="shared" si="56"/>
        <v>0</v>
      </c>
      <c r="C954" s="5">
        <f t="shared" si="57"/>
        <v>0</v>
      </c>
      <c r="D954" s="5"/>
      <c r="E954" s="5">
        <f>IF($B954 &lt;= 0, 0, -ROUND($B954 * (InterestRate / PaymentsPerYear), 2))</f>
        <v>0</v>
      </c>
      <c r="F954" s="5">
        <f>ROUND(IFERROR(IF($B954&lt;=0,0,
MAX(-$B954, -(-PMT(InterestRate/PaymentsPerYear,LoanTerm*PaymentsPerYear,LoanAmount) + $E954))), 0), 2)</f>
        <v>0</v>
      </c>
      <c r="G954" s="5">
        <f t="shared" si="58"/>
        <v>0</v>
      </c>
      <c r="H954" s="5">
        <f t="shared" si="59"/>
        <v>0</v>
      </c>
    </row>
    <row r="955" spans="1:8" x14ac:dyDescent="0.2">
      <c r="A955" s="2">
        <v>954</v>
      </c>
      <c r="B955" s="5">
        <f t="shared" si="56"/>
        <v>0</v>
      </c>
      <c r="C955" s="5">
        <f t="shared" si="57"/>
        <v>0</v>
      </c>
      <c r="D955" s="5"/>
      <c r="E955" s="5">
        <f>IF($B955 &lt;= 0, 0, -ROUND($B955 * (InterestRate / PaymentsPerYear), 2))</f>
        <v>0</v>
      </c>
      <c r="F955" s="5">
        <f>ROUND(IFERROR(IF($B955&lt;=0,0,
MAX(-$B955, -(-PMT(InterestRate/PaymentsPerYear,LoanTerm*PaymentsPerYear,LoanAmount) + $E955))), 0), 2)</f>
        <v>0</v>
      </c>
      <c r="G955" s="5">
        <f t="shared" si="58"/>
        <v>0</v>
      </c>
      <c r="H955" s="5">
        <f t="shared" si="59"/>
        <v>0</v>
      </c>
    </row>
    <row r="956" spans="1:8" x14ac:dyDescent="0.2">
      <c r="A956" s="2">
        <v>955</v>
      </c>
      <c r="B956" s="5">
        <f t="shared" si="56"/>
        <v>0</v>
      </c>
      <c r="C956" s="5">
        <f t="shared" si="57"/>
        <v>0</v>
      </c>
      <c r="D956" s="5"/>
      <c r="E956" s="5">
        <f>IF($B956 &lt;= 0, 0, -ROUND($B956 * (InterestRate / PaymentsPerYear), 2))</f>
        <v>0</v>
      </c>
      <c r="F956" s="5">
        <f>ROUND(IFERROR(IF($B956&lt;=0,0,
MAX(-$B956, -(-PMT(InterestRate/PaymentsPerYear,LoanTerm*PaymentsPerYear,LoanAmount) + $E956))), 0), 2)</f>
        <v>0</v>
      </c>
      <c r="G956" s="5">
        <f t="shared" si="58"/>
        <v>0</v>
      </c>
      <c r="H956" s="5">
        <f t="shared" si="59"/>
        <v>0</v>
      </c>
    </row>
    <row r="957" spans="1:8" x14ac:dyDescent="0.2">
      <c r="A957" s="2">
        <v>956</v>
      </c>
      <c r="B957" s="5">
        <f t="shared" si="56"/>
        <v>0</v>
      </c>
      <c r="C957" s="5">
        <f t="shared" si="57"/>
        <v>0</v>
      </c>
      <c r="D957" s="5"/>
      <c r="E957" s="5">
        <f>IF($B957 &lt;= 0, 0, -ROUND($B957 * (InterestRate / PaymentsPerYear), 2))</f>
        <v>0</v>
      </c>
      <c r="F957" s="5">
        <f>ROUND(IFERROR(IF($B957&lt;=0,0,
MAX(-$B957, -(-PMT(InterestRate/PaymentsPerYear,LoanTerm*PaymentsPerYear,LoanAmount) + $E957))), 0), 2)</f>
        <v>0</v>
      </c>
      <c r="G957" s="5">
        <f t="shared" si="58"/>
        <v>0</v>
      </c>
      <c r="H957" s="5">
        <f t="shared" si="59"/>
        <v>0</v>
      </c>
    </row>
    <row r="958" spans="1:8" x14ac:dyDescent="0.2">
      <c r="A958" s="2">
        <v>957</v>
      </c>
      <c r="B958" s="5">
        <f t="shared" si="56"/>
        <v>0</v>
      </c>
      <c r="C958" s="5">
        <f t="shared" si="57"/>
        <v>0</v>
      </c>
      <c r="D958" s="5"/>
      <c r="E958" s="5">
        <f>IF($B958 &lt;= 0, 0, -ROUND($B958 * (InterestRate / PaymentsPerYear), 2))</f>
        <v>0</v>
      </c>
      <c r="F958" s="5">
        <f>ROUND(IFERROR(IF($B958&lt;=0,0,
MAX(-$B958, -(-PMT(InterestRate/PaymentsPerYear,LoanTerm*PaymentsPerYear,LoanAmount) + $E958))), 0), 2)</f>
        <v>0</v>
      </c>
      <c r="G958" s="5">
        <f t="shared" si="58"/>
        <v>0</v>
      </c>
      <c r="H958" s="5">
        <f t="shared" si="59"/>
        <v>0</v>
      </c>
    </row>
    <row r="959" spans="1:8" x14ac:dyDescent="0.2">
      <c r="A959" s="2">
        <v>958</v>
      </c>
      <c r="B959" s="5">
        <f t="shared" si="56"/>
        <v>0</v>
      </c>
      <c r="C959" s="5">
        <f t="shared" si="57"/>
        <v>0</v>
      </c>
      <c r="D959" s="5"/>
      <c r="E959" s="5">
        <f>IF($B959 &lt;= 0, 0, -ROUND($B959 * (InterestRate / PaymentsPerYear), 2))</f>
        <v>0</v>
      </c>
      <c r="F959" s="5">
        <f>ROUND(IFERROR(IF($B959&lt;=0,0,
MAX(-$B959, -(-PMT(InterestRate/PaymentsPerYear,LoanTerm*PaymentsPerYear,LoanAmount) + $E959))), 0), 2)</f>
        <v>0</v>
      </c>
      <c r="G959" s="5">
        <f t="shared" si="58"/>
        <v>0</v>
      </c>
      <c r="H959" s="5">
        <f t="shared" si="59"/>
        <v>0</v>
      </c>
    </row>
    <row r="960" spans="1:8" x14ac:dyDescent="0.2">
      <c r="A960" s="2">
        <v>959</v>
      </c>
      <c r="B960" s="5">
        <f t="shared" si="56"/>
        <v>0</v>
      </c>
      <c r="C960" s="5">
        <f t="shared" si="57"/>
        <v>0</v>
      </c>
      <c r="D960" s="5"/>
      <c r="E960" s="5">
        <f>IF($B960 &lt;= 0, 0, -ROUND($B960 * (InterestRate / PaymentsPerYear), 2))</f>
        <v>0</v>
      </c>
      <c r="F960" s="5">
        <f>ROUND(IFERROR(IF($B960&lt;=0,0,
MAX(-$B960, -(-PMT(InterestRate/PaymentsPerYear,LoanTerm*PaymentsPerYear,LoanAmount) + $E960))), 0), 2)</f>
        <v>0</v>
      </c>
      <c r="G960" s="5">
        <f t="shared" si="58"/>
        <v>0</v>
      </c>
      <c r="H960" s="5">
        <f t="shared" si="59"/>
        <v>0</v>
      </c>
    </row>
    <row r="961" spans="1:8" x14ac:dyDescent="0.2">
      <c r="A961" s="2">
        <v>960</v>
      </c>
      <c r="B961" s="5">
        <f t="shared" si="56"/>
        <v>0</v>
      </c>
      <c r="C961" s="5">
        <f t="shared" si="57"/>
        <v>0</v>
      </c>
      <c r="D961" s="5"/>
      <c r="E961" s="5">
        <f>IF($B961 &lt;= 0, 0, -ROUND($B961 * (InterestRate / PaymentsPerYear), 2))</f>
        <v>0</v>
      </c>
      <c r="F961" s="5">
        <f>ROUND(IFERROR(IF($B961&lt;=0,0,
MAX(-$B961, -(-PMT(InterestRate/PaymentsPerYear,LoanTerm*PaymentsPerYear,LoanAmount) + $E961))), 0), 2)</f>
        <v>0</v>
      </c>
      <c r="G961" s="5">
        <f t="shared" si="58"/>
        <v>0</v>
      </c>
      <c r="H961" s="5">
        <f t="shared" si="59"/>
        <v>0</v>
      </c>
    </row>
    <row r="962" spans="1:8" x14ac:dyDescent="0.2">
      <c r="A962" s="2">
        <v>961</v>
      </c>
      <c r="B962" s="5">
        <f t="shared" si="56"/>
        <v>0</v>
      </c>
      <c r="C962" s="5">
        <f t="shared" si="57"/>
        <v>0</v>
      </c>
      <c r="D962" s="5"/>
      <c r="E962" s="5">
        <f>IF($B962 &lt;= 0, 0, -ROUND($B962 * (InterestRate / PaymentsPerYear), 2))</f>
        <v>0</v>
      </c>
      <c r="F962" s="5">
        <f>ROUND(IFERROR(IF($B962&lt;=0,0,
MAX(-$B962, -(-PMT(InterestRate/PaymentsPerYear,LoanTerm*PaymentsPerYear,LoanAmount) + $E962))), 0), 2)</f>
        <v>0</v>
      </c>
      <c r="G962" s="5">
        <f t="shared" si="58"/>
        <v>0</v>
      </c>
      <c r="H962" s="5">
        <f t="shared" si="59"/>
        <v>0</v>
      </c>
    </row>
    <row r="963" spans="1:8" x14ac:dyDescent="0.2">
      <c r="A963" s="2">
        <v>962</v>
      </c>
      <c r="B963" s="5">
        <f t="shared" si="56"/>
        <v>0</v>
      </c>
      <c r="C963" s="5">
        <f t="shared" si="57"/>
        <v>0</v>
      </c>
      <c r="D963" s="5"/>
      <c r="E963" s="5">
        <f>IF($B963 &lt;= 0, 0, -ROUND($B963 * (InterestRate / PaymentsPerYear), 2))</f>
        <v>0</v>
      </c>
      <c r="F963" s="5">
        <f>ROUND(IFERROR(IF($B963&lt;=0,0,
MAX(-$B963, -(-PMT(InterestRate/PaymentsPerYear,LoanTerm*PaymentsPerYear,LoanAmount) + $E963))), 0), 2)</f>
        <v>0</v>
      </c>
      <c r="G963" s="5">
        <f t="shared" si="58"/>
        <v>0</v>
      </c>
      <c r="H963" s="5">
        <f t="shared" si="59"/>
        <v>0</v>
      </c>
    </row>
    <row r="964" spans="1:8" x14ac:dyDescent="0.2">
      <c r="A964" s="2">
        <v>963</v>
      </c>
      <c r="B964" s="5">
        <f t="shared" ref="B964:B1027" si="60">ROUND(IF($H963 &gt;= 0, MAX($H963, $F963), 0), 2)</f>
        <v>0</v>
      </c>
      <c r="C964" s="5">
        <f t="shared" ref="C964:C1027" si="61">IF($B964 &lt;= 0, 0, $E964+$F964)</f>
        <v>0</v>
      </c>
      <c r="D964" s="5"/>
      <c r="E964" s="5">
        <f>IF($B964 &lt;= 0, 0, -ROUND($B964 * (InterestRate / PaymentsPerYear), 2))</f>
        <v>0</v>
      </c>
      <c r="F964" s="5">
        <f>ROUND(IFERROR(IF($B964&lt;=0,0,
MAX(-$B964, -(-PMT(InterestRate/PaymentsPerYear,LoanTerm*PaymentsPerYear,LoanAmount) + $E964))), 0), 2)</f>
        <v>0</v>
      </c>
      <c r="G964" s="5">
        <f t="shared" ref="G964:G1027" si="62">$F964</f>
        <v>0</v>
      </c>
      <c r="H964" s="5">
        <f t="shared" ref="H964:H1027" si="63">ROUND(IF($B964 &lt;= 0, 0,MAX(0, $B964 + $G964)), 2)</f>
        <v>0</v>
      </c>
    </row>
    <row r="965" spans="1:8" x14ac:dyDescent="0.2">
      <c r="A965" s="2">
        <v>964</v>
      </c>
      <c r="B965" s="5">
        <f t="shared" si="60"/>
        <v>0</v>
      </c>
      <c r="C965" s="5">
        <f t="shared" si="61"/>
        <v>0</v>
      </c>
      <c r="D965" s="5"/>
      <c r="E965" s="5">
        <f>IF($B965 &lt;= 0, 0, -ROUND($B965 * (InterestRate / PaymentsPerYear), 2))</f>
        <v>0</v>
      </c>
      <c r="F965" s="5">
        <f>ROUND(IFERROR(IF($B965&lt;=0,0,
MAX(-$B965, -(-PMT(InterestRate/PaymentsPerYear,LoanTerm*PaymentsPerYear,LoanAmount) + $E965))), 0), 2)</f>
        <v>0</v>
      </c>
      <c r="G965" s="5">
        <f t="shared" si="62"/>
        <v>0</v>
      </c>
      <c r="H965" s="5">
        <f t="shared" si="63"/>
        <v>0</v>
      </c>
    </row>
    <row r="966" spans="1:8" x14ac:dyDescent="0.2">
      <c r="A966" s="2">
        <v>965</v>
      </c>
      <c r="B966" s="5">
        <f t="shared" si="60"/>
        <v>0</v>
      </c>
      <c r="C966" s="5">
        <f t="shared" si="61"/>
        <v>0</v>
      </c>
      <c r="D966" s="5"/>
      <c r="E966" s="5">
        <f>IF($B966 &lt;= 0, 0, -ROUND($B966 * (InterestRate / PaymentsPerYear), 2))</f>
        <v>0</v>
      </c>
      <c r="F966" s="5">
        <f>ROUND(IFERROR(IF($B966&lt;=0,0,
MAX(-$B966, -(-PMT(InterestRate/PaymentsPerYear,LoanTerm*PaymentsPerYear,LoanAmount) + $E966))), 0), 2)</f>
        <v>0</v>
      </c>
      <c r="G966" s="5">
        <f t="shared" si="62"/>
        <v>0</v>
      </c>
      <c r="H966" s="5">
        <f t="shared" si="63"/>
        <v>0</v>
      </c>
    </row>
    <row r="967" spans="1:8" x14ac:dyDescent="0.2">
      <c r="A967" s="2">
        <v>966</v>
      </c>
      <c r="B967" s="5">
        <f t="shared" si="60"/>
        <v>0</v>
      </c>
      <c r="C967" s="5">
        <f t="shared" si="61"/>
        <v>0</v>
      </c>
      <c r="D967" s="5"/>
      <c r="E967" s="5">
        <f>IF($B967 &lt;= 0, 0, -ROUND($B967 * (InterestRate / PaymentsPerYear), 2))</f>
        <v>0</v>
      </c>
      <c r="F967" s="5">
        <f>ROUND(IFERROR(IF($B967&lt;=0,0,
MAX(-$B967, -(-PMT(InterestRate/PaymentsPerYear,LoanTerm*PaymentsPerYear,LoanAmount) + $E967))), 0), 2)</f>
        <v>0</v>
      </c>
      <c r="G967" s="5">
        <f t="shared" si="62"/>
        <v>0</v>
      </c>
      <c r="H967" s="5">
        <f t="shared" si="63"/>
        <v>0</v>
      </c>
    </row>
    <row r="968" spans="1:8" x14ac:dyDescent="0.2">
      <c r="A968" s="2">
        <v>967</v>
      </c>
      <c r="B968" s="5">
        <f t="shared" si="60"/>
        <v>0</v>
      </c>
      <c r="C968" s="5">
        <f t="shared" si="61"/>
        <v>0</v>
      </c>
      <c r="D968" s="5"/>
      <c r="E968" s="5">
        <f>IF($B968 &lt;= 0, 0, -ROUND($B968 * (InterestRate / PaymentsPerYear), 2))</f>
        <v>0</v>
      </c>
      <c r="F968" s="5">
        <f>ROUND(IFERROR(IF($B968&lt;=0,0,
MAX(-$B968, -(-PMT(InterestRate/PaymentsPerYear,LoanTerm*PaymentsPerYear,LoanAmount) + $E968))), 0), 2)</f>
        <v>0</v>
      </c>
      <c r="G968" s="5">
        <f t="shared" si="62"/>
        <v>0</v>
      </c>
      <c r="H968" s="5">
        <f t="shared" si="63"/>
        <v>0</v>
      </c>
    </row>
    <row r="969" spans="1:8" x14ac:dyDescent="0.2">
      <c r="A969" s="2">
        <v>968</v>
      </c>
      <c r="B969" s="5">
        <f t="shared" si="60"/>
        <v>0</v>
      </c>
      <c r="C969" s="5">
        <f t="shared" si="61"/>
        <v>0</v>
      </c>
      <c r="D969" s="5"/>
      <c r="E969" s="5">
        <f>IF($B969 &lt;= 0, 0, -ROUND($B969 * (InterestRate / PaymentsPerYear), 2))</f>
        <v>0</v>
      </c>
      <c r="F969" s="5">
        <f>ROUND(IFERROR(IF($B969&lt;=0,0,
MAX(-$B969, -(-PMT(InterestRate/PaymentsPerYear,LoanTerm*PaymentsPerYear,LoanAmount) + $E969))), 0), 2)</f>
        <v>0</v>
      </c>
      <c r="G969" s="5">
        <f t="shared" si="62"/>
        <v>0</v>
      </c>
      <c r="H969" s="5">
        <f t="shared" si="63"/>
        <v>0</v>
      </c>
    </row>
    <row r="970" spans="1:8" x14ac:dyDescent="0.2">
      <c r="A970" s="2">
        <v>969</v>
      </c>
      <c r="B970" s="5">
        <f t="shared" si="60"/>
        <v>0</v>
      </c>
      <c r="C970" s="5">
        <f t="shared" si="61"/>
        <v>0</v>
      </c>
      <c r="D970" s="5"/>
      <c r="E970" s="5">
        <f>IF($B970 &lt;= 0, 0, -ROUND($B970 * (InterestRate / PaymentsPerYear), 2))</f>
        <v>0</v>
      </c>
      <c r="F970" s="5">
        <f>ROUND(IFERROR(IF($B970&lt;=0,0,
MAX(-$B970, -(-PMT(InterestRate/PaymentsPerYear,LoanTerm*PaymentsPerYear,LoanAmount) + $E970))), 0), 2)</f>
        <v>0</v>
      </c>
      <c r="G970" s="5">
        <f t="shared" si="62"/>
        <v>0</v>
      </c>
      <c r="H970" s="5">
        <f t="shared" si="63"/>
        <v>0</v>
      </c>
    </row>
    <row r="971" spans="1:8" x14ac:dyDescent="0.2">
      <c r="A971" s="2">
        <v>970</v>
      </c>
      <c r="B971" s="5">
        <f t="shared" si="60"/>
        <v>0</v>
      </c>
      <c r="C971" s="5">
        <f t="shared" si="61"/>
        <v>0</v>
      </c>
      <c r="D971" s="5"/>
      <c r="E971" s="5">
        <f>IF($B971 &lt;= 0, 0, -ROUND($B971 * (InterestRate / PaymentsPerYear), 2))</f>
        <v>0</v>
      </c>
      <c r="F971" s="5">
        <f>ROUND(IFERROR(IF($B971&lt;=0,0,
MAX(-$B971, -(-PMT(InterestRate/PaymentsPerYear,LoanTerm*PaymentsPerYear,LoanAmount) + $E971))), 0), 2)</f>
        <v>0</v>
      </c>
      <c r="G971" s="5">
        <f t="shared" si="62"/>
        <v>0</v>
      </c>
      <c r="H971" s="5">
        <f t="shared" si="63"/>
        <v>0</v>
      </c>
    </row>
    <row r="972" spans="1:8" x14ac:dyDescent="0.2">
      <c r="A972" s="2">
        <v>971</v>
      </c>
      <c r="B972" s="5">
        <f t="shared" si="60"/>
        <v>0</v>
      </c>
      <c r="C972" s="5">
        <f t="shared" si="61"/>
        <v>0</v>
      </c>
      <c r="D972" s="5"/>
      <c r="E972" s="5">
        <f>IF($B972 &lt;= 0, 0, -ROUND($B972 * (InterestRate / PaymentsPerYear), 2))</f>
        <v>0</v>
      </c>
      <c r="F972" s="5">
        <f>ROUND(IFERROR(IF($B972&lt;=0,0,
MAX(-$B972, -(-PMT(InterestRate/PaymentsPerYear,LoanTerm*PaymentsPerYear,LoanAmount) + $E972))), 0), 2)</f>
        <v>0</v>
      </c>
      <c r="G972" s="5">
        <f t="shared" si="62"/>
        <v>0</v>
      </c>
      <c r="H972" s="5">
        <f t="shared" si="63"/>
        <v>0</v>
      </c>
    </row>
    <row r="973" spans="1:8" x14ac:dyDescent="0.2">
      <c r="A973" s="2">
        <v>972</v>
      </c>
      <c r="B973" s="5">
        <f t="shared" si="60"/>
        <v>0</v>
      </c>
      <c r="C973" s="5">
        <f t="shared" si="61"/>
        <v>0</v>
      </c>
      <c r="D973" s="5"/>
      <c r="E973" s="5">
        <f>IF($B973 &lt;= 0, 0, -ROUND($B973 * (InterestRate / PaymentsPerYear), 2))</f>
        <v>0</v>
      </c>
      <c r="F973" s="5">
        <f>ROUND(IFERROR(IF($B973&lt;=0,0,
MAX(-$B973, -(-PMT(InterestRate/PaymentsPerYear,LoanTerm*PaymentsPerYear,LoanAmount) + $E973))), 0), 2)</f>
        <v>0</v>
      </c>
      <c r="G973" s="5">
        <f t="shared" si="62"/>
        <v>0</v>
      </c>
      <c r="H973" s="5">
        <f t="shared" si="63"/>
        <v>0</v>
      </c>
    </row>
    <row r="974" spans="1:8" x14ac:dyDescent="0.2">
      <c r="A974" s="2">
        <v>973</v>
      </c>
      <c r="B974" s="5">
        <f t="shared" si="60"/>
        <v>0</v>
      </c>
      <c r="C974" s="5">
        <f t="shared" si="61"/>
        <v>0</v>
      </c>
      <c r="D974" s="5"/>
      <c r="E974" s="5">
        <f>IF($B974 &lt;= 0, 0, -ROUND($B974 * (InterestRate / PaymentsPerYear), 2))</f>
        <v>0</v>
      </c>
      <c r="F974" s="5">
        <f>ROUND(IFERROR(IF($B974&lt;=0,0,
MAX(-$B974, -(-PMT(InterestRate/PaymentsPerYear,LoanTerm*PaymentsPerYear,LoanAmount) + $E974))), 0), 2)</f>
        <v>0</v>
      </c>
      <c r="G974" s="5">
        <f t="shared" si="62"/>
        <v>0</v>
      </c>
      <c r="H974" s="5">
        <f t="shared" si="63"/>
        <v>0</v>
      </c>
    </row>
    <row r="975" spans="1:8" x14ac:dyDescent="0.2">
      <c r="A975" s="2">
        <v>974</v>
      </c>
      <c r="B975" s="5">
        <f t="shared" si="60"/>
        <v>0</v>
      </c>
      <c r="C975" s="5">
        <f t="shared" si="61"/>
        <v>0</v>
      </c>
      <c r="D975" s="5"/>
      <c r="E975" s="5">
        <f>IF($B975 &lt;= 0, 0, -ROUND($B975 * (InterestRate / PaymentsPerYear), 2))</f>
        <v>0</v>
      </c>
      <c r="F975" s="5">
        <f>ROUND(IFERROR(IF($B975&lt;=0,0,
MAX(-$B975, -(-PMT(InterestRate/PaymentsPerYear,LoanTerm*PaymentsPerYear,LoanAmount) + $E975))), 0), 2)</f>
        <v>0</v>
      </c>
      <c r="G975" s="5">
        <f t="shared" si="62"/>
        <v>0</v>
      </c>
      <c r="H975" s="5">
        <f t="shared" si="63"/>
        <v>0</v>
      </c>
    </row>
    <row r="976" spans="1:8" x14ac:dyDescent="0.2">
      <c r="A976" s="2">
        <v>975</v>
      </c>
      <c r="B976" s="5">
        <f t="shared" si="60"/>
        <v>0</v>
      </c>
      <c r="C976" s="5">
        <f t="shared" si="61"/>
        <v>0</v>
      </c>
      <c r="D976" s="5"/>
      <c r="E976" s="5">
        <f>IF($B976 &lt;= 0, 0, -ROUND($B976 * (InterestRate / PaymentsPerYear), 2))</f>
        <v>0</v>
      </c>
      <c r="F976" s="5">
        <f>ROUND(IFERROR(IF($B976&lt;=0,0,
MAX(-$B976, -(-PMT(InterestRate/PaymentsPerYear,LoanTerm*PaymentsPerYear,LoanAmount) + $E976))), 0), 2)</f>
        <v>0</v>
      </c>
      <c r="G976" s="5">
        <f t="shared" si="62"/>
        <v>0</v>
      </c>
      <c r="H976" s="5">
        <f t="shared" si="63"/>
        <v>0</v>
      </c>
    </row>
    <row r="977" spans="1:8" x14ac:dyDescent="0.2">
      <c r="A977" s="2">
        <v>976</v>
      </c>
      <c r="B977" s="5">
        <f t="shared" si="60"/>
        <v>0</v>
      </c>
      <c r="C977" s="5">
        <f t="shared" si="61"/>
        <v>0</v>
      </c>
      <c r="D977" s="5"/>
      <c r="E977" s="5">
        <f>IF($B977 &lt;= 0, 0, -ROUND($B977 * (InterestRate / PaymentsPerYear), 2))</f>
        <v>0</v>
      </c>
      <c r="F977" s="5">
        <f>ROUND(IFERROR(IF($B977&lt;=0,0,
MAX(-$B977, -(-PMT(InterestRate/PaymentsPerYear,LoanTerm*PaymentsPerYear,LoanAmount) + $E977))), 0), 2)</f>
        <v>0</v>
      </c>
      <c r="G977" s="5">
        <f t="shared" si="62"/>
        <v>0</v>
      </c>
      <c r="H977" s="5">
        <f t="shared" si="63"/>
        <v>0</v>
      </c>
    </row>
    <row r="978" spans="1:8" x14ac:dyDescent="0.2">
      <c r="A978" s="2">
        <v>977</v>
      </c>
      <c r="B978" s="5">
        <f t="shared" si="60"/>
        <v>0</v>
      </c>
      <c r="C978" s="5">
        <f t="shared" si="61"/>
        <v>0</v>
      </c>
      <c r="D978" s="5"/>
      <c r="E978" s="5">
        <f>IF($B978 &lt;= 0, 0, -ROUND($B978 * (InterestRate / PaymentsPerYear), 2))</f>
        <v>0</v>
      </c>
      <c r="F978" s="5">
        <f>ROUND(IFERROR(IF($B978&lt;=0,0,
MAX(-$B978, -(-PMT(InterestRate/PaymentsPerYear,LoanTerm*PaymentsPerYear,LoanAmount) + $E978))), 0), 2)</f>
        <v>0</v>
      </c>
      <c r="G978" s="5">
        <f t="shared" si="62"/>
        <v>0</v>
      </c>
      <c r="H978" s="5">
        <f t="shared" si="63"/>
        <v>0</v>
      </c>
    </row>
    <row r="979" spans="1:8" x14ac:dyDescent="0.2">
      <c r="A979" s="2">
        <v>978</v>
      </c>
      <c r="B979" s="5">
        <f t="shared" si="60"/>
        <v>0</v>
      </c>
      <c r="C979" s="5">
        <f t="shared" si="61"/>
        <v>0</v>
      </c>
      <c r="D979" s="5"/>
      <c r="E979" s="5">
        <f>IF($B979 &lt;= 0, 0, -ROUND($B979 * (InterestRate / PaymentsPerYear), 2))</f>
        <v>0</v>
      </c>
      <c r="F979" s="5">
        <f>ROUND(IFERROR(IF($B979&lt;=0,0,
MAX(-$B979, -(-PMT(InterestRate/PaymentsPerYear,LoanTerm*PaymentsPerYear,LoanAmount) + $E979))), 0), 2)</f>
        <v>0</v>
      </c>
      <c r="G979" s="5">
        <f t="shared" si="62"/>
        <v>0</v>
      </c>
      <c r="H979" s="5">
        <f t="shared" si="63"/>
        <v>0</v>
      </c>
    </row>
    <row r="980" spans="1:8" x14ac:dyDescent="0.2">
      <c r="A980" s="2">
        <v>979</v>
      </c>
      <c r="B980" s="5">
        <f t="shared" si="60"/>
        <v>0</v>
      </c>
      <c r="C980" s="5">
        <f t="shared" si="61"/>
        <v>0</v>
      </c>
      <c r="D980" s="5"/>
      <c r="E980" s="5">
        <f>IF($B980 &lt;= 0, 0, -ROUND($B980 * (InterestRate / PaymentsPerYear), 2))</f>
        <v>0</v>
      </c>
      <c r="F980" s="5">
        <f>ROUND(IFERROR(IF($B980&lt;=0,0,
MAX(-$B980, -(-PMT(InterestRate/PaymentsPerYear,LoanTerm*PaymentsPerYear,LoanAmount) + $E980))), 0), 2)</f>
        <v>0</v>
      </c>
      <c r="G980" s="5">
        <f t="shared" si="62"/>
        <v>0</v>
      </c>
      <c r="H980" s="5">
        <f t="shared" si="63"/>
        <v>0</v>
      </c>
    </row>
    <row r="981" spans="1:8" x14ac:dyDescent="0.2">
      <c r="A981" s="2">
        <v>980</v>
      </c>
      <c r="B981" s="5">
        <f t="shared" si="60"/>
        <v>0</v>
      </c>
      <c r="C981" s="5">
        <f t="shared" si="61"/>
        <v>0</v>
      </c>
      <c r="D981" s="5"/>
      <c r="E981" s="5">
        <f>IF($B981 &lt;= 0, 0, -ROUND($B981 * (InterestRate / PaymentsPerYear), 2))</f>
        <v>0</v>
      </c>
      <c r="F981" s="5">
        <f>ROUND(IFERROR(IF($B981&lt;=0,0,
MAX(-$B981, -(-PMT(InterestRate/PaymentsPerYear,LoanTerm*PaymentsPerYear,LoanAmount) + $E981))), 0), 2)</f>
        <v>0</v>
      </c>
      <c r="G981" s="5">
        <f t="shared" si="62"/>
        <v>0</v>
      </c>
      <c r="H981" s="5">
        <f t="shared" si="63"/>
        <v>0</v>
      </c>
    </row>
    <row r="982" spans="1:8" x14ac:dyDescent="0.2">
      <c r="A982" s="2">
        <v>981</v>
      </c>
      <c r="B982" s="5">
        <f t="shared" si="60"/>
        <v>0</v>
      </c>
      <c r="C982" s="5">
        <f t="shared" si="61"/>
        <v>0</v>
      </c>
      <c r="D982" s="5"/>
      <c r="E982" s="5">
        <f>IF($B982 &lt;= 0, 0, -ROUND($B982 * (InterestRate / PaymentsPerYear), 2))</f>
        <v>0</v>
      </c>
      <c r="F982" s="5">
        <f>ROUND(IFERROR(IF($B982&lt;=0,0,
MAX(-$B982, -(-PMT(InterestRate/PaymentsPerYear,LoanTerm*PaymentsPerYear,LoanAmount) + $E982))), 0), 2)</f>
        <v>0</v>
      </c>
      <c r="G982" s="5">
        <f t="shared" si="62"/>
        <v>0</v>
      </c>
      <c r="H982" s="5">
        <f t="shared" si="63"/>
        <v>0</v>
      </c>
    </row>
    <row r="983" spans="1:8" x14ac:dyDescent="0.2">
      <c r="A983" s="2">
        <v>982</v>
      </c>
      <c r="B983" s="5">
        <f t="shared" si="60"/>
        <v>0</v>
      </c>
      <c r="C983" s="5">
        <f t="shared" si="61"/>
        <v>0</v>
      </c>
      <c r="D983" s="5"/>
      <c r="E983" s="5">
        <f>IF($B983 &lt;= 0, 0, -ROUND($B983 * (InterestRate / PaymentsPerYear), 2))</f>
        <v>0</v>
      </c>
      <c r="F983" s="5">
        <f>ROUND(IFERROR(IF($B983&lt;=0,0,
MAX(-$B983, -(-PMT(InterestRate/PaymentsPerYear,LoanTerm*PaymentsPerYear,LoanAmount) + $E983))), 0), 2)</f>
        <v>0</v>
      </c>
      <c r="G983" s="5">
        <f t="shared" si="62"/>
        <v>0</v>
      </c>
      <c r="H983" s="5">
        <f t="shared" si="63"/>
        <v>0</v>
      </c>
    </row>
    <row r="984" spans="1:8" x14ac:dyDescent="0.2">
      <c r="A984" s="2">
        <v>983</v>
      </c>
      <c r="B984" s="5">
        <f t="shared" si="60"/>
        <v>0</v>
      </c>
      <c r="C984" s="5">
        <f t="shared" si="61"/>
        <v>0</v>
      </c>
      <c r="D984" s="5"/>
      <c r="E984" s="5">
        <f>IF($B984 &lt;= 0, 0, -ROUND($B984 * (InterestRate / PaymentsPerYear), 2))</f>
        <v>0</v>
      </c>
      <c r="F984" s="5">
        <f>ROUND(IFERROR(IF($B984&lt;=0,0,
MAX(-$B984, -(-PMT(InterestRate/PaymentsPerYear,LoanTerm*PaymentsPerYear,LoanAmount) + $E984))), 0), 2)</f>
        <v>0</v>
      </c>
      <c r="G984" s="5">
        <f t="shared" si="62"/>
        <v>0</v>
      </c>
      <c r="H984" s="5">
        <f t="shared" si="63"/>
        <v>0</v>
      </c>
    </row>
    <row r="985" spans="1:8" x14ac:dyDescent="0.2">
      <c r="A985" s="2">
        <v>984</v>
      </c>
      <c r="B985" s="5">
        <f t="shared" si="60"/>
        <v>0</v>
      </c>
      <c r="C985" s="5">
        <f t="shared" si="61"/>
        <v>0</v>
      </c>
      <c r="D985" s="5"/>
      <c r="E985" s="5">
        <f>IF($B985 &lt;= 0, 0, -ROUND($B985 * (InterestRate / PaymentsPerYear), 2))</f>
        <v>0</v>
      </c>
      <c r="F985" s="5">
        <f>ROUND(IFERROR(IF($B985&lt;=0,0,
MAX(-$B985, -(-PMT(InterestRate/PaymentsPerYear,LoanTerm*PaymentsPerYear,LoanAmount) + $E985))), 0), 2)</f>
        <v>0</v>
      </c>
      <c r="G985" s="5">
        <f t="shared" si="62"/>
        <v>0</v>
      </c>
      <c r="H985" s="5">
        <f t="shared" si="63"/>
        <v>0</v>
      </c>
    </row>
    <row r="986" spans="1:8" x14ac:dyDescent="0.2">
      <c r="A986" s="2">
        <v>985</v>
      </c>
      <c r="B986" s="5">
        <f t="shared" si="60"/>
        <v>0</v>
      </c>
      <c r="C986" s="5">
        <f t="shared" si="61"/>
        <v>0</v>
      </c>
      <c r="D986" s="5"/>
      <c r="E986" s="5">
        <f>IF($B986 &lt;= 0, 0, -ROUND($B986 * (InterestRate / PaymentsPerYear), 2))</f>
        <v>0</v>
      </c>
      <c r="F986" s="5">
        <f>ROUND(IFERROR(IF($B986&lt;=0,0,
MAX(-$B986, -(-PMT(InterestRate/PaymentsPerYear,LoanTerm*PaymentsPerYear,LoanAmount) + $E986))), 0), 2)</f>
        <v>0</v>
      </c>
      <c r="G986" s="5">
        <f t="shared" si="62"/>
        <v>0</v>
      </c>
      <c r="H986" s="5">
        <f t="shared" si="63"/>
        <v>0</v>
      </c>
    </row>
    <row r="987" spans="1:8" x14ac:dyDescent="0.2">
      <c r="A987" s="2">
        <v>986</v>
      </c>
      <c r="B987" s="5">
        <f t="shared" si="60"/>
        <v>0</v>
      </c>
      <c r="C987" s="5">
        <f t="shared" si="61"/>
        <v>0</v>
      </c>
      <c r="D987" s="5"/>
      <c r="E987" s="5">
        <f>IF($B987 &lt;= 0, 0, -ROUND($B987 * (InterestRate / PaymentsPerYear), 2))</f>
        <v>0</v>
      </c>
      <c r="F987" s="5">
        <f>ROUND(IFERROR(IF($B987&lt;=0,0,
MAX(-$B987, -(-PMT(InterestRate/PaymentsPerYear,LoanTerm*PaymentsPerYear,LoanAmount) + $E987))), 0), 2)</f>
        <v>0</v>
      </c>
      <c r="G987" s="5">
        <f t="shared" si="62"/>
        <v>0</v>
      </c>
      <c r="H987" s="5">
        <f t="shared" si="63"/>
        <v>0</v>
      </c>
    </row>
    <row r="988" spans="1:8" x14ac:dyDescent="0.2">
      <c r="A988" s="2">
        <v>987</v>
      </c>
      <c r="B988" s="5">
        <f t="shared" si="60"/>
        <v>0</v>
      </c>
      <c r="C988" s="5">
        <f t="shared" si="61"/>
        <v>0</v>
      </c>
      <c r="D988" s="5"/>
      <c r="E988" s="5">
        <f>IF($B988 &lt;= 0, 0, -ROUND($B988 * (InterestRate / PaymentsPerYear), 2))</f>
        <v>0</v>
      </c>
      <c r="F988" s="5">
        <f>ROUND(IFERROR(IF($B988&lt;=0,0,
MAX(-$B988, -(-PMT(InterestRate/PaymentsPerYear,LoanTerm*PaymentsPerYear,LoanAmount) + $E988))), 0), 2)</f>
        <v>0</v>
      </c>
      <c r="G988" s="5">
        <f t="shared" si="62"/>
        <v>0</v>
      </c>
      <c r="H988" s="5">
        <f t="shared" si="63"/>
        <v>0</v>
      </c>
    </row>
    <row r="989" spans="1:8" x14ac:dyDescent="0.2">
      <c r="A989" s="2">
        <v>988</v>
      </c>
      <c r="B989" s="5">
        <f t="shared" si="60"/>
        <v>0</v>
      </c>
      <c r="C989" s="5">
        <f t="shared" si="61"/>
        <v>0</v>
      </c>
      <c r="D989" s="5"/>
      <c r="E989" s="5">
        <f>IF($B989 &lt;= 0, 0, -ROUND($B989 * (InterestRate / PaymentsPerYear), 2))</f>
        <v>0</v>
      </c>
      <c r="F989" s="5">
        <f>ROUND(IFERROR(IF($B989&lt;=0,0,
MAX(-$B989, -(-PMT(InterestRate/PaymentsPerYear,LoanTerm*PaymentsPerYear,LoanAmount) + $E989))), 0), 2)</f>
        <v>0</v>
      </c>
      <c r="G989" s="5">
        <f t="shared" si="62"/>
        <v>0</v>
      </c>
      <c r="H989" s="5">
        <f t="shared" si="63"/>
        <v>0</v>
      </c>
    </row>
    <row r="990" spans="1:8" x14ac:dyDescent="0.2">
      <c r="A990" s="2">
        <v>989</v>
      </c>
      <c r="B990" s="5">
        <f t="shared" si="60"/>
        <v>0</v>
      </c>
      <c r="C990" s="5">
        <f t="shared" si="61"/>
        <v>0</v>
      </c>
      <c r="D990" s="5"/>
      <c r="E990" s="5">
        <f>IF($B990 &lt;= 0, 0, -ROUND($B990 * (InterestRate / PaymentsPerYear), 2))</f>
        <v>0</v>
      </c>
      <c r="F990" s="5">
        <f>ROUND(IFERROR(IF($B990&lt;=0,0,
MAX(-$B990, -(-PMT(InterestRate/PaymentsPerYear,LoanTerm*PaymentsPerYear,LoanAmount) + $E990))), 0), 2)</f>
        <v>0</v>
      </c>
      <c r="G990" s="5">
        <f t="shared" si="62"/>
        <v>0</v>
      </c>
      <c r="H990" s="5">
        <f t="shared" si="63"/>
        <v>0</v>
      </c>
    </row>
    <row r="991" spans="1:8" x14ac:dyDescent="0.2">
      <c r="A991" s="2">
        <v>990</v>
      </c>
      <c r="B991" s="5">
        <f t="shared" si="60"/>
        <v>0</v>
      </c>
      <c r="C991" s="5">
        <f t="shared" si="61"/>
        <v>0</v>
      </c>
      <c r="D991" s="5"/>
      <c r="E991" s="5">
        <f>IF($B991 &lt;= 0, 0, -ROUND($B991 * (InterestRate / PaymentsPerYear), 2))</f>
        <v>0</v>
      </c>
      <c r="F991" s="5">
        <f>ROUND(IFERROR(IF($B991&lt;=0,0,
MAX(-$B991, -(-PMT(InterestRate/PaymentsPerYear,LoanTerm*PaymentsPerYear,LoanAmount) + $E991))), 0), 2)</f>
        <v>0</v>
      </c>
      <c r="G991" s="5">
        <f t="shared" si="62"/>
        <v>0</v>
      </c>
      <c r="H991" s="5">
        <f t="shared" si="63"/>
        <v>0</v>
      </c>
    </row>
    <row r="992" spans="1:8" x14ac:dyDescent="0.2">
      <c r="A992" s="2">
        <v>991</v>
      </c>
      <c r="B992" s="5">
        <f t="shared" si="60"/>
        <v>0</v>
      </c>
      <c r="C992" s="5">
        <f t="shared" si="61"/>
        <v>0</v>
      </c>
      <c r="D992" s="5"/>
      <c r="E992" s="5">
        <f>IF($B992 &lt;= 0, 0, -ROUND($B992 * (InterestRate / PaymentsPerYear), 2))</f>
        <v>0</v>
      </c>
      <c r="F992" s="5">
        <f>ROUND(IFERROR(IF($B992&lt;=0,0,
MAX(-$B992, -(-PMT(InterestRate/PaymentsPerYear,LoanTerm*PaymentsPerYear,LoanAmount) + $E992))), 0), 2)</f>
        <v>0</v>
      </c>
      <c r="G992" s="5">
        <f t="shared" si="62"/>
        <v>0</v>
      </c>
      <c r="H992" s="5">
        <f t="shared" si="63"/>
        <v>0</v>
      </c>
    </row>
    <row r="993" spans="1:8" x14ac:dyDescent="0.2">
      <c r="A993" s="2">
        <v>992</v>
      </c>
      <c r="B993" s="5">
        <f t="shared" si="60"/>
        <v>0</v>
      </c>
      <c r="C993" s="5">
        <f t="shared" si="61"/>
        <v>0</v>
      </c>
      <c r="D993" s="5"/>
      <c r="E993" s="5">
        <f>IF($B993 &lt;= 0, 0, -ROUND($B993 * (InterestRate / PaymentsPerYear), 2))</f>
        <v>0</v>
      </c>
      <c r="F993" s="5">
        <f>ROUND(IFERROR(IF($B993&lt;=0,0,
MAX(-$B993, -(-PMT(InterestRate/PaymentsPerYear,LoanTerm*PaymentsPerYear,LoanAmount) + $E993))), 0), 2)</f>
        <v>0</v>
      </c>
      <c r="G993" s="5">
        <f t="shared" si="62"/>
        <v>0</v>
      </c>
      <c r="H993" s="5">
        <f t="shared" si="63"/>
        <v>0</v>
      </c>
    </row>
    <row r="994" spans="1:8" x14ac:dyDescent="0.2">
      <c r="A994" s="2">
        <v>993</v>
      </c>
      <c r="B994" s="5">
        <f t="shared" si="60"/>
        <v>0</v>
      </c>
      <c r="C994" s="5">
        <f t="shared" si="61"/>
        <v>0</v>
      </c>
      <c r="D994" s="5"/>
      <c r="E994" s="5">
        <f>IF($B994 &lt;= 0, 0, -ROUND($B994 * (InterestRate / PaymentsPerYear), 2))</f>
        <v>0</v>
      </c>
      <c r="F994" s="5">
        <f>ROUND(IFERROR(IF($B994&lt;=0,0,
MAX(-$B994, -(-PMT(InterestRate/PaymentsPerYear,LoanTerm*PaymentsPerYear,LoanAmount) + $E994))), 0), 2)</f>
        <v>0</v>
      </c>
      <c r="G994" s="5">
        <f t="shared" si="62"/>
        <v>0</v>
      </c>
      <c r="H994" s="5">
        <f t="shared" si="63"/>
        <v>0</v>
      </c>
    </row>
    <row r="995" spans="1:8" x14ac:dyDescent="0.2">
      <c r="A995" s="2">
        <v>994</v>
      </c>
      <c r="B995" s="5">
        <f t="shared" si="60"/>
        <v>0</v>
      </c>
      <c r="C995" s="5">
        <f t="shared" si="61"/>
        <v>0</v>
      </c>
      <c r="D995" s="5"/>
      <c r="E995" s="5">
        <f>IF($B995 &lt;= 0, 0, -ROUND($B995 * (InterestRate / PaymentsPerYear), 2))</f>
        <v>0</v>
      </c>
      <c r="F995" s="5">
        <f>ROUND(IFERROR(IF($B995&lt;=0,0,
MAX(-$B995, -(-PMT(InterestRate/PaymentsPerYear,LoanTerm*PaymentsPerYear,LoanAmount) + $E995))), 0), 2)</f>
        <v>0</v>
      </c>
      <c r="G995" s="5">
        <f t="shared" si="62"/>
        <v>0</v>
      </c>
      <c r="H995" s="5">
        <f t="shared" si="63"/>
        <v>0</v>
      </c>
    </row>
    <row r="996" spans="1:8" x14ac:dyDescent="0.2">
      <c r="A996" s="2">
        <v>995</v>
      </c>
      <c r="B996" s="5">
        <f t="shared" si="60"/>
        <v>0</v>
      </c>
      <c r="C996" s="5">
        <f t="shared" si="61"/>
        <v>0</v>
      </c>
      <c r="D996" s="5"/>
      <c r="E996" s="5">
        <f>IF($B996 &lt;= 0, 0, -ROUND($B996 * (InterestRate / PaymentsPerYear), 2))</f>
        <v>0</v>
      </c>
      <c r="F996" s="5">
        <f>ROUND(IFERROR(IF($B996&lt;=0,0,
MAX(-$B996, -(-PMT(InterestRate/PaymentsPerYear,LoanTerm*PaymentsPerYear,LoanAmount) + $E996))), 0), 2)</f>
        <v>0</v>
      </c>
      <c r="G996" s="5">
        <f t="shared" si="62"/>
        <v>0</v>
      </c>
      <c r="H996" s="5">
        <f t="shared" si="63"/>
        <v>0</v>
      </c>
    </row>
    <row r="997" spans="1:8" x14ac:dyDescent="0.2">
      <c r="A997" s="2">
        <v>996</v>
      </c>
      <c r="B997" s="5">
        <f t="shared" si="60"/>
        <v>0</v>
      </c>
      <c r="C997" s="5">
        <f t="shared" si="61"/>
        <v>0</v>
      </c>
      <c r="D997" s="5"/>
      <c r="E997" s="5">
        <f>IF($B997 &lt;= 0, 0, -ROUND($B997 * (InterestRate / PaymentsPerYear), 2))</f>
        <v>0</v>
      </c>
      <c r="F997" s="5">
        <f>ROUND(IFERROR(IF($B997&lt;=0,0,
MAX(-$B997, -(-PMT(InterestRate/PaymentsPerYear,LoanTerm*PaymentsPerYear,LoanAmount) + $E997))), 0), 2)</f>
        <v>0</v>
      </c>
      <c r="G997" s="5">
        <f t="shared" si="62"/>
        <v>0</v>
      </c>
      <c r="H997" s="5">
        <f t="shared" si="63"/>
        <v>0</v>
      </c>
    </row>
    <row r="998" spans="1:8" x14ac:dyDescent="0.2">
      <c r="A998" s="2">
        <v>997</v>
      </c>
      <c r="B998" s="5">
        <f t="shared" si="60"/>
        <v>0</v>
      </c>
      <c r="C998" s="5">
        <f t="shared" si="61"/>
        <v>0</v>
      </c>
      <c r="D998" s="5"/>
      <c r="E998" s="5">
        <f>IF($B998 &lt;= 0, 0, -ROUND($B998 * (InterestRate / PaymentsPerYear), 2))</f>
        <v>0</v>
      </c>
      <c r="F998" s="5">
        <f>ROUND(IFERROR(IF($B998&lt;=0,0,
MAX(-$B998, -(-PMT(InterestRate/PaymentsPerYear,LoanTerm*PaymentsPerYear,LoanAmount) + $E998))), 0), 2)</f>
        <v>0</v>
      </c>
      <c r="G998" s="5">
        <f t="shared" si="62"/>
        <v>0</v>
      </c>
      <c r="H998" s="5">
        <f t="shared" si="63"/>
        <v>0</v>
      </c>
    </row>
    <row r="999" spans="1:8" x14ac:dyDescent="0.2">
      <c r="A999" s="2">
        <v>998</v>
      </c>
      <c r="B999" s="5">
        <f t="shared" si="60"/>
        <v>0</v>
      </c>
      <c r="C999" s="5">
        <f t="shared" si="61"/>
        <v>0</v>
      </c>
      <c r="D999" s="5"/>
      <c r="E999" s="5">
        <f>IF($B999 &lt;= 0, 0, -ROUND($B999 * (InterestRate / PaymentsPerYear), 2))</f>
        <v>0</v>
      </c>
      <c r="F999" s="5">
        <f>ROUND(IFERROR(IF($B999&lt;=0,0,
MAX(-$B999, -(-PMT(InterestRate/PaymentsPerYear,LoanTerm*PaymentsPerYear,LoanAmount) + $E999))), 0), 2)</f>
        <v>0</v>
      </c>
      <c r="G999" s="5">
        <f t="shared" si="62"/>
        <v>0</v>
      </c>
      <c r="H999" s="5">
        <f t="shared" si="63"/>
        <v>0</v>
      </c>
    </row>
    <row r="1000" spans="1:8" x14ac:dyDescent="0.2">
      <c r="A1000" s="2">
        <v>999</v>
      </c>
      <c r="B1000" s="5">
        <f t="shared" si="60"/>
        <v>0</v>
      </c>
      <c r="C1000" s="5">
        <f t="shared" si="61"/>
        <v>0</v>
      </c>
      <c r="D1000" s="5"/>
      <c r="E1000" s="5">
        <f>IF($B1000 &lt;= 0, 0, -ROUND($B1000 * (InterestRate / PaymentsPerYear), 2))</f>
        <v>0</v>
      </c>
      <c r="F1000" s="5">
        <f>ROUND(IFERROR(IF($B1000&lt;=0,0,
MAX(-$B1000, -(-PMT(InterestRate/PaymentsPerYear,LoanTerm*PaymentsPerYear,LoanAmount) + $E1000))), 0), 2)</f>
        <v>0</v>
      </c>
      <c r="G1000" s="5">
        <f t="shared" si="62"/>
        <v>0</v>
      </c>
      <c r="H1000" s="5">
        <f t="shared" si="63"/>
        <v>0</v>
      </c>
    </row>
    <row r="1001" spans="1:8" x14ac:dyDescent="0.2">
      <c r="A1001" s="2">
        <v>1000</v>
      </c>
      <c r="B1001" s="5">
        <f t="shared" si="60"/>
        <v>0</v>
      </c>
      <c r="C1001" s="5">
        <f t="shared" si="61"/>
        <v>0</v>
      </c>
      <c r="D1001" s="5"/>
      <c r="E1001" s="5">
        <f>IF($B1001 &lt;= 0, 0, -ROUND($B1001 * (InterestRate / PaymentsPerYear), 2))</f>
        <v>0</v>
      </c>
      <c r="F1001" s="5">
        <f>ROUND(IFERROR(IF($B1001&lt;=0,0,
MAX(-$B1001, -(-PMT(InterestRate/PaymentsPerYear,LoanTerm*PaymentsPerYear,LoanAmount) + $E1001))), 0), 2)</f>
        <v>0</v>
      </c>
      <c r="G1001" s="5">
        <f t="shared" si="62"/>
        <v>0</v>
      </c>
      <c r="H1001" s="5">
        <f t="shared" si="63"/>
        <v>0</v>
      </c>
    </row>
    <row r="1002" spans="1:8" x14ac:dyDescent="0.2">
      <c r="A1002" s="2">
        <v>1001</v>
      </c>
      <c r="B1002" s="5">
        <f t="shared" si="60"/>
        <v>0</v>
      </c>
      <c r="C1002" s="5">
        <f t="shared" si="61"/>
        <v>0</v>
      </c>
      <c r="D1002" s="5"/>
      <c r="E1002" s="5">
        <f>IF($B1002 &lt;= 0, 0, -ROUND($B1002 * (InterestRate / PaymentsPerYear), 2))</f>
        <v>0</v>
      </c>
      <c r="F1002" s="5">
        <f>ROUND(IFERROR(IF($B1002&lt;=0,0,
MAX(-$B1002, -(-PMT(InterestRate/PaymentsPerYear,LoanTerm*PaymentsPerYear,LoanAmount) + $E1002))), 0), 2)</f>
        <v>0</v>
      </c>
      <c r="G1002" s="5">
        <f t="shared" si="62"/>
        <v>0</v>
      </c>
      <c r="H1002" s="5">
        <f t="shared" si="63"/>
        <v>0</v>
      </c>
    </row>
    <row r="1003" spans="1:8" x14ac:dyDescent="0.2">
      <c r="A1003" s="2">
        <v>1002</v>
      </c>
      <c r="B1003" s="5">
        <f t="shared" si="60"/>
        <v>0</v>
      </c>
      <c r="C1003" s="5">
        <f t="shared" si="61"/>
        <v>0</v>
      </c>
      <c r="D1003" s="5"/>
      <c r="E1003" s="5">
        <f>IF($B1003 &lt;= 0, 0, -ROUND($B1003 * (InterestRate / PaymentsPerYear), 2))</f>
        <v>0</v>
      </c>
      <c r="F1003" s="5">
        <f>ROUND(IFERROR(IF($B1003&lt;=0,0,
MAX(-$B1003, -(-PMT(InterestRate/PaymentsPerYear,LoanTerm*PaymentsPerYear,LoanAmount) + $E1003))), 0), 2)</f>
        <v>0</v>
      </c>
      <c r="G1003" s="5">
        <f t="shared" si="62"/>
        <v>0</v>
      </c>
      <c r="H1003" s="5">
        <f t="shared" si="63"/>
        <v>0</v>
      </c>
    </row>
    <row r="1004" spans="1:8" x14ac:dyDescent="0.2">
      <c r="A1004" s="2">
        <v>1003</v>
      </c>
      <c r="B1004" s="5">
        <f t="shared" si="60"/>
        <v>0</v>
      </c>
      <c r="C1004" s="5">
        <f t="shared" si="61"/>
        <v>0</v>
      </c>
      <c r="D1004" s="5"/>
      <c r="E1004" s="5">
        <f>IF($B1004 &lt;= 0, 0, -ROUND($B1004 * (InterestRate / PaymentsPerYear), 2))</f>
        <v>0</v>
      </c>
      <c r="F1004" s="5">
        <f>ROUND(IFERROR(IF($B1004&lt;=0,0,
MAX(-$B1004, -(-PMT(InterestRate/PaymentsPerYear,LoanTerm*PaymentsPerYear,LoanAmount) + $E1004))), 0), 2)</f>
        <v>0</v>
      </c>
      <c r="G1004" s="5">
        <f t="shared" si="62"/>
        <v>0</v>
      </c>
      <c r="H1004" s="5">
        <f t="shared" si="63"/>
        <v>0</v>
      </c>
    </row>
    <row r="1005" spans="1:8" x14ac:dyDescent="0.2">
      <c r="A1005" s="2">
        <v>1004</v>
      </c>
      <c r="B1005" s="5">
        <f t="shared" si="60"/>
        <v>0</v>
      </c>
      <c r="C1005" s="5">
        <f t="shared" si="61"/>
        <v>0</v>
      </c>
      <c r="D1005" s="5"/>
      <c r="E1005" s="5">
        <f>IF($B1005 &lt;= 0, 0, -ROUND($B1005 * (InterestRate / PaymentsPerYear), 2))</f>
        <v>0</v>
      </c>
      <c r="F1005" s="5">
        <f>ROUND(IFERROR(IF($B1005&lt;=0,0,
MAX(-$B1005, -(-PMT(InterestRate/PaymentsPerYear,LoanTerm*PaymentsPerYear,LoanAmount) + $E1005))), 0), 2)</f>
        <v>0</v>
      </c>
      <c r="G1005" s="5">
        <f t="shared" si="62"/>
        <v>0</v>
      </c>
      <c r="H1005" s="5">
        <f t="shared" si="63"/>
        <v>0</v>
      </c>
    </row>
    <row r="1006" spans="1:8" x14ac:dyDescent="0.2">
      <c r="A1006" s="2">
        <v>1005</v>
      </c>
      <c r="B1006" s="5">
        <f t="shared" si="60"/>
        <v>0</v>
      </c>
      <c r="C1006" s="5">
        <f t="shared" si="61"/>
        <v>0</v>
      </c>
      <c r="D1006" s="5"/>
      <c r="E1006" s="5">
        <f>IF($B1006 &lt;= 0, 0, -ROUND($B1006 * (InterestRate / PaymentsPerYear), 2))</f>
        <v>0</v>
      </c>
      <c r="F1006" s="5">
        <f>ROUND(IFERROR(IF($B1006&lt;=0,0,
MAX(-$B1006, -(-PMT(InterestRate/PaymentsPerYear,LoanTerm*PaymentsPerYear,LoanAmount) + $E1006))), 0), 2)</f>
        <v>0</v>
      </c>
      <c r="G1006" s="5">
        <f t="shared" si="62"/>
        <v>0</v>
      </c>
      <c r="H1006" s="5">
        <f t="shared" si="63"/>
        <v>0</v>
      </c>
    </row>
    <row r="1007" spans="1:8" x14ac:dyDescent="0.2">
      <c r="A1007" s="2">
        <v>1006</v>
      </c>
      <c r="B1007" s="5">
        <f t="shared" si="60"/>
        <v>0</v>
      </c>
      <c r="C1007" s="5">
        <f t="shared" si="61"/>
        <v>0</v>
      </c>
      <c r="D1007" s="5"/>
      <c r="E1007" s="5">
        <f>IF($B1007 &lt;= 0, 0, -ROUND($B1007 * (InterestRate / PaymentsPerYear), 2))</f>
        <v>0</v>
      </c>
      <c r="F1007" s="5">
        <f>ROUND(IFERROR(IF($B1007&lt;=0,0,
MAX(-$B1007, -(-PMT(InterestRate/PaymentsPerYear,LoanTerm*PaymentsPerYear,LoanAmount) + $E1007))), 0), 2)</f>
        <v>0</v>
      </c>
      <c r="G1007" s="5">
        <f t="shared" si="62"/>
        <v>0</v>
      </c>
      <c r="H1007" s="5">
        <f t="shared" si="63"/>
        <v>0</v>
      </c>
    </row>
    <row r="1008" spans="1:8" x14ac:dyDescent="0.2">
      <c r="A1008" s="2">
        <v>1007</v>
      </c>
      <c r="B1008" s="5">
        <f t="shared" si="60"/>
        <v>0</v>
      </c>
      <c r="C1008" s="5">
        <f t="shared" si="61"/>
        <v>0</v>
      </c>
      <c r="D1008" s="5"/>
      <c r="E1008" s="5">
        <f>IF($B1008 &lt;= 0, 0, -ROUND($B1008 * (InterestRate / PaymentsPerYear), 2))</f>
        <v>0</v>
      </c>
      <c r="F1008" s="5">
        <f>ROUND(IFERROR(IF($B1008&lt;=0,0,
MAX(-$B1008, -(-PMT(InterestRate/PaymentsPerYear,LoanTerm*PaymentsPerYear,LoanAmount) + $E1008))), 0), 2)</f>
        <v>0</v>
      </c>
      <c r="G1008" s="5">
        <f t="shared" si="62"/>
        <v>0</v>
      </c>
      <c r="H1008" s="5">
        <f t="shared" si="63"/>
        <v>0</v>
      </c>
    </row>
    <row r="1009" spans="1:8" x14ac:dyDescent="0.2">
      <c r="A1009" s="2">
        <v>1008</v>
      </c>
      <c r="B1009" s="5">
        <f t="shared" si="60"/>
        <v>0</v>
      </c>
      <c r="C1009" s="5">
        <f t="shared" si="61"/>
        <v>0</v>
      </c>
      <c r="D1009" s="5"/>
      <c r="E1009" s="5">
        <f>IF($B1009 &lt;= 0, 0, -ROUND($B1009 * (InterestRate / PaymentsPerYear), 2))</f>
        <v>0</v>
      </c>
      <c r="F1009" s="5">
        <f>ROUND(IFERROR(IF($B1009&lt;=0,0,
MAX(-$B1009, -(-PMT(InterestRate/PaymentsPerYear,LoanTerm*PaymentsPerYear,LoanAmount) + $E1009))), 0), 2)</f>
        <v>0</v>
      </c>
      <c r="G1009" s="5">
        <f t="shared" si="62"/>
        <v>0</v>
      </c>
      <c r="H1009" s="5">
        <f t="shared" si="63"/>
        <v>0</v>
      </c>
    </row>
    <row r="1010" spans="1:8" x14ac:dyDescent="0.2">
      <c r="A1010" s="2">
        <v>1009</v>
      </c>
      <c r="B1010" s="5">
        <f t="shared" si="60"/>
        <v>0</v>
      </c>
      <c r="C1010" s="5">
        <f t="shared" si="61"/>
        <v>0</v>
      </c>
      <c r="D1010" s="5"/>
      <c r="E1010" s="5">
        <f>IF($B1010 &lt;= 0, 0, -ROUND($B1010 * (InterestRate / PaymentsPerYear), 2))</f>
        <v>0</v>
      </c>
      <c r="F1010" s="5">
        <f>ROUND(IFERROR(IF($B1010&lt;=0,0,
MAX(-$B1010, -(-PMT(InterestRate/PaymentsPerYear,LoanTerm*PaymentsPerYear,LoanAmount) + $E1010))), 0), 2)</f>
        <v>0</v>
      </c>
      <c r="G1010" s="5">
        <f t="shared" si="62"/>
        <v>0</v>
      </c>
      <c r="H1010" s="5">
        <f t="shared" si="63"/>
        <v>0</v>
      </c>
    </row>
    <row r="1011" spans="1:8" x14ac:dyDescent="0.2">
      <c r="A1011" s="2">
        <v>1010</v>
      </c>
      <c r="B1011" s="5">
        <f t="shared" si="60"/>
        <v>0</v>
      </c>
      <c r="C1011" s="5">
        <f t="shared" si="61"/>
        <v>0</v>
      </c>
      <c r="D1011" s="5"/>
      <c r="E1011" s="5">
        <f>IF($B1011 &lt;= 0, 0, -ROUND($B1011 * (InterestRate / PaymentsPerYear), 2))</f>
        <v>0</v>
      </c>
      <c r="F1011" s="5">
        <f>ROUND(IFERROR(IF($B1011&lt;=0,0,
MAX(-$B1011, -(-PMT(InterestRate/PaymentsPerYear,LoanTerm*PaymentsPerYear,LoanAmount) + $E1011))), 0), 2)</f>
        <v>0</v>
      </c>
      <c r="G1011" s="5">
        <f t="shared" si="62"/>
        <v>0</v>
      </c>
      <c r="H1011" s="5">
        <f t="shared" si="63"/>
        <v>0</v>
      </c>
    </row>
    <row r="1012" spans="1:8" x14ac:dyDescent="0.2">
      <c r="A1012" s="2">
        <v>1011</v>
      </c>
      <c r="B1012" s="5">
        <f t="shared" si="60"/>
        <v>0</v>
      </c>
      <c r="C1012" s="5">
        <f t="shared" si="61"/>
        <v>0</v>
      </c>
      <c r="D1012" s="5"/>
      <c r="E1012" s="5">
        <f>IF($B1012 &lt;= 0, 0, -ROUND($B1012 * (InterestRate / PaymentsPerYear), 2))</f>
        <v>0</v>
      </c>
      <c r="F1012" s="5">
        <f>ROUND(IFERROR(IF($B1012&lt;=0,0,
MAX(-$B1012, -(-PMT(InterestRate/PaymentsPerYear,LoanTerm*PaymentsPerYear,LoanAmount) + $E1012))), 0), 2)</f>
        <v>0</v>
      </c>
      <c r="G1012" s="5">
        <f t="shared" si="62"/>
        <v>0</v>
      </c>
      <c r="H1012" s="5">
        <f t="shared" si="63"/>
        <v>0</v>
      </c>
    </row>
    <row r="1013" spans="1:8" x14ac:dyDescent="0.2">
      <c r="A1013" s="2">
        <v>1012</v>
      </c>
      <c r="B1013" s="5">
        <f t="shared" si="60"/>
        <v>0</v>
      </c>
      <c r="C1013" s="5">
        <f t="shared" si="61"/>
        <v>0</v>
      </c>
      <c r="D1013" s="5"/>
      <c r="E1013" s="5">
        <f>IF($B1013 &lt;= 0, 0, -ROUND($B1013 * (InterestRate / PaymentsPerYear), 2))</f>
        <v>0</v>
      </c>
      <c r="F1013" s="5">
        <f>ROUND(IFERROR(IF($B1013&lt;=0,0,
MAX(-$B1013, -(-PMT(InterestRate/PaymentsPerYear,LoanTerm*PaymentsPerYear,LoanAmount) + $E1013))), 0), 2)</f>
        <v>0</v>
      </c>
      <c r="G1013" s="5">
        <f t="shared" si="62"/>
        <v>0</v>
      </c>
      <c r="H1013" s="5">
        <f t="shared" si="63"/>
        <v>0</v>
      </c>
    </row>
    <row r="1014" spans="1:8" x14ac:dyDescent="0.2">
      <c r="A1014" s="2">
        <v>1013</v>
      </c>
      <c r="B1014" s="5">
        <f t="shared" si="60"/>
        <v>0</v>
      </c>
      <c r="C1014" s="5">
        <f t="shared" si="61"/>
        <v>0</v>
      </c>
      <c r="D1014" s="5"/>
      <c r="E1014" s="5">
        <f>IF($B1014 &lt;= 0, 0, -ROUND($B1014 * (InterestRate / PaymentsPerYear), 2))</f>
        <v>0</v>
      </c>
      <c r="F1014" s="5">
        <f>ROUND(IFERROR(IF($B1014&lt;=0,0,
MAX(-$B1014, -(-PMT(InterestRate/PaymentsPerYear,LoanTerm*PaymentsPerYear,LoanAmount) + $E1014))), 0), 2)</f>
        <v>0</v>
      </c>
      <c r="G1014" s="5">
        <f t="shared" si="62"/>
        <v>0</v>
      </c>
      <c r="H1014" s="5">
        <f t="shared" si="63"/>
        <v>0</v>
      </c>
    </row>
    <row r="1015" spans="1:8" x14ac:dyDescent="0.2">
      <c r="A1015" s="2">
        <v>1014</v>
      </c>
      <c r="B1015" s="5">
        <f t="shared" si="60"/>
        <v>0</v>
      </c>
      <c r="C1015" s="5">
        <f t="shared" si="61"/>
        <v>0</v>
      </c>
      <c r="D1015" s="5"/>
      <c r="E1015" s="5">
        <f>IF($B1015 &lt;= 0, 0, -ROUND($B1015 * (InterestRate / PaymentsPerYear), 2))</f>
        <v>0</v>
      </c>
      <c r="F1015" s="5">
        <f>ROUND(IFERROR(IF($B1015&lt;=0,0,
MAX(-$B1015, -(-PMT(InterestRate/PaymentsPerYear,LoanTerm*PaymentsPerYear,LoanAmount) + $E1015))), 0), 2)</f>
        <v>0</v>
      </c>
      <c r="G1015" s="5">
        <f t="shared" si="62"/>
        <v>0</v>
      </c>
      <c r="H1015" s="5">
        <f t="shared" si="63"/>
        <v>0</v>
      </c>
    </row>
    <row r="1016" spans="1:8" x14ac:dyDescent="0.2">
      <c r="A1016" s="2">
        <v>1015</v>
      </c>
      <c r="B1016" s="5">
        <f t="shared" si="60"/>
        <v>0</v>
      </c>
      <c r="C1016" s="5">
        <f t="shared" si="61"/>
        <v>0</v>
      </c>
      <c r="D1016" s="5"/>
      <c r="E1016" s="5">
        <f>IF($B1016 &lt;= 0, 0, -ROUND($B1016 * (InterestRate / PaymentsPerYear), 2))</f>
        <v>0</v>
      </c>
      <c r="F1016" s="5">
        <f>ROUND(IFERROR(IF($B1016&lt;=0,0,
MAX(-$B1016, -(-PMT(InterestRate/PaymentsPerYear,LoanTerm*PaymentsPerYear,LoanAmount) + $E1016))), 0), 2)</f>
        <v>0</v>
      </c>
      <c r="G1016" s="5">
        <f t="shared" si="62"/>
        <v>0</v>
      </c>
      <c r="H1016" s="5">
        <f t="shared" si="63"/>
        <v>0</v>
      </c>
    </row>
    <row r="1017" spans="1:8" x14ac:dyDescent="0.2">
      <c r="A1017" s="2">
        <v>1016</v>
      </c>
      <c r="B1017" s="5">
        <f t="shared" si="60"/>
        <v>0</v>
      </c>
      <c r="C1017" s="5">
        <f t="shared" si="61"/>
        <v>0</v>
      </c>
      <c r="D1017" s="5"/>
      <c r="E1017" s="5">
        <f>IF($B1017 &lt;= 0, 0, -ROUND($B1017 * (InterestRate / PaymentsPerYear), 2))</f>
        <v>0</v>
      </c>
      <c r="F1017" s="5">
        <f>ROUND(IFERROR(IF($B1017&lt;=0,0,
MAX(-$B1017, -(-PMT(InterestRate/PaymentsPerYear,LoanTerm*PaymentsPerYear,LoanAmount) + $E1017))), 0), 2)</f>
        <v>0</v>
      </c>
      <c r="G1017" s="5">
        <f t="shared" si="62"/>
        <v>0</v>
      </c>
      <c r="H1017" s="5">
        <f t="shared" si="63"/>
        <v>0</v>
      </c>
    </row>
    <row r="1018" spans="1:8" x14ac:dyDescent="0.2">
      <c r="A1018" s="2">
        <v>1017</v>
      </c>
      <c r="B1018" s="5">
        <f t="shared" si="60"/>
        <v>0</v>
      </c>
      <c r="C1018" s="5">
        <f t="shared" si="61"/>
        <v>0</v>
      </c>
      <c r="D1018" s="5"/>
      <c r="E1018" s="5">
        <f>IF($B1018 &lt;= 0, 0, -ROUND($B1018 * (InterestRate / PaymentsPerYear), 2))</f>
        <v>0</v>
      </c>
      <c r="F1018" s="5">
        <f>ROUND(IFERROR(IF($B1018&lt;=0,0,
MAX(-$B1018, -(-PMT(InterestRate/PaymentsPerYear,LoanTerm*PaymentsPerYear,LoanAmount) + $E1018))), 0), 2)</f>
        <v>0</v>
      </c>
      <c r="G1018" s="5">
        <f t="shared" si="62"/>
        <v>0</v>
      </c>
      <c r="H1018" s="5">
        <f t="shared" si="63"/>
        <v>0</v>
      </c>
    </row>
    <row r="1019" spans="1:8" x14ac:dyDescent="0.2">
      <c r="A1019" s="2">
        <v>1018</v>
      </c>
      <c r="B1019" s="5">
        <f t="shared" si="60"/>
        <v>0</v>
      </c>
      <c r="C1019" s="5">
        <f t="shared" si="61"/>
        <v>0</v>
      </c>
      <c r="D1019" s="5"/>
      <c r="E1019" s="5">
        <f>IF($B1019 &lt;= 0, 0, -ROUND($B1019 * (InterestRate / PaymentsPerYear), 2))</f>
        <v>0</v>
      </c>
      <c r="F1019" s="5">
        <f>ROUND(IFERROR(IF($B1019&lt;=0,0,
MAX(-$B1019, -(-PMT(InterestRate/PaymentsPerYear,LoanTerm*PaymentsPerYear,LoanAmount) + $E1019))), 0), 2)</f>
        <v>0</v>
      </c>
      <c r="G1019" s="5">
        <f t="shared" si="62"/>
        <v>0</v>
      </c>
      <c r="H1019" s="5">
        <f t="shared" si="63"/>
        <v>0</v>
      </c>
    </row>
    <row r="1020" spans="1:8" x14ac:dyDescent="0.2">
      <c r="A1020" s="2">
        <v>1019</v>
      </c>
      <c r="B1020" s="5">
        <f t="shared" si="60"/>
        <v>0</v>
      </c>
      <c r="C1020" s="5">
        <f t="shared" si="61"/>
        <v>0</v>
      </c>
      <c r="D1020" s="5"/>
      <c r="E1020" s="5">
        <f>IF($B1020 &lt;= 0, 0, -ROUND($B1020 * (InterestRate / PaymentsPerYear), 2))</f>
        <v>0</v>
      </c>
      <c r="F1020" s="5">
        <f>ROUND(IFERROR(IF($B1020&lt;=0,0,
MAX(-$B1020, -(-PMT(InterestRate/PaymentsPerYear,LoanTerm*PaymentsPerYear,LoanAmount) + $E1020))), 0), 2)</f>
        <v>0</v>
      </c>
      <c r="G1020" s="5">
        <f t="shared" si="62"/>
        <v>0</v>
      </c>
      <c r="H1020" s="5">
        <f t="shared" si="63"/>
        <v>0</v>
      </c>
    </row>
    <row r="1021" spans="1:8" x14ac:dyDescent="0.2">
      <c r="A1021" s="2">
        <v>1020</v>
      </c>
      <c r="B1021" s="5">
        <f t="shared" si="60"/>
        <v>0</v>
      </c>
      <c r="C1021" s="5">
        <f t="shared" si="61"/>
        <v>0</v>
      </c>
      <c r="D1021" s="5"/>
      <c r="E1021" s="5">
        <f>IF($B1021 &lt;= 0, 0, -ROUND($B1021 * (InterestRate / PaymentsPerYear), 2))</f>
        <v>0</v>
      </c>
      <c r="F1021" s="5">
        <f>ROUND(IFERROR(IF($B1021&lt;=0,0,
MAX(-$B1021, -(-PMT(InterestRate/PaymentsPerYear,LoanTerm*PaymentsPerYear,LoanAmount) + $E1021))), 0), 2)</f>
        <v>0</v>
      </c>
      <c r="G1021" s="5">
        <f t="shared" si="62"/>
        <v>0</v>
      </c>
      <c r="H1021" s="5">
        <f t="shared" si="63"/>
        <v>0</v>
      </c>
    </row>
    <row r="1022" spans="1:8" x14ac:dyDescent="0.2">
      <c r="A1022" s="2">
        <v>1021</v>
      </c>
      <c r="B1022" s="5">
        <f t="shared" si="60"/>
        <v>0</v>
      </c>
      <c r="C1022" s="5">
        <f t="shared" si="61"/>
        <v>0</v>
      </c>
      <c r="D1022" s="5"/>
      <c r="E1022" s="5">
        <f>IF($B1022 &lt;= 0, 0, -ROUND($B1022 * (InterestRate / PaymentsPerYear), 2))</f>
        <v>0</v>
      </c>
      <c r="F1022" s="5">
        <f>ROUND(IFERROR(IF($B1022&lt;=0,0,
MAX(-$B1022, -(-PMT(InterestRate/PaymentsPerYear,LoanTerm*PaymentsPerYear,LoanAmount) + $E1022))), 0), 2)</f>
        <v>0</v>
      </c>
      <c r="G1022" s="5">
        <f t="shared" si="62"/>
        <v>0</v>
      </c>
      <c r="H1022" s="5">
        <f t="shared" si="63"/>
        <v>0</v>
      </c>
    </row>
    <row r="1023" spans="1:8" x14ac:dyDescent="0.2">
      <c r="A1023" s="2">
        <v>1022</v>
      </c>
      <c r="B1023" s="5">
        <f t="shared" si="60"/>
        <v>0</v>
      </c>
      <c r="C1023" s="5">
        <f t="shared" si="61"/>
        <v>0</v>
      </c>
      <c r="D1023" s="5"/>
      <c r="E1023" s="5">
        <f>IF($B1023 &lt;= 0, 0, -ROUND($B1023 * (InterestRate / PaymentsPerYear), 2))</f>
        <v>0</v>
      </c>
      <c r="F1023" s="5">
        <f>ROUND(IFERROR(IF($B1023&lt;=0,0,
MAX(-$B1023, -(-PMT(InterestRate/PaymentsPerYear,LoanTerm*PaymentsPerYear,LoanAmount) + $E1023))), 0), 2)</f>
        <v>0</v>
      </c>
      <c r="G1023" s="5">
        <f t="shared" si="62"/>
        <v>0</v>
      </c>
      <c r="H1023" s="5">
        <f t="shared" si="63"/>
        <v>0</v>
      </c>
    </row>
    <row r="1024" spans="1:8" x14ac:dyDescent="0.2">
      <c r="A1024" s="2">
        <v>1023</v>
      </c>
      <c r="B1024" s="5">
        <f t="shared" si="60"/>
        <v>0</v>
      </c>
      <c r="C1024" s="5">
        <f t="shared" si="61"/>
        <v>0</v>
      </c>
      <c r="D1024" s="5"/>
      <c r="E1024" s="5">
        <f>IF($B1024 &lt;= 0, 0, -ROUND($B1024 * (InterestRate / PaymentsPerYear), 2))</f>
        <v>0</v>
      </c>
      <c r="F1024" s="5">
        <f>ROUND(IFERROR(IF($B1024&lt;=0,0,
MAX(-$B1024, -(-PMT(InterestRate/PaymentsPerYear,LoanTerm*PaymentsPerYear,LoanAmount) + $E1024))), 0), 2)</f>
        <v>0</v>
      </c>
      <c r="G1024" s="5">
        <f t="shared" si="62"/>
        <v>0</v>
      </c>
      <c r="H1024" s="5">
        <f t="shared" si="63"/>
        <v>0</v>
      </c>
    </row>
    <row r="1025" spans="1:8" x14ac:dyDescent="0.2">
      <c r="A1025" s="2">
        <v>1024</v>
      </c>
      <c r="B1025" s="5">
        <f t="shared" si="60"/>
        <v>0</v>
      </c>
      <c r="C1025" s="5">
        <f t="shared" si="61"/>
        <v>0</v>
      </c>
      <c r="D1025" s="5"/>
      <c r="E1025" s="5">
        <f>IF($B1025 &lt;= 0, 0, -ROUND($B1025 * (InterestRate / PaymentsPerYear), 2))</f>
        <v>0</v>
      </c>
      <c r="F1025" s="5">
        <f>ROUND(IFERROR(IF($B1025&lt;=0,0,
MAX(-$B1025, -(-PMT(InterestRate/PaymentsPerYear,LoanTerm*PaymentsPerYear,LoanAmount) + $E1025))), 0), 2)</f>
        <v>0</v>
      </c>
      <c r="G1025" s="5">
        <f t="shared" si="62"/>
        <v>0</v>
      </c>
      <c r="H1025" s="5">
        <f t="shared" si="63"/>
        <v>0</v>
      </c>
    </row>
    <row r="1026" spans="1:8" x14ac:dyDescent="0.2">
      <c r="A1026" s="2">
        <v>1025</v>
      </c>
      <c r="B1026" s="5">
        <f t="shared" si="60"/>
        <v>0</v>
      </c>
      <c r="C1026" s="5">
        <f t="shared" si="61"/>
        <v>0</v>
      </c>
      <c r="D1026" s="5"/>
      <c r="E1026" s="5">
        <f>IF($B1026 &lt;= 0, 0, -ROUND($B1026 * (InterestRate / PaymentsPerYear), 2))</f>
        <v>0</v>
      </c>
      <c r="F1026" s="5">
        <f>ROUND(IFERROR(IF($B1026&lt;=0,0,
MAX(-$B1026, -(-PMT(InterestRate/PaymentsPerYear,LoanTerm*PaymentsPerYear,LoanAmount) + $E1026))), 0), 2)</f>
        <v>0</v>
      </c>
      <c r="G1026" s="5">
        <f t="shared" si="62"/>
        <v>0</v>
      </c>
      <c r="H1026" s="5">
        <f t="shared" si="63"/>
        <v>0</v>
      </c>
    </row>
    <row r="1027" spans="1:8" x14ac:dyDescent="0.2">
      <c r="A1027" s="2">
        <v>1026</v>
      </c>
      <c r="B1027" s="5">
        <f t="shared" si="60"/>
        <v>0</v>
      </c>
      <c r="C1027" s="5">
        <f t="shared" si="61"/>
        <v>0</v>
      </c>
      <c r="D1027" s="5"/>
      <c r="E1027" s="5">
        <f>IF($B1027 &lt;= 0, 0, -ROUND($B1027 * (InterestRate / PaymentsPerYear), 2))</f>
        <v>0</v>
      </c>
      <c r="F1027" s="5">
        <f>ROUND(IFERROR(IF($B1027&lt;=0,0,
MAX(-$B1027, -(-PMT(InterestRate/PaymentsPerYear,LoanTerm*PaymentsPerYear,LoanAmount) + $E1027))), 0), 2)</f>
        <v>0</v>
      </c>
      <c r="G1027" s="5">
        <f t="shared" si="62"/>
        <v>0</v>
      </c>
      <c r="H1027" s="5">
        <f t="shared" si="63"/>
        <v>0</v>
      </c>
    </row>
    <row r="1028" spans="1:8" x14ac:dyDescent="0.2">
      <c r="A1028" s="2">
        <v>1027</v>
      </c>
      <c r="B1028" s="5">
        <f t="shared" ref="B1028:B1091" si="64">ROUND(IF($H1027 &gt;= 0, MAX($H1027, $F1027), 0), 2)</f>
        <v>0</v>
      </c>
      <c r="C1028" s="5">
        <f t="shared" ref="C1028:C1091" si="65">IF($B1028 &lt;= 0, 0, $E1028+$F1028)</f>
        <v>0</v>
      </c>
      <c r="D1028" s="5"/>
      <c r="E1028" s="5">
        <f>IF($B1028 &lt;= 0, 0, -ROUND($B1028 * (InterestRate / PaymentsPerYear), 2))</f>
        <v>0</v>
      </c>
      <c r="F1028" s="5">
        <f>ROUND(IFERROR(IF($B1028&lt;=0,0,
MAX(-$B1028, -(-PMT(InterestRate/PaymentsPerYear,LoanTerm*PaymentsPerYear,LoanAmount) + $E1028))), 0), 2)</f>
        <v>0</v>
      </c>
      <c r="G1028" s="5">
        <f t="shared" ref="G1028:G1091" si="66">$F1028</f>
        <v>0</v>
      </c>
      <c r="H1028" s="5">
        <f t="shared" ref="H1028:H1091" si="67">ROUND(IF($B1028 &lt;= 0, 0,MAX(0, $B1028 + $G1028)), 2)</f>
        <v>0</v>
      </c>
    </row>
    <row r="1029" spans="1:8" x14ac:dyDescent="0.2">
      <c r="A1029" s="2">
        <v>1028</v>
      </c>
      <c r="B1029" s="5">
        <f t="shared" si="64"/>
        <v>0</v>
      </c>
      <c r="C1029" s="5">
        <f t="shared" si="65"/>
        <v>0</v>
      </c>
      <c r="D1029" s="5"/>
      <c r="E1029" s="5">
        <f>IF($B1029 &lt;= 0, 0, -ROUND($B1029 * (InterestRate / PaymentsPerYear), 2))</f>
        <v>0</v>
      </c>
      <c r="F1029" s="5">
        <f>ROUND(IFERROR(IF($B1029&lt;=0,0,
MAX(-$B1029, -(-PMT(InterestRate/PaymentsPerYear,LoanTerm*PaymentsPerYear,LoanAmount) + $E1029))), 0), 2)</f>
        <v>0</v>
      </c>
      <c r="G1029" s="5">
        <f t="shared" si="66"/>
        <v>0</v>
      </c>
      <c r="H1029" s="5">
        <f t="shared" si="67"/>
        <v>0</v>
      </c>
    </row>
    <row r="1030" spans="1:8" x14ac:dyDescent="0.2">
      <c r="A1030" s="2">
        <v>1029</v>
      </c>
      <c r="B1030" s="5">
        <f t="shared" si="64"/>
        <v>0</v>
      </c>
      <c r="C1030" s="5">
        <f t="shared" si="65"/>
        <v>0</v>
      </c>
      <c r="D1030" s="5"/>
      <c r="E1030" s="5">
        <f>IF($B1030 &lt;= 0, 0, -ROUND($B1030 * (InterestRate / PaymentsPerYear), 2))</f>
        <v>0</v>
      </c>
      <c r="F1030" s="5">
        <f>ROUND(IFERROR(IF($B1030&lt;=0,0,
MAX(-$B1030, -(-PMT(InterestRate/PaymentsPerYear,LoanTerm*PaymentsPerYear,LoanAmount) + $E1030))), 0), 2)</f>
        <v>0</v>
      </c>
      <c r="G1030" s="5">
        <f t="shared" si="66"/>
        <v>0</v>
      </c>
      <c r="H1030" s="5">
        <f t="shared" si="67"/>
        <v>0</v>
      </c>
    </row>
    <row r="1031" spans="1:8" x14ac:dyDescent="0.2">
      <c r="A1031" s="2">
        <v>1030</v>
      </c>
      <c r="B1031" s="5">
        <f t="shared" si="64"/>
        <v>0</v>
      </c>
      <c r="C1031" s="5">
        <f t="shared" si="65"/>
        <v>0</v>
      </c>
      <c r="D1031" s="5"/>
      <c r="E1031" s="5">
        <f>IF($B1031 &lt;= 0, 0, -ROUND($B1031 * (InterestRate / PaymentsPerYear), 2))</f>
        <v>0</v>
      </c>
      <c r="F1031" s="5">
        <f>ROUND(IFERROR(IF($B1031&lt;=0,0,
MAX(-$B1031, -(-PMT(InterestRate/PaymentsPerYear,LoanTerm*PaymentsPerYear,LoanAmount) + $E1031))), 0), 2)</f>
        <v>0</v>
      </c>
      <c r="G1031" s="5">
        <f t="shared" si="66"/>
        <v>0</v>
      </c>
      <c r="H1031" s="5">
        <f t="shared" si="67"/>
        <v>0</v>
      </c>
    </row>
    <row r="1032" spans="1:8" x14ac:dyDescent="0.2">
      <c r="A1032" s="2">
        <v>1031</v>
      </c>
      <c r="B1032" s="5">
        <f t="shared" si="64"/>
        <v>0</v>
      </c>
      <c r="C1032" s="5">
        <f t="shared" si="65"/>
        <v>0</v>
      </c>
      <c r="D1032" s="5"/>
      <c r="E1032" s="5">
        <f>IF($B1032 &lt;= 0, 0, -ROUND($B1032 * (InterestRate / PaymentsPerYear), 2))</f>
        <v>0</v>
      </c>
      <c r="F1032" s="5">
        <f>ROUND(IFERROR(IF($B1032&lt;=0,0,
MAX(-$B1032, -(-PMT(InterestRate/PaymentsPerYear,LoanTerm*PaymentsPerYear,LoanAmount) + $E1032))), 0), 2)</f>
        <v>0</v>
      </c>
      <c r="G1032" s="5">
        <f t="shared" si="66"/>
        <v>0</v>
      </c>
      <c r="H1032" s="5">
        <f t="shared" si="67"/>
        <v>0</v>
      </c>
    </row>
    <row r="1033" spans="1:8" x14ac:dyDescent="0.2">
      <c r="A1033" s="2">
        <v>1032</v>
      </c>
      <c r="B1033" s="5">
        <f t="shared" si="64"/>
        <v>0</v>
      </c>
      <c r="C1033" s="5">
        <f t="shared" si="65"/>
        <v>0</v>
      </c>
      <c r="D1033" s="5"/>
      <c r="E1033" s="5">
        <f>IF($B1033 &lt;= 0, 0, -ROUND($B1033 * (InterestRate / PaymentsPerYear), 2))</f>
        <v>0</v>
      </c>
      <c r="F1033" s="5">
        <f>ROUND(IFERROR(IF($B1033&lt;=0,0,
MAX(-$B1033, -(-PMT(InterestRate/PaymentsPerYear,LoanTerm*PaymentsPerYear,LoanAmount) + $E1033))), 0), 2)</f>
        <v>0</v>
      </c>
      <c r="G1033" s="5">
        <f t="shared" si="66"/>
        <v>0</v>
      </c>
      <c r="H1033" s="5">
        <f t="shared" si="67"/>
        <v>0</v>
      </c>
    </row>
    <row r="1034" spans="1:8" x14ac:dyDescent="0.2">
      <c r="A1034" s="2">
        <v>1033</v>
      </c>
      <c r="B1034" s="5">
        <f t="shared" si="64"/>
        <v>0</v>
      </c>
      <c r="C1034" s="5">
        <f t="shared" si="65"/>
        <v>0</v>
      </c>
      <c r="D1034" s="5"/>
      <c r="E1034" s="5">
        <f>IF($B1034 &lt;= 0, 0, -ROUND($B1034 * (InterestRate / PaymentsPerYear), 2))</f>
        <v>0</v>
      </c>
      <c r="F1034" s="5">
        <f>ROUND(IFERROR(IF($B1034&lt;=0,0,
MAX(-$B1034, -(-PMT(InterestRate/PaymentsPerYear,LoanTerm*PaymentsPerYear,LoanAmount) + $E1034))), 0), 2)</f>
        <v>0</v>
      </c>
      <c r="G1034" s="5">
        <f t="shared" si="66"/>
        <v>0</v>
      </c>
      <c r="H1034" s="5">
        <f t="shared" si="67"/>
        <v>0</v>
      </c>
    </row>
    <row r="1035" spans="1:8" x14ac:dyDescent="0.2">
      <c r="A1035" s="2">
        <v>1034</v>
      </c>
      <c r="B1035" s="5">
        <f t="shared" si="64"/>
        <v>0</v>
      </c>
      <c r="C1035" s="5">
        <f t="shared" si="65"/>
        <v>0</v>
      </c>
      <c r="D1035" s="5"/>
      <c r="E1035" s="5">
        <f>IF($B1035 &lt;= 0, 0, -ROUND($B1035 * (InterestRate / PaymentsPerYear), 2))</f>
        <v>0</v>
      </c>
      <c r="F1035" s="5">
        <f>ROUND(IFERROR(IF($B1035&lt;=0,0,
MAX(-$B1035, -(-PMT(InterestRate/PaymentsPerYear,LoanTerm*PaymentsPerYear,LoanAmount) + $E1035))), 0), 2)</f>
        <v>0</v>
      </c>
      <c r="G1035" s="5">
        <f t="shared" si="66"/>
        <v>0</v>
      </c>
      <c r="H1035" s="5">
        <f t="shared" si="67"/>
        <v>0</v>
      </c>
    </row>
    <row r="1036" spans="1:8" x14ac:dyDescent="0.2">
      <c r="A1036" s="2">
        <v>1035</v>
      </c>
      <c r="B1036" s="5">
        <f t="shared" si="64"/>
        <v>0</v>
      </c>
      <c r="C1036" s="5">
        <f t="shared" si="65"/>
        <v>0</v>
      </c>
      <c r="D1036" s="5"/>
      <c r="E1036" s="5">
        <f>IF($B1036 &lt;= 0, 0, -ROUND($B1036 * (InterestRate / PaymentsPerYear), 2))</f>
        <v>0</v>
      </c>
      <c r="F1036" s="5">
        <f>ROUND(IFERROR(IF($B1036&lt;=0,0,
MAX(-$B1036, -(-PMT(InterestRate/PaymentsPerYear,LoanTerm*PaymentsPerYear,LoanAmount) + $E1036))), 0), 2)</f>
        <v>0</v>
      </c>
      <c r="G1036" s="5">
        <f t="shared" si="66"/>
        <v>0</v>
      </c>
      <c r="H1036" s="5">
        <f t="shared" si="67"/>
        <v>0</v>
      </c>
    </row>
    <row r="1037" spans="1:8" x14ac:dyDescent="0.2">
      <c r="A1037" s="2">
        <v>1036</v>
      </c>
      <c r="B1037" s="5">
        <f t="shared" si="64"/>
        <v>0</v>
      </c>
      <c r="C1037" s="5">
        <f t="shared" si="65"/>
        <v>0</v>
      </c>
      <c r="D1037" s="5"/>
      <c r="E1037" s="5">
        <f>IF($B1037 &lt;= 0, 0, -ROUND($B1037 * (InterestRate / PaymentsPerYear), 2))</f>
        <v>0</v>
      </c>
      <c r="F1037" s="5">
        <f>ROUND(IFERROR(IF($B1037&lt;=0,0,
MAX(-$B1037, -(-PMT(InterestRate/PaymentsPerYear,LoanTerm*PaymentsPerYear,LoanAmount) + $E1037))), 0), 2)</f>
        <v>0</v>
      </c>
      <c r="G1037" s="5">
        <f t="shared" si="66"/>
        <v>0</v>
      </c>
      <c r="H1037" s="5">
        <f t="shared" si="67"/>
        <v>0</v>
      </c>
    </row>
    <row r="1038" spans="1:8" x14ac:dyDescent="0.2">
      <c r="A1038" s="2">
        <v>1037</v>
      </c>
      <c r="B1038" s="5">
        <f t="shared" si="64"/>
        <v>0</v>
      </c>
      <c r="C1038" s="5">
        <f t="shared" si="65"/>
        <v>0</v>
      </c>
      <c r="D1038" s="5"/>
      <c r="E1038" s="5">
        <f>IF($B1038 &lt;= 0, 0, -ROUND($B1038 * (InterestRate / PaymentsPerYear), 2))</f>
        <v>0</v>
      </c>
      <c r="F1038" s="5">
        <f>ROUND(IFERROR(IF($B1038&lt;=0,0,
MAX(-$B1038, -(-PMT(InterestRate/PaymentsPerYear,LoanTerm*PaymentsPerYear,LoanAmount) + $E1038))), 0), 2)</f>
        <v>0</v>
      </c>
      <c r="G1038" s="5">
        <f t="shared" si="66"/>
        <v>0</v>
      </c>
      <c r="H1038" s="5">
        <f t="shared" si="67"/>
        <v>0</v>
      </c>
    </row>
    <row r="1039" spans="1:8" x14ac:dyDescent="0.2">
      <c r="A1039" s="2">
        <v>1038</v>
      </c>
      <c r="B1039" s="5">
        <f t="shared" si="64"/>
        <v>0</v>
      </c>
      <c r="C1039" s="5">
        <f t="shared" si="65"/>
        <v>0</v>
      </c>
      <c r="D1039" s="5"/>
      <c r="E1039" s="5">
        <f>IF($B1039 &lt;= 0, 0, -ROUND($B1039 * (InterestRate / PaymentsPerYear), 2))</f>
        <v>0</v>
      </c>
      <c r="F1039" s="5">
        <f>ROUND(IFERROR(IF($B1039&lt;=0,0,
MAX(-$B1039, -(-PMT(InterestRate/PaymentsPerYear,LoanTerm*PaymentsPerYear,LoanAmount) + $E1039))), 0), 2)</f>
        <v>0</v>
      </c>
      <c r="G1039" s="5">
        <f t="shared" si="66"/>
        <v>0</v>
      </c>
      <c r="H1039" s="5">
        <f t="shared" si="67"/>
        <v>0</v>
      </c>
    </row>
    <row r="1040" spans="1:8" x14ac:dyDescent="0.2">
      <c r="A1040" s="2">
        <v>1039</v>
      </c>
      <c r="B1040" s="5">
        <f t="shared" si="64"/>
        <v>0</v>
      </c>
      <c r="C1040" s="5">
        <f t="shared" si="65"/>
        <v>0</v>
      </c>
      <c r="D1040" s="5"/>
      <c r="E1040" s="5">
        <f>IF($B1040 &lt;= 0, 0, -ROUND($B1040 * (InterestRate / PaymentsPerYear), 2))</f>
        <v>0</v>
      </c>
      <c r="F1040" s="5">
        <f>ROUND(IFERROR(IF($B1040&lt;=0,0,
MAX(-$B1040, -(-PMT(InterestRate/PaymentsPerYear,LoanTerm*PaymentsPerYear,LoanAmount) + $E1040))), 0), 2)</f>
        <v>0</v>
      </c>
      <c r="G1040" s="5">
        <f t="shared" si="66"/>
        <v>0</v>
      </c>
      <c r="H1040" s="5">
        <f t="shared" si="67"/>
        <v>0</v>
      </c>
    </row>
    <row r="1041" spans="1:8" x14ac:dyDescent="0.2">
      <c r="A1041" s="2">
        <v>1040</v>
      </c>
      <c r="B1041" s="5">
        <f t="shared" si="64"/>
        <v>0</v>
      </c>
      <c r="C1041" s="5">
        <f t="shared" si="65"/>
        <v>0</v>
      </c>
      <c r="D1041" s="5"/>
      <c r="E1041" s="5">
        <f>IF($B1041 &lt;= 0, 0, -ROUND($B1041 * (InterestRate / PaymentsPerYear), 2))</f>
        <v>0</v>
      </c>
      <c r="F1041" s="5">
        <f>ROUND(IFERROR(IF($B1041&lt;=0,0,
MAX(-$B1041, -(-PMT(InterestRate/PaymentsPerYear,LoanTerm*PaymentsPerYear,LoanAmount) + $E1041))), 0), 2)</f>
        <v>0</v>
      </c>
      <c r="G1041" s="5">
        <f t="shared" si="66"/>
        <v>0</v>
      </c>
      <c r="H1041" s="5">
        <f t="shared" si="67"/>
        <v>0</v>
      </c>
    </row>
    <row r="1042" spans="1:8" x14ac:dyDescent="0.2">
      <c r="A1042" s="2">
        <v>1041</v>
      </c>
      <c r="B1042" s="5">
        <f t="shared" si="64"/>
        <v>0</v>
      </c>
      <c r="C1042" s="5">
        <f t="shared" si="65"/>
        <v>0</v>
      </c>
      <c r="D1042" s="5"/>
      <c r="E1042" s="5">
        <f>IF($B1042 &lt;= 0, 0, -ROUND($B1042 * (InterestRate / PaymentsPerYear), 2))</f>
        <v>0</v>
      </c>
      <c r="F1042" s="5">
        <f>ROUND(IFERROR(IF($B1042&lt;=0,0,
MAX(-$B1042, -(-PMT(InterestRate/PaymentsPerYear,LoanTerm*PaymentsPerYear,LoanAmount) + $E1042))), 0), 2)</f>
        <v>0</v>
      </c>
      <c r="G1042" s="5">
        <f t="shared" si="66"/>
        <v>0</v>
      </c>
      <c r="H1042" s="5">
        <f t="shared" si="67"/>
        <v>0</v>
      </c>
    </row>
    <row r="1043" spans="1:8" x14ac:dyDescent="0.2">
      <c r="A1043" s="2">
        <v>1042</v>
      </c>
      <c r="B1043" s="5">
        <f t="shared" si="64"/>
        <v>0</v>
      </c>
      <c r="C1043" s="5">
        <f t="shared" si="65"/>
        <v>0</v>
      </c>
      <c r="D1043" s="5"/>
      <c r="E1043" s="5">
        <f>IF($B1043 &lt;= 0, 0, -ROUND($B1043 * (InterestRate / PaymentsPerYear), 2))</f>
        <v>0</v>
      </c>
      <c r="F1043" s="5">
        <f>ROUND(IFERROR(IF($B1043&lt;=0,0,
MAX(-$B1043, -(-PMT(InterestRate/PaymentsPerYear,LoanTerm*PaymentsPerYear,LoanAmount) + $E1043))), 0), 2)</f>
        <v>0</v>
      </c>
      <c r="G1043" s="5">
        <f t="shared" si="66"/>
        <v>0</v>
      </c>
      <c r="H1043" s="5">
        <f t="shared" si="67"/>
        <v>0</v>
      </c>
    </row>
    <row r="1044" spans="1:8" x14ac:dyDescent="0.2">
      <c r="A1044" s="2">
        <v>1043</v>
      </c>
      <c r="B1044" s="5">
        <f t="shared" si="64"/>
        <v>0</v>
      </c>
      <c r="C1044" s="5">
        <f t="shared" si="65"/>
        <v>0</v>
      </c>
      <c r="D1044" s="5"/>
      <c r="E1044" s="5">
        <f>IF($B1044 &lt;= 0, 0, -ROUND($B1044 * (InterestRate / PaymentsPerYear), 2))</f>
        <v>0</v>
      </c>
      <c r="F1044" s="5">
        <f>ROUND(IFERROR(IF($B1044&lt;=0,0,
MAX(-$B1044, -(-PMT(InterestRate/PaymentsPerYear,LoanTerm*PaymentsPerYear,LoanAmount) + $E1044))), 0), 2)</f>
        <v>0</v>
      </c>
      <c r="G1044" s="5">
        <f t="shared" si="66"/>
        <v>0</v>
      </c>
      <c r="H1044" s="5">
        <f t="shared" si="67"/>
        <v>0</v>
      </c>
    </row>
    <row r="1045" spans="1:8" x14ac:dyDescent="0.2">
      <c r="A1045" s="2">
        <v>1044</v>
      </c>
      <c r="B1045" s="5">
        <f t="shared" si="64"/>
        <v>0</v>
      </c>
      <c r="C1045" s="5">
        <f t="shared" si="65"/>
        <v>0</v>
      </c>
      <c r="D1045" s="5"/>
      <c r="E1045" s="5">
        <f>IF($B1045 &lt;= 0, 0, -ROUND($B1045 * (InterestRate / PaymentsPerYear), 2))</f>
        <v>0</v>
      </c>
      <c r="F1045" s="5">
        <f>ROUND(IFERROR(IF($B1045&lt;=0,0,
MAX(-$B1045, -(-PMT(InterestRate/PaymentsPerYear,LoanTerm*PaymentsPerYear,LoanAmount) + $E1045))), 0), 2)</f>
        <v>0</v>
      </c>
      <c r="G1045" s="5">
        <f t="shared" si="66"/>
        <v>0</v>
      </c>
      <c r="H1045" s="5">
        <f t="shared" si="67"/>
        <v>0</v>
      </c>
    </row>
    <row r="1046" spans="1:8" x14ac:dyDescent="0.2">
      <c r="A1046" s="2">
        <v>1045</v>
      </c>
      <c r="B1046" s="5">
        <f t="shared" si="64"/>
        <v>0</v>
      </c>
      <c r="C1046" s="5">
        <f t="shared" si="65"/>
        <v>0</v>
      </c>
      <c r="D1046" s="5"/>
      <c r="E1046" s="5">
        <f>IF($B1046 &lt;= 0, 0, -ROUND($B1046 * (InterestRate / PaymentsPerYear), 2))</f>
        <v>0</v>
      </c>
      <c r="F1046" s="5">
        <f>ROUND(IFERROR(IF($B1046&lt;=0,0,
MAX(-$B1046, -(-PMT(InterestRate/PaymentsPerYear,LoanTerm*PaymentsPerYear,LoanAmount) + $E1046))), 0), 2)</f>
        <v>0</v>
      </c>
      <c r="G1046" s="5">
        <f t="shared" si="66"/>
        <v>0</v>
      </c>
      <c r="H1046" s="5">
        <f t="shared" si="67"/>
        <v>0</v>
      </c>
    </row>
    <row r="1047" spans="1:8" x14ac:dyDescent="0.2">
      <c r="A1047" s="2">
        <v>1046</v>
      </c>
      <c r="B1047" s="5">
        <f t="shared" si="64"/>
        <v>0</v>
      </c>
      <c r="C1047" s="5">
        <f t="shared" si="65"/>
        <v>0</v>
      </c>
      <c r="D1047" s="5"/>
      <c r="E1047" s="5">
        <f>IF($B1047 &lt;= 0, 0, -ROUND($B1047 * (InterestRate / PaymentsPerYear), 2))</f>
        <v>0</v>
      </c>
      <c r="F1047" s="5">
        <f>ROUND(IFERROR(IF($B1047&lt;=0,0,
MAX(-$B1047, -(-PMT(InterestRate/PaymentsPerYear,LoanTerm*PaymentsPerYear,LoanAmount) + $E1047))), 0), 2)</f>
        <v>0</v>
      </c>
      <c r="G1047" s="5">
        <f t="shared" si="66"/>
        <v>0</v>
      </c>
      <c r="H1047" s="5">
        <f t="shared" si="67"/>
        <v>0</v>
      </c>
    </row>
    <row r="1048" spans="1:8" x14ac:dyDescent="0.2">
      <c r="A1048" s="2">
        <v>1047</v>
      </c>
      <c r="B1048" s="5">
        <f t="shared" si="64"/>
        <v>0</v>
      </c>
      <c r="C1048" s="5">
        <f t="shared" si="65"/>
        <v>0</v>
      </c>
      <c r="D1048" s="5"/>
      <c r="E1048" s="5">
        <f>IF($B1048 &lt;= 0, 0, -ROUND($B1048 * (InterestRate / PaymentsPerYear), 2))</f>
        <v>0</v>
      </c>
      <c r="F1048" s="5">
        <f>ROUND(IFERROR(IF($B1048&lt;=0,0,
MAX(-$B1048, -(-PMT(InterestRate/PaymentsPerYear,LoanTerm*PaymentsPerYear,LoanAmount) + $E1048))), 0), 2)</f>
        <v>0</v>
      </c>
      <c r="G1048" s="5">
        <f t="shared" si="66"/>
        <v>0</v>
      </c>
      <c r="H1048" s="5">
        <f t="shared" si="67"/>
        <v>0</v>
      </c>
    </row>
    <row r="1049" spans="1:8" x14ac:dyDescent="0.2">
      <c r="A1049" s="2">
        <v>1048</v>
      </c>
      <c r="B1049" s="5">
        <f t="shared" si="64"/>
        <v>0</v>
      </c>
      <c r="C1049" s="5">
        <f t="shared" si="65"/>
        <v>0</v>
      </c>
      <c r="D1049" s="5"/>
      <c r="E1049" s="5">
        <f>IF($B1049 &lt;= 0, 0, -ROUND($B1049 * (InterestRate / PaymentsPerYear), 2))</f>
        <v>0</v>
      </c>
      <c r="F1049" s="5">
        <f>ROUND(IFERROR(IF($B1049&lt;=0,0,
MAX(-$B1049, -(-PMT(InterestRate/PaymentsPerYear,LoanTerm*PaymentsPerYear,LoanAmount) + $E1049))), 0), 2)</f>
        <v>0</v>
      </c>
      <c r="G1049" s="5">
        <f t="shared" si="66"/>
        <v>0</v>
      </c>
      <c r="H1049" s="5">
        <f t="shared" si="67"/>
        <v>0</v>
      </c>
    </row>
    <row r="1050" spans="1:8" x14ac:dyDescent="0.2">
      <c r="A1050" s="2">
        <v>1049</v>
      </c>
      <c r="B1050" s="5">
        <f t="shared" si="64"/>
        <v>0</v>
      </c>
      <c r="C1050" s="5">
        <f t="shared" si="65"/>
        <v>0</v>
      </c>
      <c r="D1050" s="5"/>
      <c r="E1050" s="5">
        <f>IF($B1050 &lt;= 0, 0, -ROUND($B1050 * (InterestRate / PaymentsPerYear), 2))</f>
        <v>0</v>
      </c>
      <c r="F1050" s="5">
        <f>ROUND(IFERROR(IF($B1050&lt;=0,0,
MAX(-$B1050, -(-PMT(InterestRate/PaymentsPerYear,LoanTerm*PaymentsPerYear,LoanAmount) + $E1050))), 0), 2)</f>
        <v>0</v>
      </c>
      <c r="G1050" s="5">
        <f t="shared" si="66"/>
        <v>0</v>
      </c>
      <c r="H1050" s="5">
        <f t="shared" si="67"/>
        <v>0</v>
      </c>
    </row>
    <row r="1051" spans="1:8" x14ac:dyDescent="0.2">
      <c r="A1051" s="2">
        <v>1050</v>
      </c>
      <c r="B1051" s="5">
        <f t="shared" si="64"/>
        <v>0</v>
      </c>
      <c r="C1051" s="5">
        <f t="shared" si="65"/>
        <v>0</v>
      </c>
      <c r="D1051" s="5"/>
      <c r="E1051" s="5">
        <f>IF($B1051 &lt;= 0, 0, -ROUND($B1051 * (InterestRate / PaymentsPerYear), 2))</f>
        <v>0</v>
      </c>
      <c r="F1051" s="5">
        <f>ROUND(IFERROR(IF($B1051&lt;=0,0,
MAX(-$B1051, -(-PMT(InterestRate/PaymentsPerYear,LoanTerm*PaymentsPerYear,LoanAmount) + $E1051))), 0), 2)</f>
        <v>0</v>
      </c>
      <c r="G1051" s="5">
        <f t="shared" si="66"/>
        <v>0</v>
      </c>
      <c r="H1051" s="5">
        <f t="shared" si="67"/>
        <v>0</v>
      </c>
    </row>
    <row r="1052" spans="1:8" x14ac:dyDescent="0.2">
      <c r="A1052" s="2">
        <v>1051</v>
      </c>
      <c r="B1052" s="5">
        <f t="shared" si="64"/>
        <v>0</v>
      </c>
      <c r="C1052" s="5">
        <f t="shared" si="65"/>
        <v>0</v>
      </c>
      <c r="D1052" s="5"/>
      <c r="E1052" s="5">
        <f>IF($B1052 &lt;= 0, 0, -ROUND($B1052 * (InterestRate / PaymentsPerYear), 2))</f>
        <v>0</v>
      </c>
      <c r="F1052" s="5">
        <f>ROUND(IFERROR(IF($B1052&lt;=0,0,
MAX(-$B1052, -(-PMT(InterestRate/PaymentsPerYear,LoanTerm*PaymentsPerYear,LoanAmount) + $E1052))), 0), 2)</f>
        <v>0</v>
      </c>
      <c r="G1052" s="5">
        <f t="shared" si="66"/>
        <v>0</v>
      </c>
      <c r="H1052" s="5">
        <f t="shared" si="67"/>
        <v>0</v>
      </c>
    </row>
    <row r="1053" spans="1:8" x14ac:dyDescent="0.2">
      <c r="A1053" s="2">
        <v>1052</v>
      </c>
      <c r="B1053" s="5">
        <f t="shared" si="64"/>
        <v>0</v>
      </c>
      <c r="C1053" s="5">
        <f t="shared" si="65"/>
        <v>0</v>
      </c>
      <c r="D1053" s="5"/>
      <c r="E1053" s="5">
        <f>IF($B1053 &lt;= 0, 0, -ROUND($B1053 * (InterestRate / PaymentsPerYear), 2))</f>
        <v>0</v>
      </c>
      <c r="F1053" s="5">
        <f>ROUND(IFERROR(IF($B1053&lt;=0,0,
MAX(-$B1053, -(-PMT(InterestRate/PaymentsPerYear,LoanTerm*PaymentsPerYear,LoanAmount) + $E1053))), 0), 2)</f>
        <v>0</v>
      </c>
      <c r="G1053" s="5">
        <f t="shared" si="66"/>
        <v>0</v>
      </c>
      <c r="H1053" s="5">
        <f t="shared" si="67"/>
        <v>0</v>
      </c>
    </row>
    <row r="1054" spans="1:8" x14ac:dyDescent="0.2">
      <c r="A1054" s="2">
        <v>1053</v>
      </c>
      <c r="B1054" s="5">
        <f t="shared" si="64"/>
        <v>0</v>
      </c>
      <c r="C1054" s="5">
        <f t="shared" si="65"/>
        <v>0</v>
      </c>
      <c r="D1054" s="5"/>
      <c r="E1054" s="5">
        <f>IF($B1054 &lt;= 0, 0, -ROUND($B1054 * (InterestRate / PaymentsPerYear), 2))</f>
        <v>0</v>
      </c>
      <c r="F1054" s="5">
        <f>ROUND(IFERROR(IF($B1054&lt;=0,0,
MAX(-$B1054, -(-PMT(InterestRate/PaymentsPerYear,LoanTerm*PaymentsPerYear,LoanAmount) + $E1054))), 0), 2)</f>
        <v>0</v>
      </c>
      <c r="G1054" s="5">
        <f t="shared" si="66"/>
        <v>0</v>
      </c>
      <c r="H1054" s="5">
        <f t="shared" si="67"/>
        <v>0</v>
      </c>
    </row>
    <row r="1055" spans="1:8" x14ac:dyDescent="0.2">
      <c r="A1055" s="2">
        <v>1054</v>
      </c>
      <c r="B1055" s="5">
        <f t="shared" si="64"/>
        <v>0</v>
      </c>
      <c r="C1055" s="5">
        <f t="shared" si="65"/>
        <v>0</v>
      </c>
      <c r="D1055" s="5"/>
      <c r="E1055" s="5">
        <f>IF($B1055 &lt;= 0, 0, -ROUND($B1055 * (InterestRate / PaymentsPerYear), 2))</f>
        <v>0</v>
      </c>
      <c r="F1055" s="5">
        <f>ROUND(IFERROR(IF($B1055&lt;=0,0,
MAX(-$B1055, -(-PMT(InterestRate/PaymentsPerYear,LoanTerm*PaymentsPerYear,LoanAmount) + $E1055))), 0), 2)</f>
        <v>0</v>
      </c>
      <c r="G1055" s="5">
        <f t="shared" si="66"/>
        <v>0</v>
      </c>
      <c r="H1055" s="5">
        <f t="shared" si="67"/>
        <v>0</v>
      </c>
    </row>
    <row r="1056" spans="1:8" x14ac:dyDescent="0.2">
      <c r="A1056" s="2">
        <v>1055</v>
      </c>
      <c r="B1056" s="5">
        <f t="shared" si="64"/>
        <v>0</v>
      </c>
      <c r="C1056" s="5">
        <f t="shared" si="65"/>
        <v>0</v>
      </c>
      <c r="D1056" s="5"/>
      <c r="E1056" s="5">
        <f>IF($B1056 &lt;= 0, 0, -ROUND($B1056 * (InterestRate / PaymentsPerYear), 2))</f>
        <v>0</v>
      </c>
      <c r="F1056" s="5">
        <f>ROUND(IFERROR(IF($B1056&lt;=0,0,
MAX(-$B1056, -(-PMT(InterestRate/PaymentsPerYear,LoanTerm*PaymentsPerYear,LoanAmount) + $E1056))), 0), 2)</f>
        <v>0</v>
      </c>
      <c r="G1056" s="5">
        <f t="shared" si="66"/>
        <v>0</v>
      </c>
      <c r="H1056" s="5">
        <f t="shared" si="67"/>
        <v>0</v>
      </c>
    </row>
    <row r="1057" spans="1:8" x14ac:dyDescent="0.2">
      <c r="A1057" s="2">
        <v>1056</v>
      </c>
      <c r="B1057" s="5">
        <f t="shared" si="64"/>
        <v>0</v>
      </c>
      <c r="C1057" s="5">
        <f t="shared" si="65"/>
        <v>0</v>
      </c>
      <c r="D1057" s="5"/>
      <c r="E1057" s="5">
        <f>IF($B1057 &lt;= 0, 0, -ROUND($B1057 * (InterestRate / PaymentsPerYear), 2))</f>
        <v>0</v>
      </c>
      <c r="F1057" s="5">
        <f>ROUND(IFERROR(IF($B1057&lt;=0,0,
MAX(-$B1057, -(-PMT(InterestRate/PaymentsPerYear,LoanTerm*PaymentsPerYear,LoanAmount) + $E1057))), 0), 2)</f>
        <v>0</v>
      </c>
      <c r="G1057" s="5">
        <f t="shared" si="66"/>
        <v>0</v>
      </c>
      <c r="H1057" s="5">
        <f t="shared" si="67"/>
        <v>0</v>
      </c>
    </row>
    <row r="1058" spans="1:8" x14ac:dyDescent="0.2">
      <c r="A1058" s="2">
        <v>1057</v>
      </c>
      <c r="B1058" s="5">
        <f t="shared" si="64"/>
        <v>0</v>
      </c>
      <c r="C1058" s="5">
        <f t="shared" si="65"/>
        <v>0</v>
      </c>
      <c r="D1058" s="5"/>
      <c r="E1058" s="5">
        <f>IF($B1058 &lt;= 0, 0, -ROUND($B1058 * (InterestRate / PaymentsPerYear), 2))</f>
        <v>0</v>
      </c>
      <c r="F1058" s="5">
        <f>ROUND(IFERROR(IF($B1058&lt;=0,0,
MAX(-$B1058, -(-PMT(InterestRate/PaymentsPerYear,LoanTerm*PaymentsPerYear,LoanAmount) + $E1058))), 0), 2)</f>
        <v>0</v>
      </c>
      <c r="G1058" s="5">
        <f t="shared" si="66"/>
        <v>0</v>
      </c>
      <c r="H1058" s="5">
        <f t="shared" si="67"/>
        <v>0</v>
      </c>
    </row>
    <row r="1059" spans="1:8" x14ac:dyDescent="0.2">
      <c r="A1059" s="2">
        <v>1058</v>
      </c>
      <c r="B1059" s="5">
        <f t="shared" si="64"/>
        <v>0</v>
      </c>
      <c r="C1059" s="5">
        <f t="shared" si="65"/>
        <v>0</v>
      </c>
      <c r="D1059" s="5"/>
      <c r="E1059" s="5">
        <f>IF($B1059 &lt;= 0, 0, -ROUND($B1059 * (InterestRate / PaymentsPerYear), 2))</f>
        <v>0</v>
      </c>
      <c r="F1059" s="5">
        <f>ROUND(IFERROR(IF($B1059&lt;=0,0,
MAX(-$B1059, -(-PMT(InterestRate/PaymentsPerYear,LoanTerm*PaymentsPerYear,LoanAmount) + $E1059))), 0), 2)</f>
        <v>0</v>
      </c>
      <c r="G1059" s="5">
        <f t="shared" si="66"/>
        <v>0</v>
      </c>
      <c r="H1059" s="5">
        <f t="shared" si="67"/>
        <v>0</v>
      </c>
    </row>
    <row r="1060" spans="1:8" x14ac:dyDescent="0.2">
      <c r="A1060" s="2">
        <v>1059</v>
      </c>
      <c r="B1060" s="5">
        <f t="shared" si="64"/>
        <v>0</v>
      </c>
      <c r="C1060" s="5">
        <f t="shared" si="65"/>
        <v>0</v>
      </c>
      <c r="D1060" s="5"/>
      <c r="E1060" s="5">
        <f>IF($B1060 &lt;= 0, 0, -ROUND($B1060 * (InterestRate / PaymentsPerYear), 2))</f>
        <v>0</v>
      </c>
      <c r="F1060" s="5">
        <f>ROUND(IFERROR(IF($B1060&lt;=0,0,
MAX(-$B1060, -(-PMT(InterestRate/PaymentsPerYear,LoanTerm*PaymentsPerYear,LoanAmount) + $E1060))), 0), 2)</f>
        <v>0</v>
      </c>
      <c r="G1060" s="5">
        <f t="shared" si="66"/>
        <v>0</v>
      </c>
      <c r="H1060" s="5">
        <f t="shared" si="67"/>
        <v>0</v>
      </c>
    </row>
    <row r="1061" spans="1:8" x14ac:dyDescent="0.2">
      <c r="A1061" s="2">
        <v>1060</v>
      </c>
      <c r="B1061" s="5">
        <f t="shared" si="64"/>
        <v>0</v>
      </c>
      <c r="C1061" s="5">
        <f t="shared" si="65"/>
        <v>0</v>
      </c>
      <c r="D1061" s="5"/>
      <c r="E1061" s="5">
        <f>IF($B1061 &lt;= 0, 0, -ROUND($B1061 * (InterestRate / PaymentsPerYear), 2))</f>
        <v>0</v>
      </c>
      <c r="F1061" s="5">
        <f>ROUND(IFERROR(IF($B1061&lt;=0,0,
MAX(-$B1061, -(-PMT(InterestRate/PaymentsPerYear,LoanTerm*PaymentsPerYear,LoanAmount) + $E1061))), 0), 2)</f>
        <v>0</v>
      </c>
      <c r="G1061" s="5">
        <f t="shared" si="66"/>
        <v>0</v>
      </c>
      <c r="H1061" s="5">
        <f t="shared" si="67"/>
        <v>0</v>
      </c>
    </row>
    <row r="1062" spans="1:8" x14ac:dyDescent="0.2">
      <c r="A1062" s="2">
        <v>1061</v>
      </c>
      <c r="B1062" s="5">
        <f t="shared" si="64"/>
        <v>0</v>
      </c>
      <c r="C1062" s="5">
        <f t="shared" si="65"/>
        <v>0</v>
      </c>
      <c r="D1062" s="5"/>
      <c r="E1062" s="5">
        <f>IF($B1062 &lt;= 0, 0, -ROUND($B1062 * (InterestRate / PaymentsPerYear), 2))</f>
        <v>0</v>
      </c>
      <c r="F1062" s="5">
        <f>ROUND(IFERROR(IF($B1062&lt;=0,0,
MAX(-$B1062, -(-PMT(InterestRate/PaymentsPerYear,LoanTerm*PaymentsPerYear,LoanAmount) + $E1062))), 0), 2)</f>
        <v>0</v>
      </c>
      <c r="G1062" s="5">
        <f t="shared" si="66"/>
        <v>0</v>
      </c>
      <c r="H1062" s="5">
        <f t="shared" si="67"/>
        <v>0</v>
      </c>
    </row>
    <row r="1063" spans="1:8" x14ac:dyDescent="0.2">
      <c r="A1063" s="2">
        <v>1062</v>
      </c>
      <c r="B1063" s="5">
        <f t="shared" si="64"/>
        <v>0</v>
      </c>
      <c r="C1063" s="5">
        <f t="shared" si="65"/>
        <v>0</v>
      </c>
      <c r="D1063" s="5"/>
      <c r="E1063" s="5">
        <f>IF($B1063 &lt;= 0, 0, -ROUND($B1063 * (InterestRate / PaymentsPerYear), 2))</f>
        <v>0</v>
      </c>
      <c r="F1063" s="5">
        <f>ROUND(IFERROR(IF($B1063&lt;=0,0,
MAX(-$B1063, -(-PMT(InterestRate/PaymentsPerYear,LoanTerm*PaymentsPerYear,LoanAmount) + $E1063))), 0), 2)</f>
        <v>0</v>
      </c>
      <c r="G1063" s="5">
        <f t="shared" si="66"/>
        <v>0</v>
      </c>
      <c r="H1063" s="5">
        <f t="shared" si="67"/>
        <v>0</v>
      </c>
    </row>
    <row r="1064" spans="1:8" x14ac:dyDescent="0.2">
      <c r="A1064" s="2">
        <v>1063</v>
      </c>
      <c r="B1064" s="5">
        <f t="shared" si="64"/>
        <v>0</v>
      </c>
      <c r="C1064" s="5">
        <f t="shared" si="65"/>
        <v>0</v>
      </c>
      <c r="D1064" s="5"/>
      <c r="E1064" s="5">
        <f>IF($B1064 &lt;= 0, 0, -ROUND($B1064 * (InterestRate / PaymentsPerYear), 2))</f>
        <v>0</v>
      </c>
      <c r="F1064" s="5">
        <f>ROUND(IFERROR(IF($B1064&lt;=0,0,
MAX(-$B1064, -(-PMT(InterestRate/PaymentsPerYear,LoanTerm*PaymentsPerYear,LoanAmount) + $E1064))), 0), 2)</f>
        <v>0</v>
      </c>
      <c r="G1064" s="5">
        <f t="shared" si="66"/>
        <v>0</v>
      </c>
      <c r="H1064" s="5">
        <f t="shared" si="67"/>
        <v>0</v>
      </c>
    </row>
    <row r="1065" spans="1:8" x14ac:dyDescent="0.2">
      <c r="A1065" s="2">
        <v>1064</v>
      </c>
      <c r="B1065" s="5">
        <f t="shared" si="64"/>
        <v>0</v>
      </c>
      <c r="C1065" s="5">
        <f t="shared" si="65"/>
        <v>0</v>
      </c>
      <c r="D1065" s="5"/>
      <c r="E1065" s="5">
        <f>IF($B1065 &lt;= 0, 0, -ROUND($B1065 * (InterestRate / PaymentsPerYear), 2))</f>
        <v>0</v>
      </c>
      <c r="F1065" s="5">
        <f>ROUND(IFERROR(IF($B1065&lt;=0,0,
MAX(-$B1065, -(-PMT(InterestRate/PaymentsPerYear,LoanTerm*PaymentsPerYear,LoanAmount) + $E1065))), 0), 2)</f>
        <v>0</v>
      </c>
      <c r="G1065" s="5">
        <f t="shared" si="66"/>
        <v>0</v>
      </c>
      <c r="H1065" s="5">
        <f t="shared" si="67"/>
        <v>0</v>
      </c>
    </row>
    <row r="1066" spans="1:8" x14ac:dyDescent="0.2">
      <c r="A1066" s="2">
        <v>1065</v>
      </c>
      <c r="B1066" s="5">
        <f t="shared" si="64"/>
        <v>0</v>
      </c>
      <c r="C1066" s="5">
        <f t="shared" si="65"/>
        <v>0</v>
      </c>
      <c r="D1066" s="5"/>
      <c r="E1066" s="5">
        <f>IF($B1066 &lt;= 0, 0, -ROUND($B1066 * (InterestRate / PaymentsPerYear), 2))</f>
        <v>0</v>
      </c>
      <c r="F1066" s="5">
        <f>ROUND(IFERROR(IF($B1066&lt;=0,0,
MAX(-$B1066, -(-PMT(InterestRate/PaymentsPerYear,LoanTerm*PaymentsPerYear,LoanAmount) + $E1066))), 0), 2)</f>
        <v>0</v>
      </c>
      <c r="G1066" s="5">
        <f t="shared" si="66"/>
        <v>0</v>
      </c>
      <c r="H1066" s="5">
        <f t="shared" si="67"/>
        <v>0</v>
      </c>
    </row>
    <row r="1067" spans="1:8" x14ac:dyDescent="0.2">
      <c r="A1067" s="2">
        <v>1066</v>
      </c>
      <c r="B1067" s="5">
        <f t="shared" si="64"/>
        <v>0</v>
      </c>
      <c r="C1067" s="5">
        <f t="shared" si="65"/>
        <v>0</v>
      </c>
      <c r="D1067" s="5"/>
      <c r="E1067" s="5">
        <f>IF($B1067 &lt;= 0, 0, -ROUND($B1067 * (InterestRate / PaymentsPerYear), 2))</f>
        <v>0</v>
      </c>
      <c r="F1067" s="5">
        <f>ROUND(IFERROR(IF($B1067&lt;=0,0,
MAX(-$B1067, -(-PMT(InterestRate/PaymentsPerYear,LoanTerm*PaymentsPerYear,LoanAmount) + $E1067))), 0), 2)</f>
        <v>0</v>
      </c>
      <c r="G1067" s="5">
        <f t="shared" si="66"/>
        <v>0</v>
      </c>
      <c r="H1067" s="5">
        <f t="shared" si="67"/>
        <v>0</v>
      </c>
    </row>
    <row r="1068" spans="1:8" x14ac:dyDescent="0.2">
      <c r="A1068" s="2">
        <v>1067</v>
      </c>
      <c r="B1068" s="5">
        <f t="shared" si="64"/>
        <v>0</v>
      </c>
      <c r="C1068" s="5">
        <f t="shared" si="65"/>
        <v>0</v>
      </c>
      <c r="D1068" s="5"/>
      <c r="E1068" s="5">
        <f>IF($B1068 &lt;= 0, 0, -ROUND($B1068 * (InterestRate / PaymentsPerYear), 2))</f>
        <v>0</v>
      </c>
      <c r="F1068" s="5">
        <f>ROUND(IFERROR(IF($B1068&lt;=0,0,
MAX(-$B1068, -(-PMT(InterestRate/PaymentsPerYear,LoanTerm*PaymentsPerYear,LoanAmount) + $E1068))), 0), 2)</f>
        <v>0</v>
      </c>
      <c r="G1068" s="5">
        <f t="shared" si="66"/>
        <v>0</v>
      </c>
      <c r="H1068" s="5">
        <f t="shared" si="67"/>
        <v>0</v>
      </c>
    </row>
    <row r="1069" spans="1:8" x14ac:dyDescent="0.2">
      <c r="A1069" s="2">
        <v>1068</v>
      </c>
      <c r="B1069" s="5">
        <f t="shared" si="64"/>
        <v>0</v>
      </c>
      <c r="C1069" s="5">
        <f t="shared" si="65"/>
        <v>0</v>
      </c>
      <c r="D1069" s="5"/>
      <c r="E1069" s="5">
        <f>IF($B1069 &lt;= 0, 0, -ROUND($B1069 * (InterestRate / PaymentsPerYear), 2))</f>
        <v>0</v>
      </c>
      <c r="F1069" s="5">
        <f>ROUND(IFERROR(IF($B1069&lt;=0,0,
MAX(-$B1069, -(-PMT(InterestRate/PaymentsPerYear,LoanTerm*PaymentsPerYear,LoanAmount) + $E1069))), 0), 2)</f>
        <v>0</v>
      </c>
      <c r="G1069" s="5">
        <f t="shared" si="66"/>
        <v>0</v>
      </c>
      <c r="H1069" s="5">
        <f t="shared" si="67"/>
        <v>0</v>
      </c>
    </row>
    <row r="1070" spans="1:8" x14ac:dyDescent="0.2">
      <c r="A1070" s="2">
        <v>1069</v>
      </c>
      <c r="B1070" s="5">
        <f t="shared" si="64"/>
        <v>0</v>
      </c>
      <c r="C1070" s="5">
        <f t="shared" si="65"/>
        <v>0</v>
      </c>
      <c r="D1070" s="5"/>
      <c r="E1070" s="5">
        <f>IF($B1070 &lt;= 0, 0, -ROUND($B1070 * (InterestRate / PaymentsPerYear), 2))</f>
        <v>0</v>
      </c>
      <c r="F1070" s="5">
        <f>ROUND(IFERROR(IF($B1070&lt;=0,0,
MAX(-$B1070, -(-PMT(InterestRate/PaymentsPerYear,LoanTerm*PaymentsPerYear,LoanAmount) + $E1070))), 0), 2)</f>
        <v>0</v>
      </c>
      <c r="G1070" s="5">
        <f t="shared" si="66"/>
        <v>0</v>
      </c>
      <c r="H1070" s="5">
        <f t="shared" si="67"/>
        <v>0</v>
      </c>
    </row>
    <row r="1071" spans="1:8" x14ac:dyDescent="0.2">
      <c r="A1071" s="2">
        <v>1070</v>
      </c>
      <c r="B1071" s="5">
        <f t="shared" si="64"/>
        <v>0</v>
      </c>
      <c r="C1071" s="5">
        <f t="shared" si="65"/>
        <v>0</v>
      </c>
      <c r="D1071" s="5"/>
      <c r="E1071" s="5">
        <f>IF($B1071 &lt;= 0, 0, -ROUND($B1071 * (InterestRate / PaymentsPerYear), 2))</f>
        <v>0</v>
      </c>
      <c r="F1071" s="5">
        <f>ROUND(IFERROR(IF($B1071&lt;=0,0,
MAX(-$B1071, -(-PMT(InterestRate/PaymentsPerYear,LoanTerm*PaymentsPerYear,LoanAmount) + $E1071))), 0), 2)</f>
        <v>0</v>
      </c>
      <c r="G1071" s="5">
        <f t="shared" si="66"/>
        <v>0</v>
      </c>
      <c r="H1071" s="5">
        <f t="shared" si="67"/>
        <v>0</v>
      </c>
    </row>
    <row r="1072" spans="1:8" x14ac:dyDescent="0.2">
      <c r="A1072" s="2">
        <v>1071</v>
      </c>
      <c r="B1072" s="5">
        <f t="shared" si="64"/>
        <v>0</v>
      </c>
      <c r="C1072" s="5">
        <f t="shared" si="65"/>
        <v>0</v>
      </c>
      <c r="D1072" s="5"/>
      <c r="E1072" s="5">
        <f>IF($B1072 &lt;= 0, 0, -ROUND($B1072 * (InterestRate / PaymentsPerYear), 2))</f>
        <v>0</v>
      </c>
      <c r="F1072" s="5">
        <f>ROUND(IFERROR(IF($B1072&lt;=0,0,
MAX(-$B1072, -(-PMT(InterestRate/PaymentsPerYear,LoanTerm*PaymentsPerYear,LoanAmount) + $E1072))), 0), 2)</f>
        <v>0</v>
      </c>
      <c r="G1072" s="5">
        <f t="shared" si="66"/>
        <v>0</v>
      </c>
      <c r="H1072" s="5">
        <f t="shared" si="67"/>
        <v>0</v>
      </c>
    </row>
    <row r="1073" spans="1:8" x14ac:dyDescent="0.2">
      <c r="A1073" s="2">
        <v>1072</v>
      </c>
      <c r="B1073" s="5">
        <f t="shared" si="64"/>
        <v>0</v>
      </c>
      <c r="C1073" s="5">
        <f t="shared" si="65"/>
        <v>0</v>
      </c>
      <c r="D1073" s="5"/>
      <c r="E1073" s="5">
        <f>IF($B1073 &lt;= 0, 0, -ROUND($B1073 * (InterestRate / PaymentsPerYear), 2))</f>
        <v>0</v>
      </c>
      <c r="F1073" s="5">
        <f>ROUND(IFERROR(IF($B1073&lt;=0,0,
MAX(-$B1073, -(-PMT(InterestRate/PaymentsPerYear,LoanTerm*PaymentsPerYear,LoanAmount) + $E1073))), 0), 2)</f>
        <v>0</v>
      </c>
      <c r="G1073" s="5">
        <f t="shared" si="66"/>
        <v>0</v>
      </c>
      <c r="H1073" s="5">
        <f t="shared" si="67"/>
        <v>0</v>
      </c>
    </row>
    <row r="1074" spans="1:8" x14ac:dyDescent="0.2">
      <c r="A1074" s="2">
        <v>1073</v>
      </c>
      <c r="B1074" s="5">
        <f t="shared" si="64"/>
        <v>0</v>
      </c>
      <c r="C1074" s="5">
        <f t="shared" si="65"/>
        <v>0</v>
      </c>
      <c r="D1074" s="5"/>
      <c r="E1074" s="5">
        <f>IF($B1074 &lt;= 0, 0, -ROUND($B1074 * (InterestRate / PaymentsPerYear), 2))</f>
        <v>0</v>
      </c>
      <c r="F1074" s="5">
        <f>ROUND(IFERROR(IF($B1074&lt;=0,0,
MAX(-$B1074, -(-PMT(InterestRate/PaymentsPerYear,LoanTerm*PaymentsPerYear,LoanAmount) + $E1074))), 0), 2)</f>
        <v>0</v>
      </c>
      <c r="G1074" s="5">
        <f t="shared" si="66"/>
        <v>0</v>
      </c>
      <c r="H1074" s="5">
        <f t="shared" si="67"/>
        <v>0</v>
      </c>
    </row>
    <row r="1075" spans="1:8" x14ac:dyDescent="0.2">
      <c r="A1075" s="2">
        <v>1074</v>
      </c>
      <c r="B1075" s="5">
        <f t="shared" si="64"/>
        <v>0</v>
      </c>
      <c r="C1075" s="5">
        <f t="shared" si="65"/>
        <v>0</v>
      </c>
      <c r="D1075" s="5"/>
      <c r="E1075" s="5">
        <f>IF($B1075 &lt;= 0, 0, -ROUND($B1075 * (InterestRate / PaymentsPerYear), 2))</f>
        <v>0</v>
      </c>
      <c r="F1075" s="5">
        <f>ROUND(IFERROR(IF($B1075&lt;=0,0,
MAX(-$B1075, -(-PMT(InterestRate/PaymentsPerYear,LoanTerm*PaymentsPerYear,LoanAmount) + $E1075))), 0), 2)</f>
        <v>0</v>
      </c>
      <c r="G1075" s="5">
        <f t="shared" si="66"/>
        <v>0</v>
      </c>
      <c r="H1075" s="5">
        <f t="shared" si="67"/>
        <v>0</v>
      </c>
    </row>
    <row r="1076" spans="1:8" x14ac:dyDescent="0.2">
      <c r="A1076" s="2">
        <v>1075</v>
      </c>
      <c r="B1076" s="5">
        <f t="shared" si="64"/>
        <v>0</v>
      </c>
      <c r="C1076" s="5">
        <f t="shared" si="65"/>
        <v>0</v>
      </c>
      <c r="D1076" s="5"/>
      <c r="E1076" s="5">
        <f>IF($B1076 &lt;= 0, 0, -ROUND($B1076 * (InterestRate / PaymentsPerYear), 2))</f>
        <v>0</v>
      </c>
      <c r="F1076" s="5">
        <f>ROUND(IFERROR(IF($B1076&lt;=0,0,
MAX(-$B1076, -(-PMT(InterestRate/PaymentsPerYear,LoanTerm*PaymentsPerYear,LoanAmount) + $E1076))), 0), 2)</f>
        <v>0</v>
      </c>
      <c r="G1076" s="5">
        <f t="shared" si="66"/>
        <v>0</v>
      </c>
      <c r="H1076" s="5">
        <f t="shared" si="67"/>
        <v>0</v>
      </c>
    </row>
    <row r="1077" spans="1:8" x14ac:dyDescent="0.2">
      <c r="A1077" s="2">
        <v>1076</v>
      </c>
      <c r="B1077" s="5">
        <f t="shared" si="64"/>
        <v>0</v>
      </c>
      <c r="C1077" s="5">
        <f t="shared" si="65"/>
        <v>0</v>
      </c>
      <c r="D1077" s="5"/>
      <c r="E1077" s="5">
        <f>IF($B1077 &lt;= 0, 0, -ROUND($B1077 * (InterestRate / PaymentsPerYear), 2))</f>
        <v>0</v>
      </c>
      <c r="F1077" s="5">
        <f>ROUND(IFERROR(IF($B1077&lt;=0,0,
MAX(-$B1077, -(-PMT(InterestRate/PaymentsPerYear,LoanTerm*PaymentsPerYear,LoanAmount) + $E1077))), 0), 2)</f>
        <v>0</v>
      </c>
      <c r="G1077" s="5">
        <f t="shared" si="66"/>
        <v>0</v>
      </c>
      <c r="H1077" s="5">
        <f t="shared" si="67"/>
        <v>0</v>
      </c>
    </row>
    <row r="1078" spans="1:8" x14ac:dyDescent="0.2">
      <c r="A1078" s="2">
        <v>1077</v>
      </c>
      <c r="B1078" s="5">
        <f t="shared" si="64"/>
        <v>0</v>
      </c>
      <c r="C1078" s="5">
        <f t="shared" si="65"/>
        <v>0</v>
      </c>
      <c r="D1078" s="5"/>
      <c r="E1078" s="5">
        <f>IF($B1078 &lt;= 0, 0, -ROUND($B1078 * (InterestRate / PaymentsPerYear), 2))</f>
        <v>0</v>
      </c>
      <c r="F1078" s="5">
        <f>ROUND(IFERROR(IF($B1078&lt;=0,0,
MAX(-$B1078, -(-PMT(InterestRate/PaymentsPerYear,LoanTerm*PaymentsPerYear,LoanAmount) + $E1078))), 0), 2)</f>
        <v>0</v>
      </c>
      <c r="G1078" s="5">
        <f t="shared" si="66"/>
        <v>0</v>
      </c>
      <c r="H1078" s="5">
        <f t="shared" si="67"/>
        <v>0</v>
      </c>
    </row>
    <row r="1079" spans="1:8" x14ac:dyDescent="0.2">
      <c r="A1079" s="2">
        <v>1078</v>
      </c>
      <c r="B1079" s="5">
        <f t="shared" si="64"/>
        <v>0</v>
      </c>
      <c r="C1079" s="5">
        <f t="shared" si="65"/>
        <v>0</v>
      </c>
      <c r="D1079" s="5"/>
      <c r="E1079" s="5">
        <f>IF($B1079 &lt;= 0, 0, -ROUND($B1079 * (InterestRate / PaymentsPerYear), 2))</f>
        <v>0</v>
      </c>
      <c r="F1079" s="5">
        <f>ROUND(IFERROR(IF($B1079&lt;=0,0,
MAX(-$B1079, -(-PMT(InterestRate/PaymentsPerYear,LoanTerm*PaymentsPerYear,LoanAmount) + $E1079))), 0), 2)</f>
        <v>0</v>
      </c>
      <c r="G1079" s="5">
        <f t="shared" si="66"/>
        <v>0</v>
      </c>
      <c r="H1079" s="5">
        <f t="shared" si="67"/>
        <v>0</v>
      </c>
    </row>
    <row r="1080" spans="1:8" x14ac:dyDescent="0.2">
      <c r="A1080" s="2">
        <v>1079</v>
      </c>
      <c r="B1080" s="5">
        <f t="shared" si="64"/>
        <v>0</v>
      </c>
      <c r="C1080" s="5">
        <f t="shared" si="65"/>
        <v>0</v>
      </c>
      <c r="D1080" s="5"/>
      <c r="E1080" s="5">
        <f>IF($B1080 &lt;= 0, 0, -ROUND($B1080 * (InterestRate / PaymentsPerYear), 2))</f>
        <v>0</v>
      </c>
      <c r="F1080" s="5">
        <f>ROUND(IFERROR(IF($B1080&lt;=0,0,
MAX(-$B1080, -(-PMT(InterestRate/PaymentsPerYear,LoanTerm*PaymentsPerYear,LoanAmount) + $E1080))), 0), 2)</f>
        <v>0</v>
      </c>
      <c r="G1080" s="5">
        <f t="shared" si="66"/>
        <v>0</v>
      </c>
      <c r="H1080" s="5">
        <f t="shared" si="67"/>
        <v>0</v>
      </c>
    </row>
    <row r="1081" spans="1:8" x14ac:dyDescent="0.2">
      <c r="A1081" s="2">
        <v>1080</v>
      </c>
      <c r="B1081" s="5">
        <f t="shared" si="64"/>
        <v>0</v>
      </c>
      <c r="C1081" s="5">
        <f t="shared" si="65"/>
        <v>0</v>
      </c>
      <c r="D1081" s="5"/>
      <c r="E1081" s="5">
        <f>IF($B1081 &lt;= 0, 0, -ROUND($B1081 * (InterestRate / PaymentsPerYear), 2))</f>
        <v>0</v>
      </c>
      <c r="F1081" s="5">
        <f>ROUND(IFERROR(IF($B1081&lt;=0,0,
MAX(-$B1081, -(-PMT(InterestRate/PaymentsPerYear,LoanTerm*PaymentsPerYear,LoanAmount) + $E1081))), 0), 2)</f>
        <v>0</v>
      </c>
      <c r="G1081" s="5">
        <f t="shared" si="66"/>
        <v>0</v>
      </c>
      <c r="H1081" s="5">
        <f t="shared" si="67"/>
        <v>0</v>
      </c>
    </row>
    <row r="1082" spans="1:8" x14ac:dyDescent="0.2">
      <c r="A1082" s="2">
        <v>1081</v>
      </c>
      <c r="B1082" s="5">
        <f t="shared" si="64"/>
        <v>0</v>
      </c>
      <c r="C1082" s="5">
        <f t="shared" si="65"/>
        <v>0</v>
      </c>
      <c r="D1082" s="5"/>
      <c r="E1082" s="5">
        <f>IF($B1082 &lt;= 0, 0, -ROUND($B1082 * (InterestRate / PaymentsPerYear), 2))</f>
        <v>0</v>
      </c>
      <c r="F1082" s="5">
        <f>ROUND(IFERROR(IF($B1082&lt;=0,0,
MAX(-$B1082, -(-PMT(InterestRate/PaymentsPerYear,LoanTerm*PaymentsPerYear,LoanAmount) + $E1082))), 0), 2)</f>
        <v>0</v>
      </c>
      <c r="G1082" s="5">
        <f t="shared" si="66"/>
        <v>0</v>
      </c>
      <c r="H1082" s="5">
        <f t="shared" si="67"/>
        <v>0</v>
      </c>
    </row>
    <row r="1083" spans="1:8" x14ac:dyDescent="0.2">
      <c r="A1083" s="2">
        <v>1082</v>
      </c>
      <c r="B1083" s="5">
        <f t="shared" si="64"/>
        <v>0</v>
      </c>
      <c r="C1083" s="5">
        <f t="shared" si="65"/>
        <v>0</v>
      </c>
      <c r="D1083" s="5"/>
      <c r="E1083" s="5">
        <f>IF($B1083 &lt;= 0, 0, -ROUND($B1083 * (InterestRate / PaymentsPerYear), 2))</f>
        <v>0</v>
      </c>
      <c r="F1083" s="5">
        <f>ROUND(IFERROR(IF($B1083&lt;=0,0,
MAX(-$B1083, -(-PMT(InterestRate/PaymentsPerYear,LoanTerm*PaymentsPerYear,LoanAmount) + $E1083))), 0), 2)</f>
        <v>0</v>
      </c>
      <c r="G1083" s="5">
        <f t="shared" si="66"/>
        <v>0</v>
      </c>
      <c r="H1083" s="5">
        <f t="shared" si="67"/>
        <v>0</v>
      </c>
    </row>
    <row r="1084" spans="1:8" x14ac:dyDescent="0.2">
      <c r="A1084" s="2">
        <v>1083</v>
      </c>
      <c r="B1084" s="5">
        <f t="shared" si="64"/>
        <v>0</v>
      </c>
      <c r="C1084" s="5">
        <f t="shared" si="65"/>
        <v>0</v>
      </c>
      <c r="D1084" s="5"/>
      <c r="E1084" s="5">
        <f>IF($B1084 &lt;= 0, 0, -ROUND($B1084 * (InterestRate / PaymentsPerYear), 2))</f>
        <v>0</v>
      </c>
      <c r="F1084" s="5">
        <f>ROUND(IFERROR(IF($B1084&lt;=0,0,
MAX(-$B1084, -(-PMT(InterestRate/PaymentsPerYear,LoanTerm*PaymentsPerYear,LoanAmount) + $E1084))), 0), 2)</f>
        <v>0</v>
      </c>
      <c r="G1084" s="5">
        <f t="shared" si="66"/>
        <v>0</v>
      </c>
      <c r="H1084" s="5">
        <f t="shared" si="67"/>
        <v>0</v>
      </c>
    </row>
    <row r="1085" spans="1:8" x14ac:dyDescent="0.2">
      <c r="A1085" s="2">
        <v>1084</v>
      </c>
      <c r="B1085" s="5">
        <f t="shared" si="64"/>
        <v>0</v>
      </c>
      <c r="C1085" s="5">
        <f t="shared" si="65"/>
        <v>0</v>
      </c>
      <c r="D1085" s="5"/>
      <c r="E1085" s="5">
        <f>IF($B1085 &lt;= 0, 0, -ROUND($B1085 * (InterestRate / PaymentsPerYear), 2))</f>
        <v>0</v>
      </c>
      <c r="F1085" s="5">
        <f>ROUND(IFERROR(IF($B1085&lt;=0,0,
MAX(-$B1085, -(-PMT(InterestRate/PaymentsPerYear,LoanTerm*PaymentsPerYear,LoanAmount) + $E1085))), 0), 2)</f>
        <v>0</v>
      </c>
      <c r="G1085" s="5">
        <f t="shared" si="66"/>
        <v>0</v>
      </c>
      <c r="H1085" s="5">
        <f t="shared" si="67"/>
        <v>0</v>
      </c>
    </row>
    <row r="1086" spans="1:8" x14ac:dyDescent="0.2">
      <c r="A1086" s="2">
        <v>1085</v>
      </c>
      <c r="B1086" s="5">
        <f t="shared" si="64"/>
        <v>0</v>
      </c>
      <c r="C1086" s="5">
        <f t="shared" si="65"/>
        <v>0</v>
      </c>
      <c r="D1086" s="5"/>
      <c r="E1086" s="5">
        <f>IF($B1086 &lt;= 0, 0, -ROUND($B1086 * (InterestRate / PaymentsPerYear), 2))</f>
        <v>0</v>
      </c>
      <c r="F1086" s="5">
        <f>ROUND(IFERROR(IF($B1086&lt;=0,0,
MAX(-$B1086, -(-PMT(InterestRate/PaymentsPerYear,LoanTerm*PaymentsPerYear,LoanAmount) + $E1086))), 0), 2)</f>
        <v>0</v>
      </c>
      <c r="G1086" s="5">
        <f t="shared" si="66"/>
        <v>0</v>
      </c>
      <c r="H1086" s="5">
        <f t="shared" si="67"/>
        <v>0</v>
      </c>
    </row>
    <row r="1087" spans="1:8" x14ac:dyDescent="0.2">
      <c r="A1087" s="2">
        <v>1086</v>
      </c>
      <c r="B1087" s="5">
        <f t="shared" si="64"/>
        <v>0</v>
      </c>
      <c r="C1087" s="5">
        <f t="shared" si="65"/>
        <v>0</v>
      </c>
      <c r="D1087" s="5"/>
      <c r="E1087" s="5">
        <f>IF($B1087 &lt;= 0, 0, -ROUND($B1087 * (InterestRate / PaymentsPerYear), 2))</f>
        <v>0</v>
      </c>
      <c r="F1087" s="5">
        <f>ROUND(IFERROR(IF($B1087&lt;=0,0,
MAX(-$B1087, -(-PMT(InterestRate/PaymentsPerYear,LoanTerm*PaymentsPerYear,LoanAmount) + $E1087))), 0), 2)</f>
        <v>0</v>
      </c>
      <c r="G1087" s="5">
        <f t="shared" si="66"/>
        <v>0</v>
      </c>
      <c r="H1087" s="5">
        <f t="shared" si="67"/>
        <v>0</v>
      </c>
    </row>
    <row r="1088" spans="1:8" x14ac:dyDescent="0.2">
      <c r="A1088" s="2">
        <v>1087</v>
      </c>
      <c r="B1088" s="5">
        <f t="shared" si="64"/>
        <v>0</v>
      </c>
      <c r="C1088" s="5">
        <f t="shared" si="65"/>
        <v>0</v>
      </c>
      <c r="D1088" s="5"/>
      <c r="E1088" s="5">
        <f>IF($B1088 &lt;= 0, 0, -ROUND($B1088 * (InterestRate / PaymentsPerYear), 2))</f>
        <v>0</v>
      </c>
      <c r="F1088" s="5">
        <f>ROUND(IFERROR(IF($B1088&lt;=0,0,
MAX(-$B1088, -(-PMT(InterestRate/PaymentsPerYear,LoanTerm*PaymentsPerYear,LoanAmount) + $E1088))), 0), 2)</f>
        <v>0</v>
      </c>
      <c r="G1088" s="5">
        <f t="shared" si="66"/>
        <v>0</v>
      </c>
      <c r="H1088" s="5">
        <f t="shared" si="67"/>
        <v>0</v>
      </c>
    </row>
    <row r="1089" spans="1:8" x14ac:dyDescent="0.2">
      <c r="A1089" s="2">
        <v>1088</v>
      </c>
      <c r="B1089" s="5">
        <f t="shared" si="64"/>
        <v>0</v>
      </c>
      <c r="C1089" s="5">
        <f t="shared" si="65"/>
        <v>0</v>
      </c>
      <c r="D1089" s="5"/>
      <c r="E1089" s="5">
        <f>IF($B1089 &lt;= 0, 0, -ROUND($B1089 * (InterestRate / PaymentsPerYear), 2))</f>
        <v>0</v>
      </c>
      <c r="F1089" s="5">
        <f>ROUND(IFERROR(IF($B1089&lt;=0,0,
MAX(-$B1089, -(-PMT(InterestRate/PaymentsPerYear,LoanTerm*PaymentsPerYear,LoanAmount) + $E1089))), 0), 2)</f>
        <v>0</v>
      </c>
      <c r="G1089" s="5">
        <f t="shared" si="66"/>
        <v>0</v>
      </c>
      <c r="H1089" s="5">
        <f t="shared" si="67"/>
        <v>0</v>
      </c>
    </row>
    <row r="1090" spans="1:8" x14ac:dyDescent="0.2">
      <c r="A1090" s="2">
        <v>1089</v>
      </c>
      <c r="B1090" s="5">
        <f t="shared" si="64"/>
        <v>0</v>
      </c>
      <c r="C1090" s="5">
        <f t="shared" si="65"/>
        <v>0</v>
      </c>
      <c r="D1090" s="5"/>
      <c r="E1090" s="5">
        <f>IF($B1090 &lt;= 0, 0, -ROUND($B1090 * (InterestRate / PaymentsPerYear), 2))</f>
        <v>0</v>
      </c>
      <c r="F1090" s="5">
        <f>ROUND(IFERROR(IF($B1090&lt;=0,0,
MAX(-$B1090, -(-PMT(InterestRate/PaymentsPerYear,LoanTerm*PaymentsPerYear,LoanAmount) + $E1090))), 0), 2)</f>
        <v>0</v>
      </c>
      <c r="G1090" s="5">
        <f t="shared" si="66"/>
        <v>0</v>
      </c>
      <c r="H1090" s="5">
        <f t="shared" si="67"/>
        <v>0</v>
      </c>
    </row>
    <row r="1091" spans="1:8" x14ac:dyDescent="0.2">
      <c r="A1091" s="2">
        <v>1090</v>
      </c>
      <c r="B1091" s="5">
        <f t="shared" si="64"/>
        <v>0</v>
      </c>
      <c r="C1091" s="5">
        <f t="shared" si="65"/>
        <v>0</v>
      </c>
      <c r="D1091" s="5"/>
      <c r="E1091" s="5">
        <f>IF($B1091 &lt;= 0, 0, -ROUND($B1091 * (InterestRate / PaymentsPerYear), 2))</f>
        <v>0</v>
      </c>
      <c r="F1091" s="5">
        <f>ROUND(IFERROR(IF($B1091&lt;=0,0,
MAX(-$B1091, -(-PMT(InterestRate/PaymentsPerYear,LoanTerm*PaymentsPerYear,LoanAmount) + $E1091))), 0), 2)</f>
        <v>0</v>
      </c>
      <c r="G1091" s="5">
        <f t="shared" si="66"/>
        <v>0</v>
      </c>
      <c r="H1091" s="5">
        <f t="shared" si="67"/>
        <v>0</v>
      </c>
    </row>
    <row r="1092" spans="1:8" x14ac:dyDescent="0.2">
      <c r="A1092" s="2">
        <v>1091</v>
      </c>
      <c r="B1092" s="5">
        <f t="shared" ref="B1092:B1155" si="68">ROUND(IF($H1091 &gt;= 0, MAX($H1091, $F1091), 0), 2)</f>
        <v>0</v>
      </c>
      <c r="C1092" s="5">
        <f t="shared" ref="C1092:C1155" si="69">IF($B1092 &lt;= 0, 0, $E1092+$F1092)</f>
        <v>0</v>
      </c>
      <c r="D1092" s="5"/>
      <c r="E1092" s="5">
        <f>IF($B1092 &lt;= 0, 0, -ROUND($B1092 * (InterestRate / PaymentsPerYear), 2))</f>
        <v>0</v>
      </c>
      <c r="F1092" s="5">
        <f>ROUND(IFERROR(IF($B1092&lt;=0,0,
MAX(-$B1092, -(-PMT(InterestRate/PaymentsPerYear,LoanTerm*PaymentsPerYear,LoanAmount) + $E1092))), 0), 2)</f>
        <v>0</v>
      </c>
      <c r="G1092" s="5">
        <f t="shared" ref="G1092:G1155" si="70">$F1092</f>
        <v>0</v>
      </c>
      <c r="H1092" s="5">
        <f t="shared" ref="H1092:H1155" si="71">ROUND(IF($B1092 &lt;= 0, 0,MAX(0, $B1092 + $G1092)), 2)</f>
        <v>0</v>
      </c>
    </row>
    <row r="1093" spans="1:8" x14ac:dyDescent="0.2">
      <c r="A1093" s="2">
        <v>1092</v>
      </c>
      <c r="B1093" s="5">
        <f t="shared" si="68"/>
        <v>0</v>
      </c>
      <c r="C1093" s="5">
        <f t="shared" si="69"/>
        <v>0</v>
      </c>
      <c r="D1093" s="5"/>
      <c r="E1093" s="5">
        <f>IF($B1093 &lt;= 0, 0, -ROUND($B1093 * (InterestRate / PaymentsPerYear), 2))</f>
        <v>0</v>
      </c>
      <c r="F1093" s="5">
        <f>ROUND(IFERROR(IF($B1093&lt;=0,0,
MAX(-$B1093, -(-PMT(InterestRate/PaymentsPerYear,LoanTerm*PaymentsPerYear,LoanAmount) + $E1093))), 0), 2)</f>
        <v>0</v>
      </c>
      <c r="G1093" s="5">
        <f t="shared" si="70"/>
        <v>0</v>
      </c>
      <c r="H1093" s="5">
        <f t="shared" si="71"/>
        <v>0</v>
      </c>
    </row>
    <row r="1094" spans="1:8" x14ac:dyDescent="0.2">
      <c r="A1094" s="2">
        <v>1093</v>
      </c>
      <c r="B1094" s="5">
        <f t="shared" si="68"/>
        <v>0</v>
      </c>
      <c r="C1094" s="5">
        <f t="shared" si="69"/>
        <v>0</v>
      </c>
      <c r="D1094" s="5"/>
      <c r="E1094" s="5">
        <f>IF($B1094 &lt;= 0, 0, -ROUND($B1094 * (InterestRate / PaymentsPerYear), 2))</f>
        <v>0</v>
      </c>
      <c r="F1094" s="5">
        <f>ROUND(IFERROR(IF($B1094&lt;=0,0,
MAX(-$B1094, -(-PMT(InterestRate/PaymentsPerYear,LoanTerm*PaymentsPerYear,LoanAmount) + $E1094))), 0), 2)</f>
        <v>0</v>
      </c>
      <c r="G1094" s="5">
        <f t="shared" si="70"/>
        <v>0</v>
      </c>
      <c r="H1094" s="5">
        <f t="shared" si="71"/>
        <v>0</v>
      </c>
    </row>
    <row r="1095" spans="1:8" x14ac:dyDescent="0.2">
      <c r="A1095" s="2">
        <v>1094</v>
      </c>
      <c r="B1095" s="5">
        <f t="shared" si="68"/>
        <v>0</v>
      </c>
      <c r="C1095" s="5">
        <f t="shared" si="69"/>
        <v>0</v>
      </c>
      <c r="D1095" s="5"/>
      <c r="E1095" s="5">
        <f>IF($B1095 &lt;= 0, 0, -ROUND($B1095 * (InterestRate / PaymentsPerYear), 2))</f>
        <v>0</v>
      </c>
      <c r="F1095" s="5">
        <f>ROUND(IFERROR(IF($B1095&lt;=0,0,
MAX(-$B1095, -(-PMT(InterestRate/PaymentsPerYear,LoanTerm*PaymentsPerYear,LoanAmount) + $E1095))), 0), 2)</f>
        <v>0</v>
      </c>
      <c r="G1095" s="5">
        <f t="shared" si="70"/>
        <v>0</v>
      </c>
      <c r="H1095" s="5">
        <f t="shared" si="71"/>
        <v>0</v>
      </c>
    </row>
    <row r="1096" spans="1:8" x14ac:dyDescent="0.2">
      <c r="A1096" s="2">
        <v>1095</v>
      </c>
      <c r="B1096" s="5">
        <f t="shared" si="68"/>
        <v>0</v>
      </c>
      <c r="C1096" s="5">
        <f t="shared" si="69"/>
        <v>0</v>
      </c>
      <c r="D1096" s="5"/>
      <c r="E1096" s="5">
        <f>IF($B1096 &lt;= 0, 0, -ROUND($B1096 * (InterestRate / PaymentsPerYear), 2))</f>
        <v>0</v>
      </c>
      <c r="F1096" s="5">
        <f>ROUND(IFERROR(IF($B1096&lt;=0,0,
MAX(-$B1096, -(-PMT(InterestRate/PaymentsPerYear,LoanTerm*PaymentsPerYear,LoanAmount) + $E1096))), 0), 2)</f>
        <v>0</v>
      </c>
      <c r="G1096" s="5">
        <f t="shared" si="70"/>
        <v>0</v>
      </c>
      <c r="H1096" s="5">
        <f t="shared" si="71"/>
        <v>0</v>
      </c>
    </row>
    <row r="1097" spans="1:8" x14ac:dyDescent="0.2">
      <c r="A1097" s="2">
        <v>1096</v>
      </c>
      <c r="B1097" s="5">
        <f t="shared" si="68"/>
        <v>0</v>
      </c>
      <c r="C1097" s="5">
        <f t="shared" si="69"/>
        <v>0</v>
      </c>
      <c r="D1097" s="5"/>
      <c r="E1097" s="5">
        <f>IF($B1097 &lt;= 0, 0, -ROUND($B1097 * (InterestRate / PaymentsPerYear), 2))</f>
        <v>0</v>
      </c>
      <c r="F1097" s="5">
        <f>ROUND(IFERROR(IF($B1097&lt;=0,0,
MAX(-$B1097, -(-PMT(InterestRate/PaymentsPerYear,LoanTerm*PaymentsPerYear,LoanAmount) + $E1097))), 0), 2)</f>
        <v>0</v>
      </c>
      <c r="G1097" s="5">
        <f t="shared" si="70"/>
        <v>0</v>
      </c>
      <c r="H1097" s="5">
        <f t="shared" si="71"/>
        <v>0</v>
      </c>
    </row>
    <row r="1098" spans="1:8" x14ac:dyDescent="0.2">
      <c r="A1098" s="2">
        <v>1097</v>
      </c>
      <c r="B1098" s="5">
        <f t="shared" si="68"/>
        <v>0</v>
      </c>
      <c r="C1098" s="5">
        <f t="shared" si="69"/>
        <v>0</v>
      </c>
      <c r="D1098" s="5"/>
      <c r="E1098" s="5">
        <f>IF($B1098 &lt;= 0, 0, -ROUND($B1098 * (InterestRate / PaymentsPerYear), 2))</f>
        <v>0</v>
      </c>
      <c r="F1098" s="5">
        <f>ROUND(IFERROR(IF($B1098&lt;=0,0,
MAX(-$B1098, -(-PMT(InterestRate/PaymentsPerYear,LoanTerm*PaymentsPerYear,LoanAmount) + $E1098))), 0), 2)</f>
        <v>0</v>
      </c>
      <c r="G1098" s="5">
        <f t="shared" si="70"/>
        <v>0</v>
      </c>
      <c r="H1098" s="5">
        <f t="shared" si="71"/>
        <v>0</v>
      </c>
    </row>
    <row r="1099" spans="1:8" x14ac:dyDescent="0.2">
      <c r="A1099" s="2">
        <v>1098</v>
      </c>
      <c r="B1099" s="5">
        <f t="shared" si="68"/>
        <v>0</v>
      </c>
      <c r="C1099" s="5">
        <f t="shared" si="69"/>
        <v>0</v>
      </c>
      <c r="D1099" s="5"/>
      <c r="E1099" s="5">
        <f>IF($B1099 &lt;= 0, 0, -ROUND($B1099 * (InterestRate / PaymentsPerYear), 2))</f>
        <v>0</v>
      </c>
      <c r="F1099" s="5">
        <f>ROUND(IFERROR(IF($B1099&lt;=0,0,
MAX(-$B1099, -(-PMT(InterestRate/PaymentsPerYear,LoanTerm*PaymentsPerYear,LoanAmount) + $E1099))), 0), 2)</f>
        <v>0</v>
      </c>
      <c r="G1099" s="5">
        <f t="shared" si="70"/>
        <v>0</v>
      </c>
      <c r="H1099" s="5">
        <f t="shared" si="71"/>
        <v>0</v>
      </c>
    </row>
    <row r="1100" spans="1:8" x14ac:dyDescent="0.2">
      <c r="A1100" s="2">
        <v>1099</v>
      </c>
      <c r="B1100" s="5">
        <f t="shared" si="68"/>
        <v>0</v>
      </c>
      <c r="C1100" s="5">
        <f t="shared" si="69"/>
        <v>0</v>
      </c>
      <c r="D1100" s="5"/>
      <c r="E1100" s="5">
        <f>IF($B1100 &lt;= 0, 0, -ROUND($B1100 * (InterestRate / PaymentsPerYear), 2))</f>
        <v>0</v>
      </c>
      <c r="F1100" s="5">
        <f>ROUND(IFERROR(IF($B1100&lt;=0,0,
MAX(-$B1100, -(-PMT(InterestRate/PaymentsPerYear,LoanTerm*PaymentsPerYear,LoanAmount) + $E1100))), 0), 2)</f>
        <v>0</v>
      </c>
      <c r="G1100" s="5">
        <f t="shared" si="70"/>
        <v>0</v>
      </c>
      <c r="H1100" s="5">
        <f t="shared" si="71"/>
        <v>0</v>
      </c>
    </row>
    <row r="1101" spans="1:8" x14ac:dyDescent="0.2">
      <c r="A1101" s="2">
        <v>1100</v>
      </c>
      <c r="B1101" s="5">
        <f t="shared" si="68"/>
        <v>0</v>
      </c>
      <c r="C1101" s="5">
        <f t="shared" si="69"/>
        <v>0</v>
      </c>
      <c r="D1101" s="5"/>
      <c r="E1101" s="5">
        <f>IF($B1101 &lt;= 0, 0, -ROUND($B1101 * (InterestRate / PaymentsPerYear), 2))</f>
        <v>0</v>
      </c>
      <c r="F1101" s="5">
        <f>ROUND(IFERROR(IF($B1101&lt;=0,0,
MAX(-$B1101, -(-PMT(InterestRate/PaymentsPerYear,LoanTerm*PaymentsPerYear,LoanAmount) + $E1101))), 0), 2)</f>
        <v>0</v>
      </c>
      <c r="G1101" s="5">
        <f t="shared" si="70"/>
        <v>0</v>
      </c>
      <c r="H1101" s="5">
        <f t="shared" si="71"/>
        <v>0</v>
      </c>
    </row>
    <row r="1102" spans="1:8" x14ac:dyDescent="0.2">
      <c r="A1102" s="2">
        <v>1101</v>
      </c>
      <c r="B1102" s="5">
        <f t="shared" si="68"/>
        <v>0</v>
      </c>
      <c r="C1102" s="5">
        <f t="shared" si="69"/>
        <v>0</v>
      </c>
      <c r="D1102" s="5"/>
      <c r="E1102" s="5">
        <f>IF($B1102 &lt;= 0, 0, -ROUND($B1102 * (InterestRate / PaymentsPerYear), 2))</f>
        <v>0</v>
      </c>
      <c r="F1102" s="5">
        <f>ROUND(IFERROR(IF($B1102&lt;=0,0,
MAX(-$B1102, -(-PMT(InterestRate/PaymentsPerYear,LoanTerm*PaymentsPerYear,LoanAmount) + $E1102))), 0), 2)</f>
        <v>0</v>
      </c>
      <c r="G1102" s="5">
        <f t="shared" si="70"/>
        <v>0</v>
      </c>
      <c r="H1102" s="5">
        <f t="shared" si="71"/>
        <v>0</v>
      </c>
    </row>
    <row r="1103" spans="1:8" x14ac:dyDescent="0.2">
      <c r="A1103" s="2">
        <v>1102</v>
      </c>
      <c r="B1103" s="5">
        <f t="shared" si="68"/>
        <v>0</v>
      </c>
      <c r="C1103" s="5">
        <f t="shared" si="69"/>
        <v>0</v>
      </c>
      <c r="D1103" s="5"/>
      <c r="E1103" s="5">
        <f>IF($B1103 &lt;= 0, 0, -ROUND($B1103 * (InterestRate / PaymentsPerYear), 2))</f>
        <v>0</v>
      </c>
      <c r="F1103" s="5">
        <f>ROUND(IFERROR(IF($B1103&lt;=0,0,
MAX(-$B1103, -(-PMT(InterestRate/PaymentsPerYear,LoanTerm*PaymentsPerYear,LoanAmount) + $E1103))), 0), 2)</f>
        <v>0</v>
      </c>
      <c r="G1103" s="5">
        <f t="shared" si="70"/>
        <v>0</v>
      </c>
      <c r="H1103" s="5">
        <f t="shared" si="71"/>
        <v>0</v>
      </c>
    </row>
    <row r="1104" spans="1:8" x14ac:dyDescent="0.2">
      <c r="A1104" s="2">
        <v>1103</v>
      </c>
      <c r="B1104" s="5">
        <f t="shared" si="68"/>
        <v>0</v>
      </c>
      <c r="C1104" s="5">
        <f t="shared" si="69"/>
        <v>0</v>
      </c>
      <c r="D1104" s="5"/>
      <c r="E1104" s="5">
        <f>IF($B1104 &lt;= 0, 0, -ROUND($B1104 * (InterestRate / PaymentsPerYear), 2))</f>
        <v>0</v>
      </c>
      <c r="F1104" s="5">
        <f>ROUND(IFERROR(IF($B1104&lt;=0,0,
MAX(-$B1104, -(-PMT(InterestRate/PaymentsPerYear,LoanTerm*PaymentsPerYear,LoanAmount) + $E1104))), 0), 2)</f>
        <v>0</v>
      </c>
      <c r="G1104" s="5">
        <f t="shared" si="70"/>
        <v>0</v>
      </c>
      <c r="H1104" s="5">
        <f t="shared" si="71"/>
        <v>0</v>
      </c>
    </row>
    <row r="1105" spans="1:8" x14ac:dyDescent="0.2">
      <c r="A1105" s="2">
        <v>1104</v>
      </c>
      <c r="B1105" s="5">
        <f t="shared" si="68"/>
        <v>0</v>
      </c>
      <c r="C1105" s="5">
        <f t="shared" si="69"/>
        <v>0</v>
      </c>
      <c r="D1105" s="5"/>
      <c r="E1105" s="5">
        <f>IF($B1105 &lt;= 0, 0, -ROUND($B1105 * (InterestRate / PaymentsPerYear), 2))</f>
        <v>0</v>
      </c>
      <c r="F1105" s="5">
        <f>ROUND(IFERROR(IF($B1105&lt;=0,0,
MAX(-$B1105, -(-PMT(InterestRate/PaymentsPerYear,LoanTerm*PaymentsPerYear,LoanAmount) + $E1105))), 0), 2)</f>
        <v>0</v>
      </c>
      <c r="G1105" s="5">
        <f t="shared" si="70"/>
        <v>0</v>
      </c>
      <c r="H1105" s="5">
        <f t="shared" si="71"/>
        <v>0</v>
      </c>
    </row>
    <row r="1106" spans="1:8" x14ac:dyDescent="0.2">
      <c r="A1106" s="2">
        <v>1105</v>
      </c>
      <c r="B1106" s="5">
        <f t="shared" si="68"/>
        <v>0</v>
      </c>
      <c r="C1106" s="5">
        <f t="shared" si="69"/>
        <v>0</v>
      </c>
      <c r="D1106" s="5"/>
      <c r="E1106" s="5">
        <f>IF($B1106 &lt;= 0, 0, -ROUND($B1106 * (InterestRate / PaymentsPerYear), 2))</f>
        <v>0</v>
      </c>
      <c r="F1106" s="5">
        <f>ROUND(IFERROR(IF($B1106&lt;=0,0,
MAX(-$B1106, -(-PMT(InterestRate/PaymentsPerYear,LoanTerm*PaymentsPerYear,LoanAmount) + $E1106))), 0), 2)</f>
        <v>0</v>
      </c>
      <c r="G1106" s="5">
        <f t="shared" si="70"/>
        <v>0</v>
      </c>
      <c r="H1106" s="5">
        <f t="shared" si="71"/>
        <v>0</v>
      </c>
    </row>
    <row r="1107" spans="1:8" x14ac:dyDescent="0.2">
      <c r="A1107" s="2">
        <v>1106</v>
      </c>
      <c r="B1107" s="5">
        <f t="shared" si="68"/>
        <v>0</v>
      </c>
      <c r="C1107" s="5">
        <f t="shared" si="69"/>
        <v>0</v>
      </c>
      <c r="D1107" s="5"/>
      <c r="E1107" s="5">
        <f>IF($B1107 &lt;= 0, 0, -ROUND($B1107 * (InterestRate / PaymentsPerYear), 2))</f>
        <v>0</v>
      </c>
      <c r="F1107" s="5">
        <f>ROUND(IFERROR(IF($B1107&lt;=0,0,
MAX(-$B1107, -(-PMT(InterestRate/PaymentsPerYear,LoanTerm*PaymentsPerYear,LoanAmount) + $E1107))), 0), 2)</f>
        <v>0</v>
      </c>
      <c r="G1107" s="5">
        <f t="shared" si="70"/>
        <v>0</v>
      </c>
      <c r="H1107" s="5">
        <f t="shared" si="71"/>
        <v>0</v>
      </c>
    </row>
    <row r="1108" spans="1:8" x14ac:dyDescent="0.2">
      <c r="A1108" s="2">
        <v>1107</v>
      </c>
      <c r="B1108" s="5">
        <f t="shared" si="68"/>
        <v>0</v>
      </c>
      <c r="C1108" s="5">
        <f t="shared" si="69"/>
        <v>0</v>
      </c>
      <c r="D1108" s="5"/>
      <c r="E1108" s="5">
        <f>IF($B1108 &lt;= 0, 0, -ROUND($B1108 * (InterestRate / PaymentsPerYear), 2))</f>
        <v>0</v>
      </c>
      <c r="F1108" s="5">
        <f>ROUND(IFERROR(IF($B1108&lt;=0,0,
MAX(-$B1108, -(-PMT(InterestRate/PaymentsPerYear,LoanTerm*PaymentsPerYear,LoanAmount) + $E1108))), 0), 2)</f>
        <v>0</v>
      </c>
      <c r="G1108" s="5">
        <f t="shared" si="70"/>
        <v>0</v>
      </c>
      <c r="H1108" s="5">
        <f t="shared" si="71"/>
        <v>0</v>
      </c>
    </row>
    <row r="1109" spans="1:8" x14ac:dyDescent="0.2">
      <c r="A1109" s="2">
        <v>1108</v>
      </c>
      <c r="B1109" s="5">
        <f t="shared" si="68"/>
        <v>0</v>
      </c>
      <c r="C1109" s="5">
        <f t="shared" si="69"/>
        <v>0</v>
      </c>
      <c r="D1109" s="5"/>
      <c r="E1109" s="5">
        <f>IF($B1109 &lt;= 0, 0, -ROUND($B1109 * (InterestRate / PaymentsPerYear), 2))</f>
        <v>0</v>
      </c>
      <c r="F1109" s="5">
        <f>ROUND(IFERROR(IF($B1109&lt;=0,0,
MAX(-$B1109, -(-PMT(InterestRate/PaymentsPerYear,LoanTerm*PaymentsPerYear,LoanAmount) + $E1109))), 0), 2)</f>
        <v>0</v>
      </c>
      <c r="G1109" s="5">
        <f t="shared" si="70"/>
        <v>0</v>
      </c>
      <c r="H1109" s="5">
        <f t="shared" si="71"/>
        <v>0</v>
      </c>
    </row>
    <row r="1110" spans="1:8" x14ac:dyDescent="0.2">
      <c r="A1110" s="2">
        <v>1109</v>
      </c>
      <c r="B1110" s="5">
        <f t="shared" si="68"/>
        <v>0</v>
      </c>
      <c r="C1110" s="5">
        <f t="shared" si="69"/>
        <v>0</v>
      </c>
      <c r="D1110" s="5"/>
      <c r="E1110" s="5">
        <f>IF($B1110 &lt;= 0, 0, -ROUND($B1110 * (InterestRate / PaymentsPerYear), 2))</f>
        <v>0</v>
      </c>
      <c r="F1110" s="5">
        <f>ROUND(IFERROR(IF($B1110&lt;=0,0,
MAX(-$B1110, -(-PMT(InterestRate/PaymentsPerYear,LoanTerm*PaymentsPerYear,LoanAmount) + $E1110))), 0), 2)</f>
        <v>0</v>
      </c>
      <c r="G1110" s="5">
        <f t="shared" si="70"/>
        <v>0</v>
      </c>
      <c r="H1110" s="5">
        <f t="shared" si="71"/>
        <v>0</v>
      </c>
    </row>
    <row r="1111" spans="1:8" x14ac:dyDescent="0.2">
      <c r="A1111" s="2">
        <v>1110</v>
      </c>
      <c r="B1111" s="5">
        <f t="shared" si="68"/>
        <v>0</v>
      </c>
      <c r="C1111" s="5">
        <f t="shared" si="69"/>
        <v>0</v>
      </c>
      <c r="D1111" s="5"/>
      <c r="E1111" s="5">
        <f>IF($B1111 &lt;= 0, 0, -ROUND($B1111 * (InterestRate / PaymentsPerYear), 2))</f>
        <v>0</v>
      </c>
      <c r="F1111" s="5">
        <f>ROUND(IFERROR(IF($B1111&lt;=0,0,
MAX(-$B1111, -(-PMT(InterestRate/PaymentsPerYear,LoanTerm*PaymentsPerYear,LoanAmount) + $E1111))), 0), 2)</f>
        <v>0</v>
      </c>
      <c r="G1111" s="5">
        <f t="shared" si="70"/>
        <v>0</v>
      </c>
      <c r="H1111" s="5">
        <f t="shared" si="71"/>
        <v>0</v>
      </c>
    </row>
    <row r="1112" spans="1:8" x14ac:dyDescent="0.2">
      <c r="A1112" s="2">
        <v>1111</v>
      </c>
      <c r="B1112" s="5">
        <f t="shared" si="68"/>
        <v>0</v>
      </c>
      <c r="C1112" s="5">
        <f t="shared" si="69"/>
        <v>0</v>
      </c>
      <c r="D1112" s="5"/>
      <c r="E1112" s="5">
        <f>IF($B1112 &lt;= 0, 0, -ROUND($B1112 * (InterestRate / PaymentsPerYear), 2))</f>
        <v>0</v>
      </c>
      <c r="F1112" s="5">
        <f>ROUND(IFERROR(IF($B1112&lt;=0,0,
MAX(-$B1112, -(-PMT(InterestRate/PaymentsPerYear,LoanTerm*PaymentsPerYear,LoanAmount) + $E1112))), 0), 2)</f>
        <v>0</v>
      </c>
      <c r="G1112" s="5">
        <f t="shared" si="70"/>
        <v>0</v>
      </c>
      <c r="H1112" s="5">
        <f t="shared" si="71"/>
        <v>0</v>
      </c>
    </row>
    <row r="1113" spans="1:8" x14ac:dyDescent="0.2">
      <c r="A1113" s="2">
        <v>1112</v>
      </c>
      <c r="B1113" s="5">
        <f t="shared" si="68"/>
        <v>0</v>
      </c>
      <c r="C1113" s="5">
        <f t="shared" si="69"/>
        <v>0</v>
      </c>
      <c r="D1113" s="5"/>
      <c r="E1113" s="5">
        <f>IF($B1113 &lt;= 0, 0, -ROUND($B1113 * (InterestRate / PaymentsPerYear), 2))</f>
        <v>0</v>
      </c>
      <c r="F1113" s="5">
        <f>ROUND(IFERROR(IF($B1113&lt;=0,0,
MAX(-$B1113, -(-PMT(InterestRate/PaymentsPerYear,LoanTerm*PaymentsPerYear,LoanAmount) + $E1113))), 0), 2)</f>
        <v>0</v>
      </c>
      <c r="G1113" s="5">
        <f t="shared" si="70"/>
        <v>0</v>
      </c>
      <c r="H1113" s="5">
        <f t="shared" si="71"/>
        <v>0</v>
      </c>
    </row>
    <row r="1114" spans="1:8" x14ac:dyDescent="0.2">
      <c r="A1114" s="2">
        <v>1113</v>
      </c>
      <c r="B1114" s="5">
        <f t="shared" si="68"/>
        <v>0</v>
      </c>
      <c r="C1114" s="5">
        <f t="shared" si="69"/>
        <v>0</v>
      </c>
      <c r="D1114" s="5"/>
      <c r="E1114" s="5">
        <f>IF($B1114 &lt;= 0, 0, -ROUND($B1114 * (InterestRate / PaymentsPerYear), 2))</f>
        <v>0</v>
      </c>
      <c r="F1114" s="5">
        <f>ROUND(IFERROR(IF($B1114&lt;=0,0,
MAX(-$B1114, -(-PMT(InterestRate/PaymentsPerYear,LoanTerm*PaymentsPerYear,LoanAmount) + $E1114))), 0), 2)</f>
        <v>0</v>
      </c>
      <c r="G1114" s="5">
        <f t="shared" si="70"/>
        <v>0</v>
      </c>
      <c r="H1114" s="5">
        <f t="shared" si="71"/>
        <v>0</v>
      </c>
    </row>
    <row r="1115" spans="1:8" x14ac:dyDescent="0.2">
      <c r="A1115" s="2">
        <v>1114</v>
      </c>
      <c r="B1115" s="5">
        <f t="shared" si="68"/>
        <v>0</v>
      </c>
      <c r="C1115" s="5">
        <f t="shared" si="69"/>
        <v>0</v>
      </c>
      <c r="D1115" s="5"/>
      <c r="E1115" s="5">
        <f>IF($B1115 &lt;= 0, 0, -ROUND($B1115 * (InterestRate / PaymentsPerYear), 2))</f>
        <v>0</v>
      </c>
      <c r="F1115" s="5">
        <f>ROUND(IFERROR(IF($B1115&lt;=0,0,
MAX(-$B1115, -(-PMT(InterestRate/PaymentsPerYear,LoanTerm*PaymentsPerYear,LoanAmount) + $E1115))), 0), 2)</f>
        <v>0</v>
      </c>
      <c r="G1115" s="5">
        <f t="shared" si="70"/>
        <v>0</v>
      </c>
      <c r="H1115" s="5">
        <f t="shared" si="71"/>
        <v>0</v>
      </c>
    </row>
    <row r="1116" spans="1:8" x14ac:dyDescent="0.2">
      <c r="A1116" s="2">
        <v>1115</v>
      </c>
      <c r="B1116" s="5">
        <f t="shared" si="68"/>
        <v>0</v>
      </c>
      <c r="C1116" s="5">
        <f t="shared" si="69"/>
        <v>0</v>
      </c>
      <c r="D1116" s="5"/>
      <c r="E1116" s="5">
        <f>IF($B1116 &lt;= 0, 0, -ROUND($B1116 * (InterestRate / PaymentsPerYear), 2))</f>
        <v>0</v>
      </c>
      <c r="F1116" s="5">
        <f>ROUND(IFERROR(IF($B1116&lt;=0,0,
MAX(-$B1116, -(-PMT(InterestRate/PaymentsPerYear,LoanTerm*PaymentsPerYear,LoanAmount) + $E1116))), 0), 2)</f>
        <v>0</v>
      </c>
      <c r="G1116" s="5">
        <f t="shared" si="70"/>
        <v>0</v>
      </c>
      <c r="H1116" s="5">
        <f t="shared" si="71"/>
        <v>0</v>
      </c>
    </row>
    <row r="1117" spans="1:8" x14ac:dyDescent="0.2">
      <c r="A1117" s="2">
        <v>1116</v>
      </c>
      <c r="B1117" s="5">
        <f t="shared" si="68"/>
        <v>0</v>
      </c>
      <c r="C1117" s="5">
        <f t="shared" si="69"/>
        <v>0</v>
      </c>
      <c r="D1117" s="5"/>
      <c r="E1117" s="5">
        <f>IF($B1117 &lt;= 0, 0, -ROUND($B1117 * (InterestRate / PaymentsPerYear), 2))</f>
        <v>0</v>
      </c>
      <c r="F1117" s="5">
        <f>ROUND(IFERROR(IF($B1117&lt;=0,0,
MAX(-$B1117, -(-PMT(InterestRate/PaymentsPerYear,LoanTerm*PaymentsPerYear,LoanAmount) + $E1117))), 0), 2)</f>
        <v>0</v>
      </c>
      <c r="G1117" s="5">
        <f t="shared" si="70"/>
        <v>0</v>
      </c>
      <c r="H1117" s="5">
        <f t="shared" si="71"/>
        <v>0</v>
      </c>
    </row>
    <row r="1118" spans="1:8" x14ac:dyDescent="0.2">
      <c r="A1118" s="2">
        <v>1117</v>
      </c>
      <c r="B1118" s="5">
        <f t="shared" si="68"/>
        <v>0</v>
      </c>
      <c r="C1118" s="5">
        <f t="shared" si="69"/>
        <v>0</v>
      </c>
      <c r="D1118" s="5"/>
      <c r="E1118" s="5">
        <f>IF($B1118 &lt;= 0, 0, -ROUND($B1118 * (InterestRate / PaymentsPerYear), 2))</f>
        <v>0</v>
      </c>
      <c r="F1118" s="5">
        <f>ROUND(IFERROR(IF($B1118&lt;=0,0,
MAX(-$B1118, -(-PMT(InterestRate/PaymentsPerYear,LoanTerm*PaymentsPerYear,LoanAmount) + $E1118))), 0), 2)</f>
        <v>0</v>
      </c>
      <c r="G1118" s="5">
        <f t="shared" si="70"/>
        <v>0</v>
      </c>
      <c r="H1118" s="5">
        <f t="shared" si="71"/>
        <v>0</v>
      </c>
    </row>
    <row r="1119" spans="1:8" x14ac:dyDescent="0.2">
      <c r="A1119" s="2">
        <v>1118</v>
      </c>
      <c r="B1119" s="5">
        <f t="shared" si="68"/>
        <v>0</v>
      </c>
      <c r="C1119" s="5">
        <f t="shared" si="69"/>
        <v>0</v>
      </c>
      <c r="D1119" s="5"/>
      <c r="E1119" s="5">
        <f>IF($B1119 &lt;= 0, 0, -ROUND($B1119 * (InterestRate / PaymentsPerYear), 2))</f>
        <v>0</v>
      </c>
      <c r="F1119" s="5">
        <f>ROUND(IFERROR(IF($B1119&lt;=0,0,
MAX(-$B1119, -(-PMT(InterestRate/PaymentsPerYear,LoanTerm*PaymentsPerYear,LoanAmount) + $E1119))), 0), 2)</f>
        <v>0</v>
      </c>
      <c r="G1119" s="5">
        <f t="shared" si="70"/>
        <v>0</v>
      </c>
      <c r="H1119" s="5">
        <f t="shared" si="71"/>
        <v>0</v>
      </c>
    </row>
    <row r="1120" spans="1:8" x14ac:dyDescent="0.2">
      <c r="A1120" s="2">
        <v>1119</v>
      </c>
      <c r="B1120" s="5">
        <f t="shared" si="68"/>
        <v>0</v>
      </c>
      <c r="C1120" s="5">
        <f t="shared" si="69"/>
        <v>0</v>
      </c>
      <c r="D1120" s="5"/>
      <c r="E1120" s="5">
        <f>IF($B1120 &lt;= 0, 0, -ROUND($B1120 * (InterestRate / PaymentsPerYear), 2))</f>
        <v>0</v>
      </c>
      <c r="F1120" s="5">
        <f>ROUND(IFERROR(IF($B1120&lt;=0,0,
MAX(-$B1120, -(-PMT(InterestRate/PaymentsPerYear,LoanTerm*PaymentsPerYear,LoanAmount) + $E1120))), 0), 2)</f>
        <v>0</v>
      </c>
      <c r="G1120" s="5">
        <f t="shared" si="70"/>
        <v>0</v>
      </c>
      <c r="H1120" s="5">
        <f t="shared" si="71"/>
        <v>0</v>
      </c>
    </row>
    <row r="1121" spans="1:8" x14ac:dyDescent="0.2">
      <c r="A1121" s="2">
        <v>1120</v>
      </c>
      <c r="B1121" s="5">
        <f t="shared" si="68"/>
        <v>0</v>
      </c>
      <c r="C1121" s="5">
        <f t="shared" si="69"/>
        <v>0</v>
      </c>
      <c r="D1121" s="5"/>
      <c r="E1121" s="5">
        <f>IF($B1121 &lt;= 0, 0, -ROUND($B1121 * (InterestRate / PaymentsPerYear), 2))</f>
        <v>0</v>
      </c>
      <c r="F1121" s="5">
        <f>ROUND(IFERROR(IF($B1121&lt;=0,0,
MAX(-$B1121, -(-PMT(InterestRate/PaymentsPerYear,LoanTerm*PaymentsPerYear,LoanAmount) + $E1121))), 0), 2)</f>
        <v>0</v>
      </c>
      <c r="G1121" s="5">
        <f t="shared" si="70"/>
        <v>0</v>
      </c>
      <c r="H1121" s="5">
        <f t="shared" si="71"/>
        <v>0</v>
      </c>
    </row>
    <row r="1122" spans="1:8" x14ac:dyDescent="0.2">
      <c r="A1122" s="2">
        <v>1121</v>
      </c>
      <c r="B1122" s="5">
        <f t="shared" si="68"/>
        <v>0</v>
      </c>
      <c r="C1122" s="5">
        <f t="shared" si="69"/>
        <v>0</v>
      </c>
      <c r="D1122" s="5"/>
      <c r="E1122" s="5">
        <f>IF($B1122 &lt;= 0, 0, -ROUND($B1122 * (InterestRate / PaymentsPerYear), 2))</f>
        <v>0</v>
      </c>
      <c r="F1122" s="5">
        <f>ROUND(IFERROR(IF($B1122&lt;=0,0,
MAX(-$B1122, -(-PMT(InterestRate/PaymentsPerYear,LoanTerm*PaymentsPerYear,LoanAmount) + $E1122))), 0), 2)</f>
        <v>0</v>
      </c>
      <c r="G1122" s="5">
        <f t="shared" si="70"/>
        <v>0</v>
      </c>
      <c r="H1122" s="5">
        <f t="shared" si="71"/>
        <v>0</v>
      </c>
    </row>
    <row r="1123" spans="1:8" x14ac:dyDescent="0.2">
      <c r="A1123" s="2">
        <v>1122</v>
      </c>
      <c r="B1123" s="5">
        <f t="shared" si="68"/>
        <v>0</v>
      </c>
      <c r="C1123" s="5">
        <f t="shared" si="69"/>
        <v>0</v>
      </c>
      <c r="D1123" s="5"/>
      <c r="E1123" s="5">
        <f>IF($B1123 &lt;= 0, 0, -ROUND($B1123 * (InterestRate / PaymentsPerYear), 2))</f>
        <v>0</v>
      </c>
      <c r="F1123" s="5">
        <f>ROUND(IFERROR(IF($B1123&lt;=0,0,
MAX(-$B1123, -(-PMT(InterestRate/PaymentsPerYear,LoanTerm*PaymentsPerYear,LoanAmount) + $E1123))), 0), 2)</f>
        <v>0</v>
      </c>
      <c r="G1123" s="5">
        <f t="shared" si="70"/>
        <v>0</v>
      </c>
      <c r="H1123" s="5">
        <f t="shared" si="71"/>
        <v>0</v>
      </c>
    </row>
    <row r="1124" spans="1:8" x14ac:dyDescent="0.2">
      <c r="A1124" s="2">
        <v>1123</v>
      </c>
      <c r="B1124" s="5">
        <f t="shared" si="68"/>
        <v>0</v>
      </c>
      <c r="C1124" s="5">
        <f t="shared" si="69"/>
        <v>0</v>
      </c>
      <c r="D1124" s="5"/>
      <c r="E1124" s="5">
        <f>IF($B1124 &lt;= 0, 0, -ROUND($B1124 * (InterestRate / PaymentsPerYear), 2))</f>
        <v>0</v>
      </c>
      <c r="F1124" s="5">
        <f>ROUND(IFERROR(IF($B1124&lt;=0,0,
MAX(-$B1124, -(-PMT(InterestRate/PaymentsPerYear,LoanTerm*PaymentsPerYear,LoanAmount) + $E1124))), 0), 2)</f>
        <v>0</v>
      </c>
      <c r="G1124" s="5">
        <f t="shared" si="70"/>
        <v>0</v>
      </c>
      <c r="H1124" s="5">
        <f t="shared" si="71"/>
        <v>0</v>
      </c>
    </row>
    <row r="1125" spans="1:8" x14ac:dyDescent="0.2">
      <c r="A1125" s="2">
        <v>1124</v>
      </c>
      <c r="B1125" s="5">
        <f t="shared" si="68"/>
        <v>0</v>
      </c>
      <c r="C1125" s="5">
        <f t="shared" si="69"/>
        <v>0</v>
      </c>
      <c r="D1125" s="5"/>
      <c r="E1125" s="5">
        <f>IF($B1125 &lt;= 0, 0, -ROUND($B1125 * (InterestRate / PaymentsPerYear), 2))</f>
        <v>0</v>
      </c>
      <c r="F1125" s="5">
        <f>ROUND(IFERROR(IF($B1125&lt;=0,0,
MAX(-$B1125, -(-PMT(InterestRate/PaymentsPerYear,LoanTerm*PaymentsPerYear,LoanAmount) + $E1125))), 0), 2)</f>
        <v>0</v>
      </c>
      <c r="G1125" s="5">
        <f t="shared" si="70"/>
        <v>0</v>
      </c>
      <c r="H1125" s="5">
        <f t="shared" si="71"/>
        <v>0</v>
      </c>
    </row>
    <row r="1126" spans="1:8" x14ac:dyDescent="0.2">
      <c r="A1126" s="2">
        <v>1125</v>
      </c>
      <c r="B1126" s="5">
        <f t="shared" si="68"/>
        <v>0</v>
      </c>
      <c r="C1126" s="5">
        <f t="shared" si="69"/>
        <v>0</v>
      </c>
      <c r="D1126" s="5"/>
      <c r="E1126" s="5">
        <f>IF($B1126 &lt;= 0, 0, -ROUND($B1126 * (InterestRate / PaymentsPerYear), 2))</f>
        <v>0</v>
      </c>
      <c r="F1126" s="5">
        <f>ROUND(IFERROR(IF($B1126&lt;=0,0,
MAX(-$B1126, -(-PMT(InterestRate/PaymentsPerYear,LoanTerm*PaymentsPerYear,LoanAmount) + $E1126))), 0), 2)</f>
        <v>0</v>
      </c>
      <c r="G1126" s="5">
        <f t="shared" si="70"/>
        <v>0</v>
      </c>
      <c r="H1126" s="5">
        <f t="shared" si="71"/>
        <v>0</v>
      </c>
    </row>
    <row r="1127" spans="1:8" x14ac:dyDescent="0.2">
      <c r="A1127" s="2">
        <v>1126</v>
      </c>
      <c r="B1127" s="5">
        <f t="shared" si="68"/>
        <v>0</v>
      </c>
      <c r="C1127" s="5">
        <f t="shared" si="69"/>
        <v>0</v>
      </c>
      <c r="D1127" s="5"/>
      <c r="E1127" s="5">
        <f>IF($B1127 &lt;= 0, 0, -ROUND($B1127 * (InterestRate / PaymentsPerYear), 2))</f>
        <v>0</v>
      </c>
      <c r="F1127" s="5">
        <f>ROUND(IFERROR(IF($B1127&lt;=0,0,
MAX(-$B1127, -(-PMT(InterestRate/PaymentsPerYear,LoanTerm*PaymentsPerYear,LoanAmount) + $E1127))), 0), 2)</f>
        <v>0</v>
      </c>
      <c r="G1127" s="5">
        <f t="shared" si="70"/>
        <v>0</v>
      </c>
      <c r="H1127" s="5">
        <f t="shared" si="71"/>
        <v>0</v>
      </c>
    </row>
    <row r="1128" spans="1:8" x14ac:dyDescent="0.2">
      <c r="A1128" s="2">
        <v>1127</v>
      </c>
      <c r="B1128" s="5">
        <f t="shared" si="68"/>
        <v>0</v>
      </c>
      <c r="C1128" s="5">
        <f t="shared" si="69"/>
        <v>0</v>
      </c>
      <c r="D1128" s="5"/>
      <c r="E1128" s="5">
        <f>IF($B1128 &lt;= 0, 0, -ROUND($B1128 * (InterestRate / PaymentsPerYear), 2))</f>
        <v>0</v>
      </c>
      <c r="F1128" s="5">
        <f>ROUND(IFERROR(IF($B1128&lt;=0,0,
MAX(-$B1128, -(-PMT(InterestRate/PaymentsPerYear,LoanTerm*PaymentsPerYear,LoanAmount) + $E1128))), 0), 2)</f>
        <v>0</v>
      </c>
      <c r="G1128" s="5">
        <f t="shared" si="70"/>
        <v>0</v>
      </c>
      <c r="H1128" s="5">
        <f t="shared" si="71"/>
        <v>0</v>
      </c>
    </row>
    <row r="1129" spans="1:8" x14ac:dyDescent="0.2">
      <c r="A1129" s="2">
        <v>1128</v>
      </c>
      <c r="B1129" s="5">
        <f t="shared" si="68"/>
        <v>0</v>
      </c>
      <c r="C1129" s="5">
        <f t="shared" si="69"/>
        <v>0</v>
      </c>
      <c r="D1129" s="5"/>
      <c r="E1129" s="5">
        <f>IF($B1129 &lt;= 0, 0, -ROUND($B1129 * (InterestRate / PaymentsPerYear), 2))</f>
        <v>0</v>
      </c>
      <c r="F1129" s="5">
        <f>ROUND(IFERROR(IF($B1129&lt;=0,0,
MAX(-$B1129, -(-PMT(InterestRate/PaymentsPerYear,LoanTerm*PaymentsPerYear,LoanAmount) + $E1129))), 0), 2)</f>
        <v>0</v>
      </c>
      <c r="G1129" s="5">
        <f t="shared" si="70"/>
        <v>0</v>
      </c>
      <c r="H1129" s="5">
        <f t="shared" si="71"/>
        <v>0</v>
      </c>
    </row>
    <row r="1130" spans="1:8" x14ac:dyDescent="0.2">
      <c r="A1130" s="2">
        <v>1129</v>
      </c>
      <c r="B1130" s="5">
        <f t="shared" si="68"/>
        <v>0</v>
      </c>
      <c r="C1130" s="5">
        <f t="shared" si="69"/>
        <v>0</v>
      </c>
      <c r="D1130" s="5"/>
      <c r="E1130" s="5">
        <f>IF($B1130 &lt;= 0, 0, -ROUND($B1130 * (InterestRate / PaymentsPerYear), 2))</f>
        <v>0</v>
      </c>
      <c r="F1130" s="5">
        <f>ROUND(IFERROR(IF($B1130&lt;=0,0,
MAX(-$B1130, -(-PMT(InterestRate/PaymentsPerYear,LoanTerm*PaymentsPerYear,LoanAmount) + $E1130))), 0), 2)</f>
        <v>0</v>
      </c>
      <c r="G1130" s="5">
        <f t="shared" si="70"/>
        <v>0</v>
      </c>
      <c r="H1130" s="5">
        <f t="shared" si="71"/>
        <v>0</v>
      </c>
    </row>
    <row r="1131" spans="1:8" x14ac:dyDescent="0.2">
      <c r="A1131" s="2">
        <v>1130</v>
      </c>
      <c r="B1131" s="5">
        <f t="shared" si="68"/>
        <v>0</v>
      </c>
      <c r="C1131" s="5">
        <f t="shared" si="69"/>
        <v>0</v>
      </c>
      <c r="D1131" s="5"/>
      <c r="E1131" s="5">
        <f>IF($B1131 &lt;= 0, 0, -ROUND($B1131 * (InterestRate / PaymentsPerYear), 2))</f>
        <v>0</v>
      </c>
      <c r="F1131" s="5">
        <f>ROUND(IFERROR(IF($B1131&lt;=0,0,
MAX(-$B1131, -(-PMT(InterestRate/PaymentsPerYear,LoanTerm*PaymentsPerYear,LoanAmount) + $E1131))), 0), 2)</f>
        <v>0</v>
      </c>
      <c r="G1131" s="5">
        <f t="shared" si="70"/>
        <v>0</v>
      </c>
      <c r="H1131" s="5">
        <f t="shared" si="71"/>
        <v>0</v>
      </c>
    </row>
    <row r="1132" spans="1:8" x14ac:dyDescent="0.2">
      <c r="A1132" s="2">
        <v>1131</v>
      </c>
      <c r="B1132" s="5">
        <f t="shared" si="68"/>
        <v>0</v>
      </c>
      <c r="C1132" s="5">
        <f t="shared" si="69"/>
        <v>0</v>
      </c>
      <c r="D1132" s="5"/>
      <c r="E1132" s="5">
        <f>IF($B1132 &lt;= 0, 0, -ROUND($B1132 * (InterestRate / PaymentsPerYear), 2))</f>
        <v>0</v>
      </c>
      <c r="F1132" s="5">
        <f>ROUND(IFERROR(IF($B1132&lt;=0,0,
MAX(-$B1132, -(-PMT(InterestRate/PaymentsPerYear,LoanTerm*PaymentsPerYear,LoanAmount) + $E1132))), 0), 2)</f>
        <v>0</v>
      </c>
      <c r="G1132" s="5">
        <f t="shared" si="70"/>
        <v>0</v>
      </c>
      <c r="H1132" s="5">
        <f t="shared" si="71"/>
        <v>0</v>
      </c>
    </row>
    <row r="1133" spans="1:8" x14ac:dyDescent="0.2">
      <c r="A1133" s="2">
        <v>1132</v>
      </c>
      <c r="B1133" s="5">
        <f t="shared" si="68"/>
        <v>0</v>
      </c>
      <c r="C1133" s="5">
        <f t="shared" si="69"/>
        <v>0</v>
      </c>
      <c r="D1133" s="5"/>
      <c r="E1133" s="5">
        <f>IF($B1133 &lt;= 0, 0, -ROUND($B1133 * (InterestRate / PaymentsPerYear), 2))</f>
        <v>0</v>
      </c>
      <c r="F1133" s="5">
        <f>ROUND(IFERROR(IF($B1133&lt;=0,0,
MAX(-$B1133, -(-PMT(InterestRate/PaymentsPerYear,LoanTerm*PaymentsPerYear,LoanAmount) + $E1133))), 0), 2)</f>
        <v>0</v>
      </c>
      <c r="G1133" s="5">
        <f t="shared" si="70"/>
        <v>0</v>
      </c>
      <c r="H1133" s="5">
        <f t="shared" si="71"/>
        <v>0</v>
      </c>
    </row>
    <row r="1134" spans="1:8" x14ac:dyDescent="0.2">
      <c r="A1134" s="2">
        <v>1133</v>
      </c>
      <c r="B1134" s="5">
        <f t="shared" si="68"/>
        <v>0</v>
      </c>
      <c r="C1134" s="5">
        <f t="shared" si="69"/>
        <v>0</v>
      </c>
      <c r="D1134" s="5"/>
      <c r="E1134" s="5">
        <f>IF($B1134 &lt;= 0, 0, -ROUND($B1134 * (InterestRate / PaymentsPerYear), 2))</f>
        <v>0</v>
      </c>
      <c r="F1134" s="5">
        <f>ROUND(IFERROR(IF($B1134&lt;=0,0,
MAX(-$B1134, -(-PMT(InterestRate/PaymentsPerYear,LoanTerm*PaymentsPerYear,LoanAmount) + $E1134))), 0), 2)</f>
        <v>0</v>
      </c>
      <c r="G1134" s="5">
        <f t="shared" si="70"/>
        <v>0</v>
      </c>
      <c r="H1134" s="5">
        <f t="shared" si="71"/>
        <v>0</v>
      </c>
    </row>
    <row r="1135" spans="1:8" x14ac:dyDescent="0.2">
      <c r="A1135" s="2">
        <v>1134</v>
      </c>
      <c r="B1135" s="5">
        <f t="shared" si="68"/>
        <v>0</v>
      </c>
      <c r="C1135" s="5">
        <f t="shared" si="69"/>
        <v>0</v>
      </c>
      <c r="D1135" s="5"/>
      <c r="E1135" s="5">
        <f>IF($B1135 &lt;= 0, 0, -ROUND($B1135 * (InterestRate / PaymentsPerYear), 2))</f>
        <v>0</v>
      </c>
      <c r="F1135" s="5">
        <f>ROUND(IFERROR(IF($B1135&lt;=0,0,
MAX(-$B1135, -(-PMT(InterestRate/PaymentsPerYear,LoanTerm*PaymentsPerYear,LoanAmount) + $E1135))), 0), 2)</f>
        <v>0</v>
      </c>
      <c r="G1135" s="5">
        <f t="shared" si="70"/>
        <v>0</v>
      </c>
      <c r="H1135" s="5">
        <f t="shared" si="71"/>
        <v>0</v>
      </c>
    </row>
    <row r="1136" spans="1:8" x14ac:dyDescent="0.2">
      <c r="A1136" s="2">
        <v>1135</v>
      </c>
      <c r="B1136" s="5">
        <f t="shared" si="68"/>
        <v>0</v>
      </c>
      <c r="C1136" s="5">
        <f t="shared" si="69"/>
        <v>0</v>
      </c>
      <c r="D1136" s="5"/>
      <c r="E1136" s="5">
        <f>IF($B1136 &lt;= 0, 0, -ROUND($B1136 * (InterestRate / PaymentsPerYear), 2))</f>
        <v>0</v>
      </c>
      <c r="F1136" s="5">
        <f>ROUND(IFERROR(IF($B1136&lt;=0,0,
MAX(-$B1136, -(-PMT(InterestRate/PaymentsPerYear,LoanTerm*PaymentsPerYear,LoanAmount) + $E1136))), 0), 2)</f>
        <v>0</v>
      </c>
      <c r="G1136" s="5">
        <f t="shared" si="70"/>
        <v>0</v>
      </c>
      <c r="H1136" s="5">
        <f t="shared" si="71"/>
        <v>0</v>
      </c>
    </row>
    <row r="1137" spans="1:8" x14ac:dyDescent="0.2">
      <c r="A1137" s="2">
        <v>1136</v>
      </c>
      <c r="B1137" s="5">
        <f t="shared" si="68"/>
        <v>0</v>
      </c>
      <c r="C1137" s="5">
        <f t="shared" si="69"/>
        <v>0</v>
      </c>
      <c r="D1137" s="5"/>
      <c r="E1137" s="5">
        <f>IF($B1137 &lt;= 0, 0, -ROUND($B1137 * (InterestRate / PaymentsPerYear), 2))</f>
        <v>0</v>
      </c>
      <c r="F1137" s="5">
        <f>ROUND(IFERROR(IF($B1137&lt;=0,0,
MAX(-$B1137, -(-PMT(InterestRate/PaymentsPerYear,LoanTerm*PaymentsPerYear,LoanAmount) + $E1137))), 0), 2)</f>
        <v>0</v>
      </c>
      <c r="G1137" s="5">
        <f t="shared" si="70"/>
        <v>0</v>
      </c>
      <c r="H1137" s="5">
        <f t="shared" si="71"/>
        <v>0</v>
      </c>
    </row>
    <row r="1138" spans="1:8" x14ac:dyDescent="0.2">
      <c r="A1138" s="2">
        <v>1137</v>
      </c>
      <c r="B1138" s="5">
        <f t="shared" si="68"/>
        <v>0</v>
      </c>
      <c r="C1138" s="5">
        <f t="shared" si="69"/>
        <v>0</v>
      </c>
      <c r="D1138" s="5"/>
      <c r="E1138" s="5">
        <f>IF($B1138 &lt;= 0, 0, -ROUND($B1138 * (InterestRate / PaymentsPerYear), 2))</f>
        <v>0</v>
      </c>
      <c r="F1138" s="5">
        <f>ROUND(IFERROR(IF($B1138&lt;=0,0,
MAX(-$B1138, -(-PMT(InterestRate/PaymentsPerYear,LoanTerm*PaymentsPerYear,LoanAmount) + $E1138))), 0), 2)</f>
        <v>0</v>
      </c>
      <c r="G1138" s="5">
        <f t="shared" si="70"/>
        <v>0</v>
      </c>
      <c r="H1138" s="5">
        <f t="shared" si="71"/>
        <v>0</v>
      </c>
    </row>
    <row r="1139" spans="1:8" x14ac:dyDescent="0.2">
      <c r="A1139" s="2">
        <v>1138</v>
      </c>
      <c r="B1139" s="5">
        <f t="shared" si="68"/>
        <v>0</v>
      </c>
      <c r="C1139" s="5">
        <f t="shared" si="69"/>
        <v>0</v>
      </c>
      <c r="D1139" s="5"/>
      <c r="E1139" s="5">
        <f>IF($B1139 &lt;= 0, 0, -ROUND($B1139 * (InterestRate / PaymentsPerYear), 2))</f>
        <v>0</v>
      </c>
      <c r="F1139" s="5">
        <f>ROUND(IFERROR(IF($B1139&lt;=0,0,
MAX(-$B1139, -(-PMT(InterestRate/PaymentsPerYear,LoanTerm*PaymentsPerYear,LoanAmount) + $E1139))), 0), 2)</f>
        <v>0</v>
      </c>
      <c r="G1139" s="5">
        <f t="shared" si="70"/>
        <v>0</v>
      </c>
      <c r="H1139" s="5">
        <f t="shared" si="71"/>
        <v>0</v>
      </c>
    </row>
    <row r="1140" spans="1:8" x14ac:dyDescent="0.2">
      <c r="A1140" s="2">
        <v>1139</v>
      </c>
      <c r="B1140" s="5">
        <f t="shared" si="68"/>
        <v>0</v>
      </c>
      <c r="C1140" s="5">
        <f t="shared" si="69"/>
        <v>0</v>
      </c>
      <c r="D1140" s="5"/>
      <c r="E1140" s="5">
        <f>IF($B1140 &lt;= 0, 0, -ROUND($B1140 * (InterestRate / PaymentsPerYear), 2))</f>
        <v>0</v>
      </c>
      <c r="F1140" s="5">
        <f>ROUND(IFERROR(IF($B1140&lt;=0,0,
MAX(-$B1140, -(-PMT(InterestRate/PaymentsPerYear,LoanTerm*PaymentsPerYear,LoanAmount) + $E1140))), 0), 2)</f>
        <v>0</v>
      </c>
      <c r="G1140" s="5">
        <f t="shared" si="70"/>
        <v>0</v>
      </c>
      <c r="H1140" s="5">
        <f t="shared" si="71"/>
        <v>0</v>
      </c>
    </row>
    <row r="1141" spans="1:8" x14ac:dyDescent="0.2">
      <c r="A1141" s="2">
        <v>1140</v>
      </c>
      <c r="B1141" s="5">
        <f t="shared" si="68"/>
        <v>0</v>
      </c>
      <c r="C1141" s="5">
        <f t="shared" si="69"/>
        <v>0</v>
      </c>
      <c r="D1141" s="5"/>
      <c r="E1141" s="5">
        <f>IF($B1141 &lt;= 0, 0, -ROUND($B1141 * (InterestRate / PaymentsPerYear), 2))</f>
        <v>0</v>
      </c>
      <c r="F1141" s="5">
        <f>ROUND(IFERROR(IF($B1141&lt;=0,0,
MAX(-$B1141, -(-PMT(InterestRate/PaymentsPerYear,LoanTerm*PaymentsPerYear,LoanAmount) + $E1141))), 0), 2)</f>
        <v>0</v>
      </c>
      <c r="G1141" s="5">
        <f t="shared" si="70"/>
        <v>0</v>
      </c>
      <c r="H1141" s="5">
        <f t="shared" si="71"/>
        <v>0</v>
      </c>
    </row>
    <row r="1142" spans="1:8" x14ac:dyDescent="0.2">
      <c r="A1142" s="2">
        <v>1141</v>
      </c>
      <c r="B1142" s="5">
        <f t="shared" si="68"/>
        <v>0</v>
      </c>
      <c r="C1142" s="5">
        <f t="shared" si="69"/>
        <v>0</v>
      </c>
      <c r="D1142" s="5"/>
      <c r="E1142" s="5">
        <f>IF($B1142 &lt;= 0, 0, -ROUND($B1142 * (InterestRate / PaymentsPerYear), 2))</f>
        <v>0</v>
      </c>
      <c r="F1142" s="5">
        <f>ROUND(IFERROR(IF($B1142&lt;=0,0,
MAX(-$B1142, -(-PMT(InterestRate/PaymentsPerYear,LoanTerm*PaymentsPerYear,LoanAmount) + $E1142))), 0), 2)</f>
        <v>0</v>
      </c>
      <c r="G1142" s="5">
        <f t="shared" si="70"/>
        <v>0</v>
      </c>
      <c r="H1142" s="5">
        <f t="shared" si="71"/>
        <v>0</v>
      </c>
    </row>
    <row r="1143" spans="1:8" x14ac:dyDescent="0.2">
      <c r="A1143" s="2">
        <v>1142</v>
      </c>
      <c r="B1143" s="5">
        <f t="shared" si="68"/>
        <v>0</v>
      </c>
      <c r="C1143" s="5">
        <f t="shared" si="69"/>
        <v>0</v>
      </c>
      <c r="D1143" s="5"/>
      <c r="E1143" s="5">
        <f>IF($B1143 &lt;= 0, 0, -ROUND($B1143 * (InterestRate / PaymentsPerYear), 2))</f>
        <v>0</v>
      </c>
      <c r="F1143" s="5">
        <f>ROUND(IFERROR(IF($B1143&lt;=0,0,
MAX(-$B1143, -(-PMT(InterestRate/PaymentsPerYear,LoanTerm*PaymentsPerYear,LoanAmount) + $E1143))), 0), 2)</f>
        <v>0</v>
      </c>
      <c r="G1143" s="5">
        <f t="shared" si="70"/>
        <v>0</v>
      </c>
      <c r="H1143" s="5">
        <f t="shared" si="71"/>
        <v>0</v>
      </c>
    </row>
    <row r="1144" spans="1:8" x14ac:dyDescent="0.2">
      <c r="A1144" s="2">
        <v>1143</v>
      </c>
      <c r="B1144" s="5">
        <f t="shared" si="68"/>
        <v>0</v>
      </c>
      <c r="C1144" s="5">
        <f t="shared" si="69"/>
        <v>0</v>
      </c>
      <c r="D1144" s="5"/>
      <c r="E1144" s="5">
        <f>IF($B1144 &lt;= 0, 0, -ROUND($B1144 * (InterestRate / PaymentsPerYear), 2))</f>
        <v>0</v>
      </c>
      <c r="F1144" s="5">
        <f>ROUND(IFERROR(IF($B1144&lt;=0,0,
MAX(-$B1144, -(-PMT(InterestRate/PaymentsPerYear,LoanTerm*PaymentsPerYear,LoanAmount) + $E1144))), 0), 2)</f>
        <v>0</v>
      </c>
      <c r="G1144" s="5">
        <f t="shared" si="70"/>
        <v>0</v>
      </c>
      <c r="H1144" s="5">
        <f t="shared" si="71"/>
        <v>0</v>
      </c>
    </row>
    <row r="1145" spans="1:8" x14ac:dyDescent="0.2">
      <c r="A1145" s="2">
        <v>1144</v>
      </c>
      <c r="B1145" s="5">
        <f t="shared" si="68"/>
        <v>0</v>
      </c>
      <c r="C1145" s="5">
        <f t="shared" si="69"/>
        <v>0</v>
      </c>
      <c r="D1145" s="5"/>
      <c r="E1145" s="5">
        <f>IF($B1145 &lt;= 0, 0, -ROUND($B1145 * (InterestRate / PaymentsPerYear), 2))</f>
        <v>0</v>
      </c>
      <c r="F1145" s="5">
        <f>ROUND(IFERROR(IF($B1145&lt;=0,0,
MAX(-$B1145, -(-PMT(InterestRate/PaymentsPerYear,LoanTerm*PaymentsPerYear,LoanAmount) + $E1145))), 0), 2)</f>
        <v>0</v>
      </c>
      <c r="G1145" s="5">
        <f t="shared" si="70"/>
        <v>0</v>
      </c>
      <c r="H1145" s="5">
        <f t="shared" si="71"/>
        <v>0</v>
      </c>
    </row>
    <row r="1146" spans="1:8" x14ac:dyDescent="0.2">
      <c r="A1146" s="2">
        <v>1145</v>
      </c>
      <c r="B1146" s="5">
        <f t="shared" si="68"/>
        <v>0</v>
      </c>
      <c r="C1146" s="5">
        <f t="shared" si="69"/>
        <v>0</v>
      </c>
      <c r="D1146" s="5"/>
      <c r="E1146" s="5">
        <f>IF($B1146 &lt;= 0, 0, -ROUND($B1146 * (InterestRate / PaymentsPerYear), 2))</f>
        <v>0</v>
      </c>
      <c r="F1146" s="5">
        <f>ROUND(IFERROR(IF($B1146&lt;=0,0,
MAX(-$B1146, -(-PMT(InterestRate/PaymentsPerYear,LoanTerm*PaymentsPerYear,LoanAmount) + $E1146))), 0), 2)</f>
        <v>0</v>
      </c>
      <c r="G1146" s="5">
        <f t="shared" si="70"/>
        <v>0</v>
      </c>
      <c r="H1146" s="5">
        <f t="shared" si="71"/>
        <v>0</v>
      </c>
    </row>
    <row r="1147" spans="1:8" x14ac:dyDescent="0.2">
      <c r="A1147" s="2">
        <v>1146</v>
      </c>
      <c r="B1147" s="5">
        <f t="shared" si="68"/>
        <v>0</v>
      </c>
      <c r="C1147" s="5">
        <f t="shared" si="69"/>
        <v>0</v>
      </c>
      <c r="D1147" s="5"/>
      <c r="E1147" s="5">
        <f>IF($B1147 &lt;= 0, 0, -ROUND($B1147 * (InterestRate / PaymentsPerYear), 2))</f>
        <v>0</v>
      </c>
      <c r="F1147" s="5">
        <f>ROUND(IFERROR(IF($B1147&lt;=0,0,
MAX(-$B1147, -(-PMT(InterestRate/PaymentsPerYear,LoanTerm*PaymentsPerYear,LoanAmount) + $E1147))), 0), 2)</f>
        <v>0</v>
      </c>
      <c r="G1147" s="5">
        <f t="shared" si="70"/>
        <v>0</v>
      </c>
      <c r="H1147" s="5">
        <f t="shared" si="71"/>
        <v>0</v>
      </c>
    </row>
    <row r="1148" spans="1:8" x14ac:dyDescent="0.2">
      <c r="A1148" s="2">
        <v>1147</v>
      </c>
      <c r="B1148" s="5">
        <f t="shared" si="68"/>
        <v>0</v>
      </c>
      <c r="C1148" s="5">
        <f t="shared" si="69"/>
        <v>0</v>
      </c>
      <c r="D1148" s="5"/>
      <c r="E1148" s="5">
        <f>IF($B1148 &lt;= 0, 0, -ROUND($B1148 * (InterestRate / PaymentsPerYear), 2))</f>
        <v>0</v>
      </c>
      <c r="F1148" s="5">
        <f>ROUND(IFERROR(IF($B1148&lt;=0,0,
MAX(-$B1148, -(-PMT(InterestRate/PaymentsPerYear,LoanTerm*PaymentsPerYear,LoanAmount) + $E1148))), 0), 2)</f>
        <v>0</v>
      </c>
      <c r="G1148" s="5">
        <f t="shared" si="70"/>
        <v>0</v>
      </c>
      <c r="H1148" s="5">
        <f t="shared" si="71"/>
        <v>0</v>
      </c>
    </row>
    <row r="1149" spans="1:8" x14ac:dyDescent="0.2">
      <c r="A1149" s="2">
        <v>1148</v>
      </c>
      <c r="B1149" s="5">
        <f t="shared" si="68"/>
        <v>0</v>
      </c>
      <c r="C1149" s="5">
        <f t="shared" si="69"/>
        <v>0</v>
      </c>
      <c r="D1149" s="5"/>
      <c r="E1149" s="5">
        <f>IF($B1149 &lt;= 0, 0, -ROUND($B1149 * (InterestRate / PaymentsPerYear), 2))</f>
        <v>0</v>
      </c>
      <c r="F1149" s="5">
        <f>ROUND(IFERROR(IF($B1149&lt;=0,0,
MAX(-$B1149, -(-PMT(InterestRate/PaymentsPerYear,LoanTerm*PaymentsPerYear,LoanAmount) + $E1149))), 0), 2)</f>
        <v>0</v>
      </c>
      <c r="G1149" s="5">
        <f t="shared" si="70"/>
        <v>0</v>
      </c>
      <c r="H1149" s="5">
        <f t="shared" si="71"/>
        <v>0</v>
      </c>
    </row>
    <row r="1150" spans="1:8" x14ac:dyDescent="0.2">
      <c r="A1150" s="2">
        <v>1149</v>
      </c>
      <c r="B1150" s="5">
        <f t="shared" si="68"/>
        <v>0</v>
      </c>
      <c r="C1150" s="5">
        <f t="shared" si="69"/>
        <v>0</v>
      </c>
      <c r="D1150" s="5"/>
      <c r="E1150" s="5">
        <f>IF($B1150 &lt;= 0, 0, -ROUND($B1150 * (InterestRate / PaymentsPerYear), 2))</f>
        <v>0</v>
      </c>
      <c r="F1150" s="5">
        <f>ROUND(IFERROR(IF($B1150&lt;=0,0,
MAX(-$B1150, -(-PMT(InterestRate/PaymentsPerYear,LoanTerm*PaymentsPerYear,LoanAmount) + $E1150))), 0), 2)</f>
        <v>0</v>
      </c>
      <c r="G1150" s="5">
        <f t="shared" si="70"/>
        <v>0</v>
      </c>
      <c r="H1150" s="5">
        <f t="shared" si="71"/>
        <v>0</v>
      </c>
    </row>
    <row r="1151" spans="1:8" x14ac:dyDescent="0.2">
      <c r="A1151" s="2">
        <v>1150</v>
      </c>
      <c r="B1151" s="5">
        <f t="shared" si="68"/>
        <v>0</v>
      </c>
      <c r="C1151" s="5">
        <f t="shared" si="69"/>
        <v>0</v>
      </c>
      <c r="D1151" s="5"/>
      <c r="E1151" s="5">
        <f>IF($B1151 &lt;= 0, 0, -ROUND($B1151 * (InterestRate / PaymentsPerYear), 2))</f>
        <v>0</v>
      </c>
      <c r="F1151" s="5">
        <f>ROUND(IFERROR(IF($B1151&lt;=0,0,
MAX(-$B1151, -(-PMT(InterestRate/PaymentsPerYear,LoanTerm*PaymentsPerYear,LoanAmount) + $E1151))), 0), 2)</f>
        <v>0</v>
      </c>
      <c r="G1151" s="5">
        <f t="shared" si="70"/>
        <v>0</v>
      </c>
      <c r="H1151" s="5">
        <f t="shared" si="71"/>
        <v>0</v>
      </c>
    </row>
    <row r="1152" spans="1:8" x14ac:dyDescent="0.2">
      <c r="A1152" s="2">
        <v>1151</v>
      </c>
      <c r="B1152" s="5">
        <f t="shared" si="68"/>
        <v>0</v>
      </c>
      <c r="C1152" s="5">
        <f t="shared" si="69"/>
        <v>0</v>
      </c>
      <c r="D1152" s="5"/>
      <c r="E1152" s="5">
        <f>IF($B1152 &lt;= 0, 0, -ROUND($B1152 * (InterestRate / PaymentsPerYear), 2))</f>
        <v>0</v>
      </c>
      <c r="F1152" s="5">
        <f>ROUND(IFERROR(IF($B1152&lt;=0,0,
MAX(-$B1152, -(-PMT(InterestRate/PaymentsPerYear,LoanTerm*PaymentsPerYear,LoanAmount) + $E1152))), 0), 2)</f>
        <v>0</v>
      </c>
      <c r="G1152" s="5">
        <f t="shared" si="70"/>
        <v>0</v>
      </c>
      <c r="H1152" s="5">
        <f t="shared" si="71"/>
        <v>0</v>
      </c>
    </row>
    <row r="1153" spans="1:8" x14ac:dyDescent="0.2">
      <c r="A1153" s="2">
        <v>1152</v>
      </c>
      <c r="B1153" s="5">
        <f t="shared" si="68"/>
        <v>0</v>
      </c>
      <c r="C1153" s="5">
        <f t="shared" si="69"/>
        <v>0</v>
      </c>
      <c r="D1153" s="5"/>
      <c r="E1153" s="5">
        <f>IF($B1153 &lt;= 0, 0, -ROUND($B1153 * (InterestRate / PaymentsPerYear), 2))</f>
        <v>0</v>
      </c>
      <c r="F1153" s="5">
        <f>ROUND(IFERROR(IF($B1153&lt;=0,0,
MAX(-$B1153, -(-PMT(InterestRate/PaymentsPerYear,LoanTerm*PaymentsPerYear,LoanAmount) + $E1153))), 0), 2)</f>
        <v>0</v>
      </c>
      <c r="G1153" s="5">
        <f t="shared" si="70"/>
        <v>0</v>
      </c>
      <c r="H1153" s="5">
        <f t="shared" si="71"/>
        <v>0</v>
      </c>
    </row>
    <row r="1154" spans="1:8" x14ac:dyDescent="0.2">
      <c r="A1154" s="2">
        <v>1153</v>
      </c>
      <c r="B1154" s="5">
        <f t="shared" si="68"/>
        <v>0</v>
      </c>
      <c r="C1154" s="5">
        <f t="shared" si="69"/>
        <v>0</v>
      </c>
      <c r="D1154" s="5"/>
      <c r="E1154" s="5">
        <f>IF($B1154 &lt;= 0, 0, -ROUND($B1154 * (InterestRate / PaymentsPerYear), 2))</f>
        <v>0</v>
      </c>
      <c r="F1154" s="5">
        <f>ROUND(IFERROR(IF($B1154&lt;=0,0,
MAX(-$B1154, -(-PMT(InterestRate/PaymentsPerYear,LoanTerm*PaymentsPerYear,LoanAmount) + $E1154))), 0), 2)</f>
        <v>0</v>
      </c>
      <c r="G1154" s="5">
        <f t="shared" si="70"/>
        <v>0</v>
      </c>
      <c r="H1154" s="5">
        <f t="shared" si="71"/>
        <v>0</v>
      </c>
    </row>
    <row r="1155" spans="1:8" x14ac:dyDescent="0.2">
      <c r="A1155" s="2">
        <v>1154</v>
      </c>
      <c r="B1155" s="5">
        <f t="shared" si="68"/>
        <v>0</v>
      </c>
      <c r="C1155" s="5">
        <f t="shared" si="69"/>
        <v>0</v>
      </c>
      <c r="D1155" s="5"/>
      <c r="E1155" s="5">
        <f>IF($B1155 &lt;= 0, 0, -ROUND($B1155 * (InterestRate / PaymentsPerYear), 2))</f>
        <v>0</v>
      </c>
      <c r="F1155" s="5">
        <f>ROUND(IFERROR(IF($B1155&lt;=0,0,
MAX(-$B1155, -(-PMT(InterestRate/PaymentsPerYear,LoanTerm*PaymentsPerYear,LoanAmount) + $E1155))), 0), 2)</f>
        <v>0</v>
      </c>
      <c r="G1155" s="5">
        <f t="shared" si="70"/>
        <v>0</v>
      </c>
      <c r="H1155" s="5">
        <f t="shared" si="71"/>
        <v>0</v>
      </c>
    </row>
    <row r="1156" spans="1:8" x14ac:dyDescent="0.2">
      <c r="A1156" s="2">
        <v>1155</v>
      </c>
      <c r="B1156" s="5">
        <f t="shared" ref="B1156:B1219" si="72">ROUND(IF($H1155 &gt;= 0, MAX($H1155, $F1155), 0), 2)</f>
        <v>0</v>
      </c>
      <c r="C1156" s="5">
        <f t="shared" ref="C1156:C1219" si="73">IF($B1156 &lt;= 0, 0, $E1156+$F1156)</f>
        <v>0</v>
      </c>
      <c r="D1156" s="5"/>
      <c r="E1156" s="5">
        <f>IF($B1156 &lt;= 0, 0, -ROUND($B1156 * (InterestRate / PaymentsPerYear), 2))</f>
        <v>0</v>
      </c>
      <c r="F1156" s="5">
        <f>ROUND(IFERROR(IF($B1156&lt;=0,0,
MAX(-$B1156, -(-PMT(InterestRate/PaymentsPerYear,LoanTerm*PaymentsPerYear,LoanAmount) + $E1156))), 0), 2)</f>
        <v>0</v>
      </c>
      <c r="G1156" s="5">
        <f t="shared" ref="G1156:G1219" si="74">$F1156</f>
        <v>0</v>
      </c>
      <c r="H1156" s="5">
        <f t="shared" ref="H1156:H1219" si="75">ROUND(IF($B1156 &lt;= 0, 0,MAX(0, $B1156 + $G1156)), 2)</f>
        <v>0</v>
      </c>
    </row>
    <row r="1157" spans="1:8" x14ac:dyDescent="0.2">
      <c r="A1157" s="2">
        <v>1156</v>
      </c>
      <c r="B1157" s="5">
        <f t="shared" si="72"/>
        <v>0</v>
      </c>
      <c r="C1157" s="5">
        <f t="shared" si="73"/>
        <v>0</v>
      </c>
      <c r="D1157" s="5"/>
      <c r="E1157" s="5">
        <f>IF($B1157 &lt;= 0, 0, -ROUND($B1157 * (InterestRate / PaymentsPerYear), 2))</f>
        <v>0</v>
      </c>
      <c r="F1157" s="5">
        <f>ROUND(IFERROR(IF($B1157&lt;=0,0,
MAX(-$B1157, -(-PMT(InterestRate/PaymentsPerYear,LoanTerm*PaymentsPerYear,LoanAmount) + $E1157))), 0), 2)</f>
        <v>0</v>
      </c>
      <c r="G1157" s="5">
        <f t="shared" si="74"/>
        <v>0</v>
      </c>
      <c r="H1157" s="5">
        <f t="shared" si="75"/>
        <v>0</v>
      </c>
    </row>
    <row r="1158" spans="1:8" x14ac:dyDescent="0.2">
      <c r="A1158" s="2">
        <v>1157</v>
      </c>
      <c r="B1158" s="5">
        <f t="shared" si="72"/>
        <v>0</v>
      </c>
      <c r="C1158" s="5">
        <f t="shared" si="73"/>
        <v>0</v>
      </c>
      <c r="D1158" s="5"/>
      <c r="E1158" s="5">
        <f>IF($B1158 &lt;= 0, 0, -ROUND($B1158 * (InterestRate / PaymentsPerYear), 2))</f>
        <v>0</v>
      </c>
      <c r="F1158" s="5">
        <f>ROUND(IFERROR(IF($B1158&lt;=0,0,
MAX(-$B1158, -(-PMT(InterestRate/PaymentsPerYear,LoanTerm*PaymentsPerYear,LoanAmount) + $E1158))), 0), 2)</f>
        <v>0</v>
      </c>
      <c r="G1158" s="5">
        <f t="shared" si="74"/>
        <v>0</v>
      </c>
      <c r="H1158" s="5">
        <f t="shared" si="75"/>
        <v>0</v>
      </c>
    </row>
    <row r="1159" spans="1:8" x14ac:dyDescent="0.2">
      <c r="A1159" s="2">
        <v>1158</v>
      </c>
      <c r="B1159" s="5">
        <f t="shared" si="72"/>
        <v>0</v>
      </c>
      <c r="C1159" s="5">
        <f t="shared" si="73"/>
        <v>0</v>
      </c>
      <c r="D1159" s="5"/>
      <c r="E1159" s="5">
        <f>IF($B1159 &lt;= 0, 0, -ROUND($B1159 * (InterestRate / PaymentsPerYear), 2))</f>
        <v>0</v>
      </c>
      <c r="F1159" s="5">
        <f>ROUND(IFERROR(IF($B1159&lt;=0,0,
MAX(-$B1159, -(-PMT(InterestRate/PaymentsPerYear,LoanTerm*PaymentsPerYear,LoanAmount) + $E1159))), 0), 2)</f>
        <v>0</v>
      </c>
      <c r="G1159" s="5">
        <f t="shared" si="74"/>
        <v>0</v>
      </c>
      <c r="H1159" s="5">
        <f t="shared" si="75"/>
        <v>0</v>
      </c>
    </row>
    <row r="1160" spans="1:8" x14ac:dyDescent="0.2">
      <c r="A1160" s="2">
        <v>1159</v>
      </c>
      <c r="B1160" s="5">
        <f t="shared" si="72"/>
        <v>0</v>
      </c>
      <c r="C1160" s="5">
        <f t="shared" si="73"/>
        <v>0</v>
      </c>
      <c r="D1160" s="5"/>
      <c r="E1160" s="5">
        <f>IF($B1160 &lt;= 0, 0, -ROUND($B1160 * (InterestRate / PaymentsPerYear), 2))</f>
        <v>0</v>
      </c>
      <c r="F1160" s="5">
        <f>ROUND(IFERROR(IF($B1160&lt;=0,0,
MAX(-$B1160, -(-PMT(InterestRate/PaymentsPerYear,LoanTerm*PaymentsPerYear,LoanAmount) + $E1160))), 0), 2)</f>
        <v>0</v>
      </c>
      <c r="G1160" s="5">
        <f t="shared" si="74"/>
        <v>0</v>
      </c>
      <c r="H1160" s="5">
        <f t="shared" si="75"/>
        <v>0</v>
      </c>
    </row>
    <row r="1161" spans="1:8" x14ac:dyDescent="0.2">
      <c r="A1161" s="2">
        <v>1160</v>
      </c>
      <c r="B1161" s="5">
        <f t="shared" si="72"/>
        <v>0</v>
      </c>
      <c r="C1161" s="5">
        <f t="shared" si="73"/>
        <v>0</v>
      </c>
      <c r="D1161" s="5"/>
      <c r="E1161" s="5">
        <f>IF($B1161 &lt;= 0, 0, -ROUND($B1161 * (InterestRate / PaymentsPerYear), 2))</f>
        <v>0</v>
      </c>
      <c r="F1161" s="5">
        <f>ROUND(IFERROR(IF($B1161&lt;=0,0,
MAX(-$B1161, -(-PMT(InterestRate/PaymentsPerYear,LoanTerm*PaymentsPerYear,LoanAmount) + $E1161))), 0), 2)</f>
        <v>0</v>
      </c>
      <c r="G1161" s="5">
        <f t="shared" si="74"/>
        <v>0</v>
      </c>
      <c r="H1161" s="5">
        <f t="shared" si="75"/>
        <v>0</v>
      </c>
    </row>
    <row r="1162" spans="1:8" x14ac:dyDescent="0.2">
      <c r="A1162" s="2">
        <v>1161</v>
      </c>
      <c r="B1162" s="5">
        <f t="shared" si="72"/>
        <v>0</v>
      </c>
      <c r="C1162" s="5">
        <f t="shared" si="73"/>
        <v>0</v>
      </c>
      <c r="D1162" s="5"/>
      <c r="E1162" s="5">
        <f>IF($B1162 &lt;= 0, 0, -ROUND($B1162 * (InterestRate / PaymentsPerYear), 2))</f>
        <v>0</v>
      </c>
      <c r="F1162" s="5">
        <f>ROUND(IFERROR(IF($B1162&lt;=0,0,
MAX(-$B1162, -(-PMT(InterestRate/PaymentsPerYear,LoanTerm*PaymentsPerYear,LoanAmount) + $E1162))), 0), 2)</f>
        <v>0</v>
      </c>
      <c r="G1162" s="5">
        <f t="shared" si="74"/>
        <v>0</v>
      </c>
      <c r="H1162" s="5">
        <f t="shared" si="75"/>
        <v>0</v>
      </c>
    </row>
    <row r="1163" spans="1:8" x14ac:dyDescent="0.2">
      <c r="A1163" s="2">
        <v>1162</v>
      </c>
      <c r="B1163" s="5">
        <f t="shared" si="72"/>
        <v>0</v>
      </c>
      <c r="C1163" s="5">
        <f t="shared" si="73"/>
        <v>0</v>
      </c>
      <c r="D1163" s="5"/>
      <c r="E1163" s="5">
        <f>IF($B1163 &lt;= 0, 0, -ROUND($B1163 * (InterestRate / PaymentsPerYear), 2))</f>
        <v>0</v>
      </c>
      <c r="F1163" s="5">
        <f>ROUND(IFERROR(IF($B1163&lt;=0,0,
MAX(-$B1163, -(-PMT(InterestRate/PaymentsPerYear,LoanTerm*PaymentsPerYear,LoanAmount) + $E1163))), 0), 2)</f>
        <v>0</v>
      </c>
      <c r="G1163" s="5">
        <f t="shared" si="74"/>
        <v>0</v>
      </c>
      <c r="H1163" s="5">
        <f t="shared" si="75"/>
        <v>0</v>
      </c>
    </row>
    <row r="1164" spans="1:8" x14ac:dyDescent="0.2">
      <c r="A1164" s="2">
        <v>1163</v>
      </c>
      <c r="B1164" s="5">
        <f t="shared" si="72"/>
        <v>0</v>
      </c>
      <c r="C1164" s="5">
        <f t="shared" si="73"/>
        <v>0</v>
      </c>
      <c r="D1164" s="5"/>
      <c r="E1164" s="5">
        <f>IF($B1164 &lt;= 0, 0, -ROUND($B1164 * (InterestRate / PaymentsPerYear), 2))</f>
        <v>0</v>
      </c>
      <c r="F1164" s="5">
        <f>ROUND(IFERROR(IF($B1164&lt;=0,0,
MAX(-$B1164, -(-PMT(InterestRate/PaymentsPerYear,LoanTerm*PaymentsPerYear,LoanAmount) + $E1164))), 0), 2)</f>
        <v>0</v>
      </c>
      <c r="G1164" s="5">
        <f t="shared" si="74"/>
        <v>0</v>
      </c>
      <c r="H1164" s="5">
        <f t="shared" si="75"/>
        <v>0</v>
      </c>
    </row>
    <row r="1165" spans="1:8" x14ac:dyDescent="0.2">
      <c r="A1165" s="2">
        <v>1164</v>
      </c>
      <c r="B1165" s="5">
        <f t="shared" si="72"/>
        <v>0</v>
      </c>
      <c r="C1165" s="5">
        <f t="shared" si="73"/>
        <v>0</v>
      </c>
      <c r="D1165" s="5"/>
      <c r="E1165" s="5">
        <f>IF($B1165 &lt;= 0, 0, -ROUND($B1165 * (InterestRate / PaymentsPerYear), 2))</f>
        <v>0</v>
      </c>
      <c r="F1165" s="5">
        <f>ROUND(IFERROR(IF($B1165&lt;=0,0,
MAX(-$B1165, -(-PMT(InterestRate/PaymentsPerYear,LoanTerm*PaymentsPerYear,LoanAmount) + $E1165))), 0), 2)</f>
        <v>0</v>
      </c>
      <c r="G1165" s="5">
        <f t="shared" si="74"/>
        <v>0</v>
      </c>
      <c r="H1165" s="5">
        <f t="shared" si="75"/>
        <v>0</v>
      </c>
    </row>
    <row r="1166" spans="1:8" x14ac:dyDescent="0.2">
      <c r="A1166" s="2">
        <v>1165</v>
      </c>
      <c r="B1166" s="5">
        <f t="shared" si="72"/>
        <v>0</v>
      </c>
      <c r="C1166" s="5">
        <f t="shared" si="73"/>
        <v>0</v>
      </c>
      <c r="D1166" s="5"/>
      <c r="E1166" s="5">
        <f>IF($B1166 &lt;= 0, 0, -ROUND($B1166 * (InterestRate / PaymentsPerYear), 2))</f>
        <v>0</v>
      </c>
      <c r="F1166" s="5">
        <f>ROUND(IFERROR(IF($B1166&lt;=0,0,
MAX(-$B1166, -(-PMT(InterestRate/PaymentsPerYear,LoanTerm*PaymentsPerYear,LoanAmount) + $E1166))), 0), 2)</f>
        <v>0</v>
      </c>
      <c r="G1166" s="5">
        <f t="shared" si="74"/>
        <v>0</v>
      </c>
      <c r="H1166" s="5">
        <f t="shared" si="75"/>
        <v>0</v>
      </c>
    </row>
    <row r="1167" spans="1:8" x14ac:dyDescent="0.2">
      <c r="A1167" s="2">
        <v>1166</v>
      </c>
      <c r="B1167" s="5">
        <f t="shared" si="72"/>
        <v>0</v>
      </c>
      <c r="C1167" s="5">
        <f t="shared" si="73"/>
        <v>0</v>
      </c>
      <c r="D1167" s="5"/>
      <c r="E1167" s="5">
        <f>IF($B1167 &lt;= 0, 0, -ROUND($B1167 * (InterestRate / PaymentsPerYear), 2))</f>
        <v>0</v>
      </c>
      <c r="F1167" s="5">
        <f>ROUND(IFERROR(IF($B1167&lt;=0,0,
MAX(-$B1167, -(-PMT(InterestRate/PaymentsPerYear,LoanTerm*PaymentsPerYear,LoanAmount) + $E1167))), 0), 2)</f>
        <v>0</v>
      </c>
      <c r="G1167" s="5">
        <f t="shared" si="74"/>
        <v>0</v>
      </c>
      <c r="H1167" s="5">
        <f t="shared" si="75"/>
        <v>0</v>
      </c>
    </row>
    <row r="1168" spans="1:8" x14ac:dyDescent="0.2">
      <c r="A1168" s="2">
        <v>1167</v>
      </c>
      <c r="B1168" s="5">
        <f t="shared" si="72"/>
        <v>0</v>
      </c>
      <c r="C1168" s="5">
        <f t="shared" si="73"/>
        <v>0</v>
      </c>
      <c r="D1168" s="5"/>
      <c r="E1168" s="5">
        <f>IF($B1168 &lt;= 0, 0, -ROUND($B1168 * (InterestRate / PaymentsPerYear), 2))</f>
        <v>0</v>
      </c>
      <c r="F1168" s="5">
        <f>ROUND(IFERROR(IF($B1168&lt;=0,0,
MAX(-$B1168, -(-PMT(InterestRate/PaymentsPerYear,LoanTerm*PaymentsPerYear,LoanAmount) + $E1168))), 0), 2)</f>
        <v>0</v>
      </c>
      <c r="G1168" s="5">
        <f t="shared" si="74"/>
        <v>0</v>
      </c>
      <c r="H1168" s="5">
        <f t="shared" si="75"/>
        <v>0</v>
      </c>
    </row>
    <row r="1169" spans="1:8" x14ac:dyDescent="0.2">
      <c r="A1169" s="2">
        <v>1168</v>
      </c>
      <c r="B1169" s="5">
        <f t="shared" si="72"/>
        <v>0</v>
      </c>
      <c r="C1169" s="5">
        <f t="shared" si="73"/>
        <v>0</v>
      </c>
      <c r="D1169" s="5"/>
      <c r="E1169" s="5">
        <f>IF($B1169 &lt;= 0, 0, -ROUND($B1169 * (InterestRate / PaymentsPerYear), 2))</f>
        <v>0</v>
      </c>
      <c r="F1169" s="5">
        <f>ROUND(IFERROR(IF($B1169&lt;=0,0,
MAX(-$B1169, -(-PMT(InterestRate/PaymentsPerYear,LoanTerm*PaymentsPerYear,LoanAmount) + $E1169))), 0), 2)</f>
        <v>0</v>
      </c>
      <c r="G1169" s="5">
        <f t="shared" si="74"/>
        <v>0</v>
      </c>
      <c r="H1169" s="5">
        <f t="shared" si="75"/>
        <v>0</v>
      </c>
    </row>
    <row r="1170" spans="1:8" x14ac:dyDescent="0.2">
      <c r="A1170" s="2">
        <v>1169</v>
      </c>
      <c r="B1170" s="5">
        <f t="shared" si="72"/>
        <v>0</v>
      </c>
      <c r="C1170" s="5">
        <f t="shared" si="73"/>
        <v>0</v>
      </c>
      <c r="D1170" s="5"/>
      <c r="E1170" s="5">
        <f>IF($B1170 &lt;= 0, 0, -ROUND($B1170 * (InterestRate / PaymentsPerYear), 2))</f>
        <v>0</v>
      </c>
      <c r="F1170" s="5">
        <f>ROUND(IFERROR(IF($B1170&lt;=0,0,
MAX(-$B1170, -(-PMT(InterestRate/PaymentsPerYear,LoanTerm*PaymentsPerYear,LoanAmount) + $E1170))), 0), 2)</f>
        <v>0</v>
      </c>
      <c r="G1170" s="5">
        <f t="shared" si="74"/>
        <v>0</v>
      </c>
      <c r="H1170" s="5">
        <f t="shared" si="75"/>
        <v>0</v>
      </c>
    </row>
    <row r="1171" spans="1:8" x14ac:dyDescent="0.2">
      <c r="A1171" s="2">
        <v>1170</v>
      </c>
      <c r="B1171" s="5">
        <f t="shared" si="72"/>
        <v>0</v>
      </c>
      <c r="C1171" s="5">
        <f t="shared" si="73"/>
        <v>0</v>
      </c>
      <c r="D1171" s="5"/>
      <c r="E1171" s="5">
        <f>IF($B1171 &lt;= 0, 0, -ROUND($B1171 * (InterestRate / PaymentsPerYear), 2))</f>
        <v>0</v>
      </c>
      <c r="F1171" s="5">
        <f>ROUND(IFERROR(IF($B1171&lt;=0,0,
MAX(-$B1171, -(-PMT(InterestRate/PaymentsPerYear,LoanTerm*PaymentsPerYear,LoanAmount) + $E1171))), 0), 2)</f>
        <v>0</v>
      </c>
      <c r="G1171" s="5">
        <f t="shared" si="74"/>
        <v>0</v>
      </c>
      <c r="H1171" s="5">
        <f t="shared" si="75"/>
        <v>0</v>
      </c>
    </row>
    <row r="1172" spans="1:8" x14ac:dyDescent="0.2">
      <c r="A1172" s="2">
        <v>1171</v>
      </c>
      <c r="B1172" s="5">
        <f t="shared" si="72"/>
        <v>0</v>
      </c>
      <c r="C1172" s="5">
        <f t="shared" si="73"/>
        <v>0</v>
      </c>
      <c r="D1172" s="5"/>
      <c r="E1172" s="5">
        <f>IF($B1172 &lt;= 0, 0, -ROUND($B1172 * (InterestRate / PaymentsPerYear), 2))</f>
        <v>0</v>
      </c>
      <c r="F1172" s="5">
        <f>ROUND(IFERROR(IF($B1172&lt;=0,0,
MAX(-$B1172, -(-PMT(InterestRate/PaymentsPerYear,LoanTerm*PaymentsPerYear,LoanAmount) + $E1172))), 0), 2)</f>
        <v>0</v>
      </c>
      <c r="G1172" s="5">
        <f t="shared" si="74"/>
        <v>0</v>
      </c>
      <c r="H1172" s="5">
        <f t="shared" si="75"/>
        <v>0</v>
      </c>
    </row>
    <row r="1173" spans="1:8" x14ac:dyDescent="0.2">
      <c r="A1173" s="2">
        <v>1172</v>
      </c>
      <c r="B1173" s="5">
        <f t="shared" si="72"/>
        <v>0</v>
      </c>
      <c r="C1173" s="5">
        <f t="shared" si="73"/>
        <v>0</v>
      </c>
      <c r="D1173" s="5"/>
      <c r="E1173" s="5">
        <f>IF($B1173 &lt;= 0, 0, -ROUND($B1173 * (InterestRate / PaymentsPerYear), 2))</f>
        <v>0</v>
      </c>
      <c r="F1173" s="5">
        <f>ROUND(IFERROR(IF($B1173&lt;=0,0,
MAX(-$B1173, -(-PMT(InterestRate/PaymentsPerYear,LoanTerm*PaymentsPerYear,LoanAmount) + $E1173))), 0), 2)</f>
        <v>0</v>
      </c>
      <c r="G1173" s="5">
        <f t="shared" si="74"/>
        <v>0</v>
      </c>
      <c r="H1173" s="5">
        <f t="shared" si="75"/>
        <v>0</v>
      </c>
    </row>
    <row r="1174" spans="1:8" x14ac:dyDescent="0.2">
      <c r="A1174" s="2">
        <v>1173</v>
      </c>
      <c r="B1174" s="5">
        <f t="shared" si="72"/>
        <v>0</v>
      </c>
      <c r="C1174" s="5">
        <f t="shared" si="73"/>
        <v>0</v>
      </c>
      <c r="D1174" s="5"/>
      <c r="E1174" s="5">
        <f>IF($B1174 &lt;= 0, 0, -ROUND($B1174 * (InterestRate / PaymentsPerYear), 2))</f>
        <v>0</v>
      </c>
      <c r="F1174" s="5">
        <f>ROUND(IFERROR(IF($B1174&lt;=0,0,
MAX(-$B1174, -(-PMT(InterestRate/PaymentsPerYear,LoanTerm*PaymentsPerYear,LoanAmount) + $E1174))), 0), 2)</f>
        <v>0</v>
      </c>
      <c r="G1174" s="5">
        <f t="shared" si="74"/>
        <v>0</v>
      </c>
      <c r="H1174" s="5">
        <f t="shared" si="75"/>
        <v>0</v>
      </c>
    </row>
    <row r="1175" spans="1:8" x14ac:dyDescent="0.2">
      <c r="A1175" s="2">
        <v>1174</v>
      </c>
      <c r="B1175" s="5">
        <f t="shared" si="72"/>
        <v>0</v>
      </c>
      <c r="C1175" s="5">
        <f t="shared" si="73"/>
        <v>0</v>
      </c>
      <c r="D1175" s="5"/>
      <c r="E1175" s="5">
        <f>IF($B1175 &lt;= 0, 0, -ROUND($B1175 * (InterestRate / PaymentsPerYear), 2))</f>
        <v>0</v>
      </c>
      <c r="F1175" s="5">
        <f>ROUND(IFERROR(IF($B1175&lt;=0,0,
MAX(-$B1175, -(-PMT(InterestRate/PaymentsPerYear,LoanTerm*PaymentsPerYear,LoanAmount) + $E1175))), 0), 2)</f>
        <v>0</v>
      </c>
      <c r="G1175" s="5">
        <f t="shared" si="74"/>
        <v>0</v>
      </c>
      <c r="H1175" s="5">
        <f t="shared" si="75"/>
        <v>0</v>
      </c>
    </row>
    <row r="1176" spans="1:8" x14ac:dyDescent="0.2">
      <c r="A1176" s="2">
        <v>1175</v>
      </c>
      <c r="B1176" s="5">
        <f t="shared" si="72"/>
        <v>0</v>
      </c>
      <c r="C1176" s="5">
        <f t="shared" si="73"/>
        <v>0</v>
      </c>
      <c r="D1176" s="5"/>
      <c r="E1176" s="5">
        <f>IF($B1176 &lt;= 0, 0, -ROUND($B1176 * (InterestRate / PaymentsPerYear), 2))</f>
        <v>0</v>
      </c>
      <c r="F1176" s="5">
        <f>ROUND(IFERROR(IF($B1176&lt;=0,0,
MAX(-$B1176, -(-PMT(InterestRate/PaymentsPerYear,LoanTerm*PaymentsPerYear,LoanAmount) + $E1176))), 0), 2)</f>
        <v>0</v>
      </c>
      <c r="G1176" s="5">
        <f t="shared" si="74"/>
        <v>0</v>
      </c>
      <c r="H1176" s="5">
        <f t="shared" si="75"/>
        <v>0</v>
      </c>
    </row>
    <row r="1177" spans="1:8" x14ac:dyDescent="0.2">
      <c r="A1177" s="2">
        <v>1176</v>
      </c>
      <c r="B1177" s="5">
        <f t="shared" si="72"/>
        <v>0</v>
      </c>
      <c r="C1177" s="5">
        <f t="shared" si="73"/>
        <v>0</v>
      </c>
      <c r="D1177" s="5"/>
      <c r="E1177" s="5">
        <f>IF($B1177 &lt;= 0, 0, -ROUND($B1177 * (InterestRate / PaymentsPerYear), 2))</f>
        <v>0</v>
      </c>
      <c r="F1177" s="5">
        <f>ROUND(IFERROR(IF($B1177&lt;=0,0,
MAX(-$B1177, -(-PMT(InterestRate/PaymentsPerYear,LoanTerm*PaymentsPerYear,LoanAmount) + $E1177))), 0), 2)</f>
        <v>0</v>
      </c>
      <c r="G1177" s="5">
        <f t="shared" si="74"/>
        <v>0</v>
      </c>
      <c r="H1177" s="5">
        <f t="shared" si="75"/>
        <v>0</v>
      </c>
    </row>
    <row r="1178" spans="1:8" x14ac:dyDescent="0.2">
      <c r="A1178" s="2">
        <v>1177</v>
      </c>
      <c r="B1178" s="5">
        <f t="shared" si="72"/>
        <v>0</v>
      </c>
      <c r="C1178" s="5">
        <f t="shared" si="73"/>
        <v>0</v>
      </c>
      <c r="D1178" s="5"/>
      <c r="E1178" s="5">
        <f>IF($B1178 &lt;= 0, 0, -ROUND($B1178 * (InterestRate / PaymentsPerYear), 2))</f>
        <v>0</v>
      </c>
      <c r="F1178" s="5">
        <f>ROUND(IFERROR(IF($B1178&lt;=0,0,
MAX(-$B1178, -(-PMT(InterestRate/PaymentsPerYear,LoanTerm*PaymentsPerYear,LoanAmount) + $E1178))), 0), 2)</f>
        <v>0</v>
      </c>
      <c r="G1178" s="5">
        <f t="shared" si="74"/>
        <v>0</v>
      </c>
      <c r="H1178" s="5">
        <f t="shared" si="75"/>
        <v>0</v>
      </c>
    </row>
    <row r="1179" spans="1:8" x14ac:dyDescent="0.2">
      <c r="A1179" s="2">
        <v>1178</v>
      </c>
      <c r="B1179" s="5">
        <f t="shared" si="72"/>
        <v>0</v>
      </c>
      <c r="C1179" s="5">
        <f t="shared" si="73"/>
        <v>0</v>
      </c>
      <c r="D1179" s="5"/>
      <c r="E1179" s="5">
        <f>IF($B1179 &lt;= 0, 0, -ROUND($B1179 * (InterestRate / PaymentsPerYear), 2))</f>
        <v>0</v>
      </c>
      <c r="F1179" s="5">
        <f>ROUND(IFERROR(IF($B1179&lt;=0,0,
MAX(-$B1179, -(-PMT(InterestRate/PaymentsPerYear,LoanTerm*PaymentsPerYear,LoanAmount) + $E1179))), 0), 2)</f>
        <v>0</v>
      </c>
      <c r="G1179" s="5">
        <f t="shared" si="74"/>
        <v>0</v>
      </c>
      <c r="H1179" s="5">
        <f t="shared" si="75"/>
        <v>0</v>
      </c>
    </row>
    <row r="1180" spans="1:8" x14ac:dyDescent="0.2">
      <c r="A1180" s="2">
        <v>1179</v>
      </c>
      <c r="B1180" s="5">
        <f t="shared" si="72"/>
        <v>0</v>
      </c>
      <c r="C1180" s="5">
        <f t="shared" si="73"/>
        <v>0</v>
      </c>
      <c r="D1180" s="5"/>
      <c r="E1180" s="5">
        <f>IF($B1180 &lt;= 0, 0, -ROUND($B1180 * (InterestRate / PaymentsPerYear), 2))</f>
        <v>0</v>
      </c>
      <c r="F1180" s="5">
        <f>ROUND(IFERROR(IF($B1180&lt;=0,0,
MAX(-$B1180, -(-PMT(InterestRate/PaymentsPerYear,LoanTerm*PaymentsPerYear,LoanAmount) + $E1180))), 0), 2)</f>
        <v>0</v>
      </c>
      <c r="G1180" s="5">
        <f t="shared" si="74"/>
        <v>0</v>
      </c>
      <c r="H1180" s="5">
        <f t="shared" si="75"/>
        <v>0</v>
      </c>
    </row>
    <row r="1181" spans="1:8" x14ac:dyDescent="0.2">
      <c r="A1181" s="2">
        <v>1180</v>
      </c>
      <c r="B1181" s="5">
        <f t="shared" si="72"/>
        <v>0</v>
      </c>
      <c r="C1181" s="5">
        <f t="shared" si="73"/>
        <v>0</v>
      </c>
      <c r="D1181" s="5"/>
      <c r="E1181" s="5">
        <f>IF($B1181 &lt;= 0, 0, -ROUND($B1181 * (InterestRate / PaymentsPerYear), 2))</f>
        <v>0</v>
      </c>
      <c r="F1181" s="5">
        <f>ROUND(IFERROR(IF($B1181&lt;=0,0,
MAX(-$B1181, -(-PMT(InterestRate/PaymentsPerYear,LoanTerm*PaymentsPerYear,LoanAmount) + $E1181))), 0), 2)</f>
        <v>0</v>
      </c>
      <c r="G1181" s="5">
        <f t="shared" si="74"/>
        <v>0</v>
      </c>
      <c r="H1181" s="5">
        <f t="shared" si="75"/>
        <v>0</v>
      </c>
    </row>
    <row r="1182" spans="1:8" x14ac:dyDescent="0.2">
      <c r="A1182" s="2">
        <v>1181</v>
      </c>
      <c r="B1182" s="5">
        <f t="shared" si="72"/>
        <v>0</v>
      </c>
      <c r="C1182" s="5">
        <f t="shared" si="73"/>
        <v>0</v>
      </c>
      <c r="D1182" s="5"/>
      <c r="E1182" s="5">
        <f>IF($B1182 &lt;= 0, 0, -ROUND($B1182 * (InterestRate / PaymentsPerYear), 2))</f>
        <v>0</v>
      </c>
      <c r="F1182" s="5">
        <f>ROUND(IFERROR(IF($B1182&lt;=0,0,
MAX(-$B1182, -(-PMT(InterestRate/PaymentsPerYear,LoanTerm*PaymentsPerYear,LoanAmount) + $E1182))), 0), 2)</f>
        <v>0</v>
      </c>
      <c r="G1182" s="5">
        <f t="shared" si="74"/>
        <v>0</v>
      </c>
      <c r="H1182" s="5">
        <f t="shared" si="75"/>
        <v>0</v>
      </c>
    </row>
    <row r="1183" spans="1:8" x14ac:dyDescent="0.2">
      <c r="A1183" s="2">
        <v>1182</v>
      </c>
      <c r="B1183" s="5">
        <f t="shared" si="72"/>
        <v>0</v>
      </c>
      <c r="C1183" s="5">
        <f t="shared" si="73"/>
        <v>0</v>
      </c>
      <c r="D1183" s="5"/>
      <c r="E1183" s="5">
        <f>IF($B1183 &lt;= 0, 0, -ROUND($B1183 * (InterestRate / PaymentsPerYear), 2))</f>
        <v>0</v>
      </c>
      <c r="F1183" s="5">
        <f>ROUND(IFERROR(IF($B1183&lt;=0,0,
MAX(-$B1183, -(-PMT(InterestRate/PaymentsPerYear,LoanTerm*PaymentsPerYear,LoanAmount) + $E1183))), 0), 2)</f>
        <v>0</v>
      </c>
      <c r="G1183" s="5">
        <f t="shared" si="74"/>
        <v>0</v>
      </c>
      <c r="H1183" s="5">
        <f t="shared" si="75"/>
        <v>0</v>
      </c>
    </row>
    <row r="1184" spans="1:8" x14ac:dyDescent="0.2">
      <c r="A1184" s="2">
        <v>1183</v>
      </c>
      <c r="B1184" s="5">
        <f t="shared" si="72"/>
        <v>0</v>
      </c>
      <c r="C1184" s="5">
        <f t="shared" si="73"/>
        <v>0</v>
      </c>
      <c r="D1184" s="5"/>
      <c r="E1184" s="5">
        <f>IF($B1184 &lt;= 0, 0, -ROUND($B1184 * (InterestRate / PaymentsPerYear), 2))</f>
        <v>0</v>
      </c>
      <c r="F1184" s="5">
        <f>ROUND(IFERROR(IF($B1184&lt;=0,0,
MAX(-$B1184, -(-PMT(InterestRate/PaymentsPerYear,LoanTerm*PaymentsPerYear,LoanAmount) + $E1184))), 0), 2)</f>
        <v>0</v>
      </c>
      <c r="G1184" s="5">
        <f t="shared" si="74"/>
        <v>0</v>
      </c>
      <c r="H1184" s="5">
        <f t="shared" si="75"/>
        <v>0</v>
      </c>
    </row>
    <row r="1185" spans="1:8" x14ac:dyDescent="0.2">
      <c r="A1185" s="2">
        <v>1184</v>
      </c>
      <c r="B1185" s="5">
        <f t="shared" si="72"/>
        <v>0</v>
      </c>
      <c r="C1185" s="5">
        <f t="shared" si="73"/>
        <v>0</v>
      </c>
      <c r="D1185" s="5"/>
      <c r="E1185" s="5">
        <f>IF($B1185 &lt;= 0, 0, -ROUND($B1185 * (InterestRate / PaymentsPerYear), 2))</f>
        <v>0</v>
      </c>
      <c r="F1185" s="5">
        <f>ROUND(IFERROR(IF($B1185&lt;=0,0,
MAX(-$B1185, -(-PMT(InterestRate/PaymentsPerYear,LoanTerm*PaymentsPerYear,LoanAmount) + $E1185))), 0), 2)</f>
        <v>0</v>
      </c>
      <c r="G1185" s="5">
        <f t="shared" si="74"/>
        <v>0</v>
      </c>
      <c r="H1185" s="5">
        <f t="shared" si="75"/>
        <v>0</v>
      </c>
    </row>
    <row r="1186" spans="1:8" x14ac:dyDescent="0.2">
      <c r="A1186" s="2">
        <v>1185</v>
      </c>
      <c r="B1186" s="5">
        <f t="shared" si="72"/>
        <v>0</v>
      </c>
      <c r="C1186" s="5">
        <f t="shared" si="73"/>
        <v>0</v>
      </c>
      <c r="D1186" s="5"/>
      <c r="E1186" s="5">
        <f>IF($B1186 &lt;= 0, 0, -ROUND($B1186 * (InterestRate / PaymentsPerYear), 2))</f>
        <v>0</v>
      </c>
      <c r="F1186" s="5">
        <f>ROUND(IFERROR(IF($B1186&lt;=0,0,
MAX(-$B1186, -(-PMT(InterestRate/PaymentsPerYear,LoanTerm*PaymentsPerYear,LoanAmount) + $E1186))), 0), 2)</f>
        <v>0</v>
      </c>
      <c r="G1186" s="5">
        <f t="shared" si="74"/>
        <v>0</v>
      </c>
      <c r="H1186" s="5">
        <f t="shared" si="75"/>
        <v>0</v>
      </c>
    </row>
    <row r="1187" spans="1:8" x14ac:dyDescent="0.2">
      <c r="A1187" s="2">
        <v>1186</v>
      </c>
      <c r="B1187" s="5">
        <f t="shared" si="72"/>
        <v>0</v>
      </c>
      <c r="C1187" s="5">
        <f t="shared" si="73"/>
        <v>0</v>
      </c>
      <c r="D1187" s="5"/>
      <c r="E1187" s="5">
        <f>IF($B1187 &lt;= 0, 0, -ROUND($B1187 * (InterestRate / PaymentsPerYear), 2))</f>
        <v>0</v>
      </c>
      <c r="F1187" s="5">
        <f>ROUND(IFERROR(IF($B1187&lt;=0,0,
MAX(-$B1187, -(-PMT(InterestRate/PaymentsPerYear,LoanTerm*PaymentsPerYear,LoanAmount) + $E1187))), 0), 2)</f>
        <v>0</v>
      </c>
      <c r="G1187" s="5">
        <f t="shared" si="74"/>
        <v>0</v>
      </c>
      <c r="H1187" s="5">
        <f t="shared" si="75"/>
        <v>0</v>
      </c>
    </row>
    <row r="1188" spans="1:8" x14ac:dyDescent="0.2">
      <c r="A1188" s="2">
        <v>1187</v>
      </c>
      <c r="B1188" s="5">
        <f t="shared" si="72"/>
        <v>0</v>
      </c>
      <c r="C1188" s="5">
        <f t="shared" si="73"/>
        <v>0</v>
      </c>
      <c r="D1188" s="5"/>
      <c r="E1188" s="5">
        <f>IF($B1188 &lt;= 0, 0, -ROUND($B1188 * (InterestRate / PaymentsPerYear), 2))</f>
        <v>0</v>
      </c>
      <c r="F1188" s="5">
        <f>ROUND(IFERROR(IF($B1188&lt;=0,0,
MAX(-$B1188, -(-PMT(InterestRate/PaymentsPerYear,LoanTerm*PaymentsPerYear,LoanAmount) + $E1188))), 0), 2)</f>
        <v>0</v>
      </c>
      <c r="G1188" s="5">
        <f t="shared" si="74"/>
        <v>0</v>
      </c>
      <c r="H1188" s="5">
        <f t="shared" si="75"/>
        <v>0</v>
      </c>
    </row>
    <row r="1189" spans="1:8" x14ac:dyDescent="0.2">
      <c r="A1189" s="2">
        <v>1188</v>
      </c>
      <c r="B1189" s="5">
        <f t="shared" si="72"/>
        <v>0</v>
      </c>
      <c r="C1189" s="5">
        <f t="shared" si="73"/>
        <v>0</v>
      </c>
      <c r="D1189" s="5"/>
      <c r="E1189" s="5">
        <f>IF($B1189 &lt;= 0, 0, -ROUND($B1189 * (InterestRate / PaymentsPerYear), 2))</f>
        <v>0</v>
      </c>
      <c r="F1189" s="5">
        <f>ROUND(IFERROR(IF($B1189&lt;=0,0,
MAX(-$B1189, -(-PMT(InterestRate/PaymentsPerYear,LoanTerm*PaymentsPerYear,LoanAmount) + $E1189))), 0), 2)</f>
        <v>0</v>
      </c>
      <c r="G1189" s="5">
        <f t="shared" si="74"/>
        <v>0</v>
      </c>
      <c r="H1189" s="5">
        <f t="shared" si="75"/>
        <v>0</v>
      </c>
    </row>
    <row r="1190" spans="1:8" x14ac:dyDescent="0.2">
      <c r="A1190" s="2">
        <v>1189</v>
      </c>
      <c r="B1190" s="5">
        <f t="shared" si="72"/>
        <v>0</v>
      </c>
      <c r="C1190" s="5">
        <f t="shared" si="73"/>
        <v>0</v>
      </c>
      <c r="D1190" s="5"/>
      <c r="E1190" s="5">
        <f>IF($B1190 &lt;= 0, 0, -ROUND($B1190 * (InterestRate / PaymentsPerYear), 2))</f>
        <v>0</v>
      </c>
      <c r="F1190" s="5">
        <f>ROUND(IFERROR(IF($B1190&lt;=0,0,
MAX(-$B1190, -(-PMT(InterestRate/PaymentsPerYear,LoanTerm*PaymentsPerYear,LoanAmount) + $E1190))), 0), 2)</f>
        <v>0</v>
      </c>
      <c r="G1190" s="5">
        <f t="shared" si="74"/>
        <v>0</v>
      </c>
      <c r="H1190" s="5">
        <f t="shared" si="75"/>
        <v>0</v>
      </c>
    </row>
    <row r="1191" spans="1:8" x14ac:dyDescent="0.2">
      <c r="A1191" s="2">
        <v>1190</v>
      </c>
      <c r="B1191" s="5">
        <f t="shared" si="72"/>
        <v>0</v>
      </c>
      <c r="C1191" s="5">
        <f t="shared" si="73"/>
        <v>0</v>
      </c>
      <c r="D1191" s="5"/>
      <c r="E1191" s="5">
        <f>IF($B1191 &lt;= 0, 0, -ROUND($B1191 * (InterestRate / PaymentsPerYear), 2))</f>
        <v>0</v>
      </c>
      <c r="F1191" s="5">
        <f>ROUND(IFERROR(IF($B1191&lt;=0,0,
MAX(-$B1191, -(-PMT(InterestRate/PaymentsPerYear,LoanTerm*PaymentsPerYear,LoanAmount) + $E1191))), 0), 2)</f>
        <v>0</v>
      </c>
      <c r="G1191" s="5">
        <f t="shared" si="74"/>
        <v>0</v>
      </c>
      <c r="H1191" s="5">
        <f t="shared" si="75"/>
        <v>0</v>
      </c>
    </row>
    <row r="1192" spans="1:8" x14ac:dyDescent="0.2">
      <c r="A1192" s="2">
        <v>1191</v>
      </c>
      <c r="B1192" s="5">
        <f t="shared" si="72"/>
        <v>0</v>
      </c>
      <c r="C1192" s="5">
        <f t="shared" si="73"/>
        <v>0</v>
      </c>
      <c r="D1192" s="5"/>
      <c r="E1192" s="5">
        <f>IF($B1192 &lt;= 0, 0, -ROUND($B1192 * (InterestRate / PaymentsPerYear), 2))</f>
        <v>0</v>
      </c>
      <c r="F1192" s="5">
        <f>ROUND(IFERROR(IF($B1192&lt;=0,0,
MAX(-$B1192, -(-PMT(InterestRate/PaymentsPerYear,LoanTerm*PaymentsPerYear,LoanAmount) + $E1192))), 0), 2)</f>
        <v>0</v>
      </c>
      <c r="G1192" s="5">
        <f t="shared" si="74"/>
        <v>0</v>
      </c>
      <c r="H1192" s="5">
        <f t="shared" si="75"/>
        <v>0</v>
      </c>
    </row>
    <row r="1193" spans="1:8" x14ac:dyDescent="0.2">
      <c r="A1193" s="2">
        <v>1192</v>
      </c>
      <c r="B1193" s="5">
        <f t="shared" si="72"/>
        <v>0</v>
      </c>
      <c r="C1193" s="5">
        <f t="shared" si="73"/>
        <v>0</v>
      </c>
      <c r="D1193" s="5"/>
      <c r="E1193" s="5">
        <f>IF($B1193 &lt;= 0, 0, -ROUND($B1193 * (InterestRate / PaymentsPerYear), 2))</f>
        <v>0</v>
      </c>
      <c r="F1193" s="5">
        <f>ROUND(IFERROR(IF($B1193&lt;=0,0,
MAX(-$B1193, -(-PMT(InterestRate/PaymentsPerYear,LoanTerm*PaymentsPerYear,LoanAmount) + $E1193))), 0), 2)</f>
        <v>0</v>
      </c>
      <c r="G1193" s="5">
        <f t="shared" si="74"/>
        <v>0</v>
      </c>
      <c r="H1193" s="5">
        <f t="shared" si="75"/>
        <v>0</v>
      </c>
    </row>
    <row r="1194" spans="1:8" x14ac:dyDescent="0.2">
      <c r="A1194" s="2">
        <v>1193</v>
      </c>
      <c r="B1194" s="5">
        <f t="shared" si="72"/>
        <v>0</v>
      </c>
      <c r="C1194" s="5">
        <f t="shared" si="73"/>
        <v>0</v>
      </c>
      <c r="D1194" s="5"/>
      <c r="E1194" s="5">
        <f>IF($B1194 &lt;= 0, 0, -ROUND($B1194 * (InterestRate / PaymentsPerYear), 2))</f>
        <v>0</v>
      </c>
      <c r="F1194" s="5">
        <f>ROUND(IFERROR(IF($B1194&lt;=0,0,
MAX(-$B1194, -(-PMT(InterestRate/PaymentsPerYear,LoanTerm*PaymentsPerYear,LoanAmount) + $E1194))), 0), 2)</f>
        <v>0</v>
      </c>
      <c r="G1194" s="5">
        <f t="shared" si="74"/>
        <v>0</v>
      </c>
      <c r="H1194" s="5">
        <f t="shared" si="75"/>
        <v>0</v>
      </c>
    </row>
    <row r="1195" spans="1:8" x14ac:dyDescent="0.2">
      <c r="A1195" s="2">
        <v>1194</v>
      </c>
      <c r="B1195" s="5">
        <f t="shared" si="72"/>
        <v>0</v>
      </c>
      <c r="C1195" s="5">
        <f t="shared" si="73"/>
        <v>0</v>
      </c>
      <c r="D1195" s="5"/>
      <c r="E1195" s="5">
        <f>IF($B1195 &lt;= 0, 0, -ROUND($B1195 * (InterestRate / PaymentsPerYear), 2))</f>
        <v>0</v>
      </c>
      <c r="F1195" s="5">
        <f>ROUND(IFERROR(IF($B1195&lt;=0,0,
MAX(-$B1195, -(-PMT(InterestRate/PaymentsPerYear,LoanTerm*PaymentsPerYear,LoanAmount) + $E1195))), 0), 2)</f>
        <v>0</v>
      </c>
      <c r="G1195" s="5">
        <f t="shared" si="74"/>
        <v>0</v>
      </c>
      <c r="H1195" s="5">
        <f t="shared" si="75"/>
        <v>0</v>
      </c>
    </row>
    <row r="1196" spans="1:8" x14ac:dyDescent="0.2">
      <c r="A1196" s="2">
        <v>1195</v>
      </c>
      <c r="B1196" s="5">
        <f t="shared" si="72"/>
        <v>0</v>
      </c>
      <c r="C1196" s="5">
        <f t="shared" si="73"/>
        <v>0</v>
      </c>
      <c r="D1196" s="5"/>
      <c r="E1196" s="5">
        <f>IF($B1196 &lt;= 0, 0, -ROUND($B1196 * (InterestRate / PaymentsPerYear), 2))</f>
        <v>0</v>
      </c>
      <c r="F1196" s="5">
        <f>ROUND(IFERROR(IF($B1196&lt;=0,0,
MAX(-$B1196, -(-PMT(InterestRate/PaymentsPerYear,LoanTerm*PaymentsPerYear,LoanAmount) + $E1196))), 0), 2)</f>
        <v>0</v>
      </c>
      <c r="G1196" s="5">
        <f t="shared" si="74"/>
        <v>0</v>
      </c>
      <c r="H1196" s="5">
        <f t="shared" si="75"/>
        <v>0</v>
      </c>
    </row>
    <row r="1197" spans="1:8" x14ac:dyDescent="0.2">
      <c r="A1197" s="2">
        <v>1196</v>
      </c>
      <c r="B1197" s="5">
        <f t="shared" si="72"/>
        <v>0</v>
      </c>
      <c r="C1197" s="5">
        <f t="shared" si="73"/>
        <v>0</v>
      </c>
      <c r="D1197" s="5"/>
      <c r="E1197" s="5">
        <f>IF($B1197 &lt;= 0, 0, -ROUND($B1197 * (InterestRate / PaymentsPerYear), 2))</f>
        <v>0</v>
      </c>
      <c r="F1197" s="5">
        <f>ROUND(IFERROR(IF($B1197&lt;=0,0,
MAX(-$B1197, -(-PMT(InterestRate/PaymentsPerYear,LoanTerm*PaymentsPerYear,LoanAmount) + $E1197))), 0), 2)</f>
        <v>0</v>
      </c>
      <c r="G1197" s="5">
        <f t="shared" si="74"/>
        <v>0</v>
      </c>
      <c r="H1197" s="5">
        <f t="shared" si="75"/>
        <v>0</v>
      </c>
    </row>
    <row r="1198" spans="1:8" x14ac:dyDescent="0.2">
      <c r="A1198" s="2">
        <v>1197</v>
      </c>
      <c r="B1198" s="5">
        <f t="shared" si="72"/>
        <v>0</v>
      </c>
      <c r="C1198" s="5">
        <f t="shared" si="73"/>
        <v>0</v>
      </c>
      <c r="D1198" s="5"/>
      <c r="E1198" s="5">
        <f>IF($B1198 &lt;= 0, 0, -ROUND($B1198 * (InterestRate / PaymentsPerYear), 2))</f>
        <v>0</v>
      </c>
      <c r="F1198" s="5">
        <f>ROUND(IFERROR(IF($B1198&lt;=0,0,
MAX(-$B1198, -(-PMT(InterestRate/PaymentsPerYear,LoanTerm*PaymentsPerYear,LoanAmount) + $E1198))), 0), 2)</f>
        <v>0</v>
      </c>
      <c r="G1198" s="5">
        <f t="shared" si="74"/>
        <v>0</v>
      </c>
      <c r="H1198" s="5">
        <f t="shared" si="75"/>
        <v>0</v>
      </c>
    </row>
    <row r="1199" spans="1:8" x14ac:dyDescent="0.2">
      <c r="A1199" s="2">
        <v>1198</v>
      </c>
      <c r="B1199" s="5">
        <f t="shared" si="72"/>
        <v>0</v>
      </c>
      <c r="C1199" s="5">
        <f t="shared" si="73"/>
        <v>0</v>
      </c>
      <c r="D1199" s="5"/>
      <c r="E1199" s="5">
        <f>IF($B1199 &lt;= 0, 0, -ROUND($B1199 * (InterestRate / PaymentsPerYear), 2))</f>
        <v>0</v>
      </c>
      <c r="F1199" s="5">
        <f>ROUND(IFERROR(IF($B1199&lt;=0,0,
MAX(-$B1199, -(-PMT(InterestRate/PaymentsPerYear,LoanTerm*PaymentsPerYear,LoanAmount) + $E1199))), 0), 2)</f>
        <v>0</v>
      </c>
      <c r="G1199" s="5">
        <f t="shared" si="74"/>
        <v>0</v>
      </c>
      <c r="H1199" s="5">
        <f t="shared" si="75"/>
        <v>0</v>
      </c>
    </row>
    <row r="1200" spans="1:8" x14ac:dyDescent="0.2">
      <c r="A1200" s="2">
        <v>1199</v>
      </c>
      <c r="B1200" s="5">
        <f t="shared" si="72"/>
        <v>0</v>
      </c>
      <c r="C1200" s="5">
        <f t="shared" si="73"/>
        <v>0</v>
      </c>
      <c r="D1200" s="5"/>
      <c r="E1200" s="5">
        <f>IF($B1200 &lt;= 0, 0, -ROUND($B1200 * (InterestRate / PaymentsPerYear), 2))</f>
        <v>0</v>
      </c>
      <c r="F1200" s="5">
        <f>ROUND(IFERROR(IF($B1200&lt;=0,0,
MAX(-$B1200, -(-PMT(InterestRate/PaymentsPerYear,LoanTerm*PaymentsPerYear,LoanAmount) + $E1200))), 0), 2)</f>
        <v>0</v>
      </c>
      <c r="G1200" s="5">
        <f t="shared" si="74"/>
        <v>0</v>
      </c>
      <c r="H1200" s="5">
        <f t="shared" si="75"/>
        <v>0</v>
      </c>
    </row>
    <row r="1201" spans="1:8" x14ac:dyDescent="0.2">
      <c r="A1201" s="2">
        <v>1200</v>
      </c>
      <c r="B1201" s="5">
        <f t="shared" si="72"/>
        <v>0</v>
      </c>
      <c r="C1201" s="5">
        <f t="shared" si="73"/>
        <v>0</v>
      </c>
      <c r="D1201" s="5"/>
      <c r="E1201" s="5">
        <f>IF($B1201 &lt;= 0, 0, -ROUND($B1201 * (InterestRate / PaymentsPerYear), 2))</f>
        <v>0</v>
      </c>
      <c r="F1201" s="5">
        <f>ROUND(IFERROR(IF($B1201&lt;=0,0,
MAX(-$B1201, -(-PMT(InterestRate/PaymentsPerYear,LoanTerm*PaymentsPerYear,LoanAmount) + $E1201))), 0), 2)</f>
        <v>0</v>
      </c>
      <c r="G1201" s="5">
        <f t="shared" si="74"/>
        <v>0</v>
      </c>
      <c r="H1201" s="5">
        <f t="shared" si="75"/>
        <v>0</v>
      </c>
    </row>
    <row r="1202" spans="1:8" x14ac:dyDescent="0.2">
      <c r="A1202" s="2">
        <v>1201</v>
      </c>
      <c r="B1202" s="5">
        <f t="shared" si="72"/>
        <v>0</v>
      </c>
      <c r="C1202" s="5">
        <f t="shared" si="73"/>
        <v>0</v>
      </c>
      <c r="D1202" s="5"/>
      <c r="E1202" s="5">
        <f>IF($B1202 &lt;= 0, 0, -ROUND($B1202 * (InterestRate / PaymentsPerYear), 2))</f>
        <v>0</v>
      </c>
      <c r="F1202" s="5">
        <f>ROUND(IFERROR(IF($B1202&lt;=0,0,
MAX(-$B1202, -(-PMT(InterestRate/PaymentsPerYear,LoanTerm*PaymentsPerYear,LoanAmount) + $E1202))), 0), 2)</f>
        <v>0</v>
      </c>
      <c r="G1202" s="5">
        <f t="shared" si="74"/>
        <v>0</v>
      </c>
      <c r="H1202" s="5">
        <f t="shared" si="75"/>
        <v>0</v>
      </c>
    </row>
    <row r="1203" spans="1:8" x14ac:dyDescent="0.2">
      <c r="A1203" s="2">
        <v>1202</v>
      </c>
      <c r="B1203" s="5">
        <f t="shared" si="72"/>
        <v>0</v>
      </c>
      <c r="C1203" s="5">
        <f t="shared" si="73"/>
        <v>0</v>
      </c>
      <c r="D1203" s="5"/>
      <c r="E1203" s="5">
        <f>IF($B1203 &lt;= 0, 0, -ROUND($B1203 * (InterestRate / PaymentsPerYear), 2))</f>
        <v>0</v>
      </c>
      <c r="F1203" s="5">
        <f>ROUND(IFERROR(IF($B1203&lt;=0,0,
MAX(-$B1203, -(-PMT(InterestRate/PaymentsPerYear,LoanTerm*PaymentsPerYear,LoanAmount) + $E1203))), 0), 2)</f>
        <v>0</v>
      </c>
      <c r="G1203" s="5">
        <f t="shared" si="74"/>
        <v>0</v>
      </c>
      <c r="H1203" s="5">
        <f t="shared" si="75"/>
        <v>0</v>
      </c>
    </row>
    <row r="1204" spans="1:8" x14ac:dyDescent="0.2">
      <c r="A1204" s="2">
        <v>1203</v>
      </c>
      <c r="B1204" s="5">
        <f t="shared" si="72"/>
        <v>0</v>
      </c>
      <c r="C1204" s="5">
        <f t="shared" si="73"/>
        <v>0</v>
      </c>
      <c r="D1204" s="5"/>
      <c r="E1204" s="5">
        <f>IF($B1204 &lt;= 0, 0, -ROUND($B1204 * (InterestRate / PaymentsPerYear), 2))</f>
        <v>0</v>
      </c>
      <c r="F1204" s="5">
        <f>ROUND(IFERROR(IF($B1204&lt;=0,0,
MAX(-$B1204, -(-PMT(InterestRate/PaymentsPerYear,LoanTerm*PaymentsPerYear,LoanAmount) + $E1204))), 0), 2)</f>
        <v>0</v>
      </c>
      <c r="G1204" s="5">
        <f t="shared" si="74"/>
        <v>0</v>
      </c>
      <c r="H1204" s="5">
        <f t="shared" si="75"/>
        <v>0</v>
      </c>
    </row>
    <row r="1205" spans="1:8" x14ac:dyDescent="0.2">
      <c r="A1205" s="2">
        <v>1204</v>
      </c>
      <c r="B1205" s="5">
        <f t="shared" si="72"/>
        <v>0</v>
      </c>
      <c r="C1205" s="5">
        <f t="shared" si="73"/>
        <v>0</v>
      </c>
      <c r="D1205" s="5"/>
      <c r="E1205" s="5">
        <f>IF($B1205 &lt;= 0, 0, -ROUND($B1205 * (InterestRate / PaymentsPerYear), 2))</f>
        <v>0</v>
      </c>
      <c r="F1205" s="5">
        <f>ROUND(IFERROR(IF($B1205&lt;=0,0,
MAX(-$B1205, -(-PMT(InterestRate/PaymentsPerYear,LoanTerm*PaymentsPerYear,LoanAmount) + $E1205))), 0), 2)</f>
        <v>0</v>
      </c>
      <c r="G1205" s="5">
        <f t="shared" si="74"/>
        <v>0</v>
      </c>
      <c r="H1205" s="5">
        <f t="shared" si="75"/>
        <v>0</v>
      </c>
    </row>
    <row r="1206" spans="1:8" x14ac:dyDescent="0.2">
      <c r="A1206" s="2">
        <v>1205</v>
      </c>
      <c r="B1206" s="5">
        <f t="shared" si="72"/>
        <v>0</v>
      </c>
      <c r="C1206" s="5">
        <f t="shared" si="73"/>
        <v>0</v>
      </c>
      <c r="D1206" s="5"/>
      <c r="E1206" s="5">
        <f>IF($B1206 &lt;= 0, 0, -ROUND($B1206 * (InterestRate / PaymentsPerYear), 2))</f>
        <v>0</v>
      </c>
      <c r="F1206" s="5">
        <f>ROUND(IFERROR(IF($B1206&lt;=0,0,
MAX(-$B1206, -(-PMT(InterestRate/PaymentsPerYear,LoanTerm*PaymentsPerYear,LoanAmount) + $E1206))), 0), 2)</f>
        <v>0</v>
      </c>
      <c r="G1206" s="5">
        <f t="shared" si="74"/>
        <v>0</v>
      </c>
      <c r="H1206" s="5">
        <f t="shared" si="75"/>
        <v>0</v>
      </c>
    </row>
    <row r="1207" spans="1:8" x14ac:dyDescent="0.2">
      <c r="A1207" s="2">
        <v>1206</v>
      </c>
      <c r="B1207" s="5">
        <f t="shared" si="72"/>
        <v>0</v>
      </c>
      <c r="C1207" s="5">
        <f t="shared" si="73"/>
        <v>0</v>
      </c>
      <c r="D1207" s="5"/>
      <c r="E1207" s="5">
        <f>IF($B1207 &lt;= 0, 0, -ROUND($B1207 * (InterestRate / PaymentsPerYear), 2))</f>
        <v>0</v>
      </c>
      <c r="F1207" s="5">
        <f>ROUND(IFERROR(IF($B1207&lt;=0,0,
MAX(-$B1207, -(-PMT(InterestRate/PaymentsPerYear,LoanTerm*PaymentsPerYear,LoanAmount) + $E1207))), 0), 2)</f>
        <v>0</v>
      </c>
      <c r="G1207" s="5">
        <f t="shared" si="74"/>
        <v>0</v>
      </c>
      <c r="H1207" s="5">
        <f t="shared" si="75"/>
        <v>0</v>
      </c>
    </row>
    <row r="1208" spans="1:8" x14ac:dyDescent="0.2">
      <c r="A1208" s="2">
        <v>1207</v>
      </c>
      <c r="B1208" s="5">
        <f t="shared" si="72"/>
        <v>0</v>
      </c>
      <c r="C1208" s="5">
        <f t="shared" si="73"/>
        <v>0</v>
      </c>
      <c r="D1208" s="5"/>
      <c r="E1208" s="5">
        <f>IF($B1208 &lt;= 0, 0, -ROUND($B1208 * (InterestRate / PaymentsPerYear), 2))</f>
        <v>0</v>
      </c>
      <c r="F1208" s="5">
        <f>ROUND(IFERROR(IF($B1208&lt;=0,0,
MAX(-$B1208, -(-PMT(InterestRate/PaymentsPerYear,LoanTerm*PaymentsPerYear,LoanAmount) + $E1208))), 0), 2)</f>
        <v>0</v>
      </c>
      <c r="G1208" s="5">
        <f t="shared" si="74"/>
        <v>0</v>
      </c>
      <c r="H1208" s="5">
        <f t="shared" si="75"/>
        <v>0</v>
      </c>
    </row>
    <row r="1209" spans="1:8" x14ac:dyDescent="0.2">
      <c r="A1209" s="2">
        <v>1208</v>
      </c>
      <c r="B1209" s="5">
        <f t="shared" si="72"/>
        <v>0</v>
      </c>
      <c r="C1209" s="5">
        <f t="shared" si="73"/>
        <v>0</v>
      </c>
      <c r="D1209" s="5"/>
      <c r="E1209" s="5">
        <f>IF($B1209 &lt;= 0, 0, -ROUND($B1209 * (InterestRate / PaymentsPerYear), 2))</f>
        <v>0</v>
      </c>
      <c r="F1209" s="5">
        <f>ROUND(IFERROR(IF($B1209&lt;=0,0,
MAX(-$B1209, -(-PMT(InterestRate/PaymentsPerYear,LoanTerm*PaymentsPerYear,LoanAmount) + $E1209))), 0), 2)</f>
        <v>0</v>
      </c>
      <c r="G1209" s="5">
        <f t="shared" si="74"/>
        <v>0</v>
      </c>
      <c r="H1209" s="5">
        <f t="shared" si="75"/>
        <v>0</v>
      </c>
    </row>
    <row r="1210" spans="1:8" x14ac:dyDescent="0.2">
      <c r="A1210" s="2">
        <v>1209</v>
      </c>
      <c r="B1210" s="5">
        <f t="shared" si="72"/>
        <v>0</v>
      </c>
      <c r="C1210" s="5">
        <f t="shared" si="73"/>
        <v>0</v>
      </c>
      <c r="D1210" s="5"/>
      <c r="E1210" s="5">
        <f>IF($B1210 &lt;= 0, 0, -ROUND($B1210 * (InterestRate / PaymentsPerYear), 2))</f>
        <v>0</v>
      </c>
      <c r="F1210" s="5">
        <f>ROUND(IFERROR(IF($B1210&lt;=0,0,
MAX(-$B1210, -(-PMT(InterestRate/PaymentsPerYear,LoanTerm*PaymentsPerYear,LoanAmount) + $E1210))), 0), 2)</f>
        <v>0</v>
      </c>
      <c r="G1210" s="5">
        <f t="shared" si="74"/>
        <v>0</v>
      </c>
      <c r="H1210" s="5">
        <f t="shared" si="75"/>
        <v>0</v>
      </c>
    </row>
    <row r="1211" spans="1:8" x14ac:dyDescent="0.2">
      <c r="A1211" s="2">
        <v>1210</v>
      </c>
      <c r="B1211" s="5">
        <f t="shared" si="72"/>
        <v>0</v>
      </c>
      <c r="C1211" s="5">
        <f t="shared" si="73"/>
        <v>0</v>
      </c>
      <c r="D1211" s="5"/>
      <c r="E1211" s="5">
        <f>IF($B1211 &lt;= 0, 0, -ROUND($B1211 * (InterestRate / PaymentsPerYear), 2))</f>
        <v>0</v>
      </c>
      <c r="F1211" s="5">
        <f>ROUND(IFERROR(IF($B1211&lt;=0,0,
MAX(-$B1211, -(-PMT(InterestRate/PaymentsPerYear,LoanTerm*PaymentsPerYear,LoanAmount) + $E1211))), 0), 2)</f>
        <v>0</v>
      </c>
      <c r="G1211" s="5">
        <f t="shared" si="74"/>
        <v>0</v>
      </c>
      <c r="H1211" s="5">
        <f t="shared" si="75"/>
        <v>0</v>
      </c>
    </row>
    <row r="1212" spans="1:8" x14ac:dyDescent="0.2">
      <c r="A1212" s="2">
        <v>1211</v>
      </c>
      <c r="B1212" s="5">
        <f t="shared" si="72"/>
        <v>0</v>
      </c>
      <c r="C1212" s="5">
        <f t="shared" si="73"/>
        <v>0</v>
      </c>
      <c r="D1212" s="5"/>
      <c r="E1212" s="5">
        <f>IF($B1212 &lt;= 0, 0, -ROUND($B1212 * (InterestRate / PaymentsPerYear), 2))</f>
        <v>0</v>
      </c>
      <c r="F1212" s="5">
        <f>ROUND(IFERROR(IF($B1212&lt;=0,0,
MAX(-$B1212, -(-PMT(InterestRate/PaymentsPerYear,LoanTerm*PaymentsPerYear,LoanAmount) + $E1212))), 0), 2)</f>
        <v>0</v>
      </c>
      <c r="G1212" s="5">
        <f t="shared" si="74"/>
        <v>0</v>
      </c>
      <c r="H1212" s="5">
        <f t="shared" si="75"/>
        <v>0</v>
      </c>
    </row>
    <row r="1213" spans="1:8" x14ac:dyDescent="0.2">
      <c r="A1213" s="2">
        <v>1212</v>
      </c>
      <c r="B1213" s="5">
        <f t="shared" si="72"/>
        <v>0</v>
      </c>
      <c r="C1213" s="5">
        <f t="shared" si="73"/>
        <v>0</v>
      </c>
      <c r="D1213" s="5"/>
      <c r="E1213" s="5">
        <f>IF($B1213 &lt;= 0, 0, -ROUND($B1213 * (InterestRate / PaymentsPerYear), 2))</f>
        <v>0</v>
      </c>
      <c r="F1213" s="5">
        <f>ROUND(IFERROR(IF($B1213&lt;=0,0,
MAX(-$B1213, -(-PMT(InterestRate/PaymentsPerYear,LoanTerm*PaymentsPerYear,LoanAmount) + $E1213))), 0), 2)</f>
        <v>0</v>
      </c>
      <c r="G1213" s="5">
        <f t="shared" si="74"/>
        <v>0</v>
      </c>
      <c r="H1213" s="5">
        <f t="shared" si="75"/>
        <v>0</v>
      </c>
    </row>
    <row r="1214" spans="1:8" x14ac:dyDescent="0.2">
      <c r="A1214" s="2">
        <v>1213</v>
      </c>
      <c r="B1214" s="5">
        <f t="shared" si="72"/>
        <v>0</v>
      </c>
      <c r="C1214" s="5">
        <f t="shared" si="73"/>
        <v>0</v>
      </c>
      <c r="D1214" s="5"/>
      <c r="E1214" s="5">
        <f>IF($B1214 &lt;= 0, 0, -ROUND($B1214 * (InterestRate / PaymentsPerYear), 2))</f>
        <v>0</v>
      </c>
      <c r="F1214" s="5">
        <f>ROUND(IFERROR(IF($B1214&lt;=0,0,
MAX(-$B1214, -(-PMT(InterestRate/PaymentsPerYear,LoanTerm*PaymentsPerYear,LoanAmount) + $E1214))), 0), 2)</f>
        <v>0</v>
      </c>
      <c r="G1214" s="5">
        <f t="shared" si="74"/>
        <v>0</v>
      </c>
      <c r="H1214" s="5">
        <f t="shared" si="75"/>
        <v>0</v>
      </c>
    </row>
    <row r="1215" spans="1:8" x14ac:dyDescent="0.2">
      <c r="A1215" s="2">
        <v>1214</v>
      </c>
      <c r="B1215" s="5">
        <f t="shared" si="72"/>
        <v>0</v>
      </c>
      <c r="C1215" s="5">
        <f t="shared" si="73"/>
        <v>0</v>
      </c>
      <c r="D1215" s="5"/>
      <c r="E1215" s="5">
        <f>IF($B1215 &lt;= 0, 0, -ROUND($B1215 * (InterestRate / PaymentsPerYear), 2))</f>
        <v>0</v>
      </c>
      <c r="F1215" s="5">
        <f>ROUND(IFERROR(IF($B1215&lt;=0,0,
MAX(-$B1215, -(-PMT(InterestRate/PaymentsPerYear,LoanTerm*PaymentsPerYear,LoanAmount) + $E1215))), 0), 2)</f>
        <v>0</v>
      </c>
      <c r="G1215" s="5">
        <f t="shared" si="74"/>
        <v>0</v>
      </c>
      <c r="H1215" s="5">
        <f t="shared" si="75"/>
        <v>0</v>
      </c>
    </row>
    <row r="1216" spans="1:8" x14ac:dyDescent="0.2">
      <c r="A1216" s="2">
        <v>1215</v>
      </c>
      <c r="B1216" s="5">
        <f t="shared" si="72"/>
        <v>0</v>
      </c>
      <c r="C1216" s="5">
        <f t="shared" si="73"/>
        <v>0</v>
      </c>
      <c r="D1216" s="5"/>
      <c r="E1216" s="5">
        <f>IF($B1216 &lt;= 0, 0, -ROUND($B1216 * (InterestRate / PaymentsPerYear), 2))</f>
        <v>0</v>
      </c>
      <c r="F1216" s="5">
        <f>ROUND(IFERROR(IF($B1216&lt;=0,0,
MAX(-$B1216, -(-PMT(InterestRate/PaymentsPerYear,LoanTerm*PaymentsPerYear,LoanAmount) + $E1216))), 0), 2)</f>
        <v>0</v>
      </c>
      <c r="G1216" s="5">
        <f t="shared" si="74"/>
        <v>0</v>
      </c>
      <c r="H1216" s="5">
        <f t="shared" si="75"/>
        <v>0</v>
      </c>
    </row>
    <row r="1217" spans="1:8" x14ac:dyDescent="0.2">
      <c r="A1217" s="2">
        <v>1216</v>
      </c>
      <c r="B1217" s="5">
        <f t="shared" si="72"/>
        <v>0</v>
      </c>
      <c r="C1217" s="5">
        <f t="shared" si="73"/>
        <v>0</v>
      </c>
      <c r="D1217" s="5"/>
      <c r="E1217" s="5">
        <f>IF($B1217 &lt;= 0, 0, -ROUND($B1217 * (InterestRate / PaymentsPerYear), 2))</f>
        <v>0</v>
      </c>
      <c r="F1217" s="5">
        <f>ROUND(IFERROR(IF($B1217&lt;=0,0,
MAX(-$B1217, -(-PMT(InterestRate/PaymentsPerYear,LoanTerm*PaymentsPerYear,LoanAmount) + $E1217))), 0), 2)</f>
        <v>0</v>
      </c>
      <c r="G1217" s="5">
        <f t="shared" si="74"/>
        <v>0</v>
      </c>
      <c r="H1217" s="5">
        <f t="shared" si="75"/>
        <v>0</v>
      </c>
    </row>
    <row r="1218" spans="1:8" x14ac:dyDescent="0.2">
      <c r="A1218" s="2">
        <v>1217</v>
      </c>
      <c r="B1218" s="5">
        <f t="shared" si="72"/>
        <v>0</v>
      </c>
      <c r="C1218" s="5">
        <f t="shared" si="73"/>
        <v>0</v>
      </c>
      <c r="D1218" s="5"/>
      <c r="E1218" s="5">
        <f>IF($B1218 &lt;= 0, 0, -ROUND($B1218 * (InterestRate / PaymentsPerYear), 2))</f>
        <v>0</v>
      </c>
      <c r="F1218" s="5">
        <f>ROUND(IFERROR(IF($B1218&lt;=0,0,
MAX(-$B1218, -(-PMT(InterestRate/PaymentsPerYear,LoanTerm*PaymentsPerYear,LoanAmount) + $E1218))), 0), 2)</f>
        <v>0</v>
      </c>
      <c r="G1218" s="5">
        <f t="shared" si="74"/>
        <v>0</v>
      </c>
      <c r="H1218" s="5">
        <f t="shared" si="75"/>
        <v>0</v>
      </c>
    </row>
    <row r="1219" spans="1:8" x14ac:dyDescent="0.2">
      <c r="A1219" s="2">
        <v>1218</v>
      </c>
      <c r="B1219" s="5">
        <f t="shared" si="72"/>
        <v>0</v>
      </c>
      <c r="C1219" s="5">
        <f t="shared" si="73"/>
        <v>0</v>
      </c>
      <c r="D1219" s="5"/>
      <c r="E1219" s="5">
        <f>IF($B1219 &lt;= 0, 0, -ROUND($B1219 * (InterestRate / PaymentsPerYear), 2))</f>
        <v>0</v>
      </c>
      <c r="F1219" s="5">
        <f>ROUND(IFERROR(IF($B1219&lt;=0,0,
MAX(-$B1219, -(-PMT(InterestRate/PaymentsPerYear,LoanTerm*PaymentsPerYear,LoanAmount) + $E1219))), 0), 2)</f>
        <v>0</v>
      </c>
      <c r="G1219" s="5">
        <f t="shared" si="74"/>
        <v>0</v>
      </c>
      <c r="H1219" s="5">
        <f t="shared" si="75"/>
        <v>0</v>
      </c>
    </row>
    <row r="1220" spans="1:8" x14ac:dyDescent="0.2">
      <c r="A1220" s="2">
        <v>1219</v>
      </c>
      <c r="B1220" s="5">
        <f t="shared" ref="B1220:B1283" si="76">ROUND(IF($H1219 &gt;= 0, MAX($H1219, $F1219), 0), 2)</f>
        <v>0</v>
      </c>
      <c r="C1220" s="5">
        <f t="shared" ref="C1220:C1283" si="77">IF($B1220 &lt;= 0, 0, $E1220+$F1220)</f>
        <v>0</v>
      </c>
      <c r="D1220" s="5"/>
      <c r="E1220" s="5">
        <f>IF($B1220 &lt;= 0, 0, -ROUND($B1220 * (InterestRate / PaymentsPerYear), 2))</f>
        <v>0</v>
      </c>
      <c r="F1220" s="5">
        <f>ROUND(IFERROR(IF($B1220&lt;=0,0,
MAX(-$B1220, -(-PMT(InterestRate/PaymentsPerYear,LoanTerm*PaymentsPerYear,LoanAmount) + $E1220))), 0), 2)</f>
        <v>0</v>
      </c>
      <c r="G1220" s="5">
        <f t="shared" ref="G1220:G1283" si="78">$F1220</f>
        <v>0</v>
      </c>
      <c r="H1220" s="5">
        <f t="shared" ref="H1220:H1283" si="79">ROUND(IF($B1220 &lt;= 0, 0,MAX(0, $B1220 + $G1220)), 2)</f>
        <v>0</v>
      </c>
    </row>
    <row r="1221" spans="1:8" x14ac:dyDescent="0.2">
      <c r="A1221" s="2">
        <v>1220</v>
      </c>
      <c r="B1221" s="5">
        <f t="shared" si="76"/>
        <v>0</v>
      </c>
      <c r="C1221" s="5">
        <f t="shared" si="77"/>
        <v>0</v>
      </c>
      <c r="D1221" s="5"/>
      <c r="E1221" s="5">
        <f>IF($B1221 &lt;= 0, 0, -ROUND($B1221 * (InterestRate / PaymentsPerYear), 2))</f>
        <v>0</v>
      </c>
      <c r="F1221" s="5">
        <f>ROUND(IFERROR(IF($B1221&lt;=0,0,
MAX(-$B1221, -(-PMT(InterestRate/PaymentsPerYear,LoanTerm*PaymentsPerYear,LoanAmount) + $E1221))), 0), 2)</f>
        <v>0</v>
      </c>
      <c r="G1221" s="5">
        <f t="shared" si="78"/>
        <v>0</v>
      </c>
      <c r="H1221" s="5">
        <f t="shared" si="79"/>
        <v>0</v>
      </c>
    </row>
    <row r="1222" spans="1:8" x14ac:dyDescent="0.2">
      <c r="A1222" s="2">
        <v>1221</v>
      </c>
      <c r="B1222" s="5">
        <f t="shared" si="76"/>
        <v>0</v>
      </c>
      <c r="C1222" s="5">
        <f t="shared" si="77"/>
        <v>0</v>
      </c>
      <c r="D1222" s="5"/>
      <c r="E1222" s="5">
        <f>IF($B1222 &lt;= 0, 0, -ROUND($B1222 * (InterestRate / PaymentsPerYear), 2))</f>
        <v>0</v>
      </c>
      <c r="F1222" s="5">
        <f>ROUND(IFERROR(IF($B1222&lt;=0,0,
MAX(-$B1222, -(-PMT(InterestRate/PaymentsPerYear,LoanTerm*PaymentsPerYear,LoanAmount) + $E1222))), 0), 2)</f>
        <v>0</v>
      </c>
      <c r="G1222" s="5">
        <f t="shared" si="78"/>
        <v>0</v>
      </c>
      <c r="H1222" s="5">
        <f t="shared" si="79"/>
        <v>0</v>
      </c>
    </row>
    <row r="1223" spans="1:8" x14ac:dyDescent="0.2">
      <c r="A1223" s="2">
        <v>1222</v>
      </c>
      <c r="B1223" s="5">
        <f t="shared" si="76"/>
        <v>0</v>
      </c>
      <c r="C1223" s="5">
        <f t="shared" si="77"/>
        <v>0</v>
      </c>
      <c r="D1223" s="5"/>
      <c r="E1223" s="5">
        <f>IF($B1223 &lt;= 0, 0, -ROUND($B1223 * (InterestRate / PaymentsPerYear), 2))</f>
        <v>0</v>
      </c>
      <c r="F1223" s="5">
        <f>ROUND(IFERROR(IF($B1223&lt;=0,0,
MAX(-$B1223, -(-PMT(InterestRate/PaymentsPerYear,LoanTerm*PaymentsPerYear,LoanAmount) + $E1223))), 0), 2)</f>
        <v>0</v>
      </c>
      <c r="G1223" s="5">
        <f t="shared" si="78"/>
        <v>0</v>
      </c>
      <c r="H1223" s="5">
        <f t="shared" si="79"/>
        <v>0</v>
      </c>
    </row>
    <row r="1224" spans="1:8" x14ac:dyDescent="0.2">
      <c r="A1224" s="2">
        <v>1223</v>
      </c>
      <c r="B1224" s="5">
        <f t="shared" si="76"/>
        <v>0</v>
      </c>
      <c r="C1224" s="5">
        <f t="shared" si="77"/>
        <v>0</v>
      </c>
      <c r="D1224" s="5"/>
      <c r="E1224" s="5">
        <f>IF($B1224 &lt;= 0, 0, -ROUND($B1224 * (InterestRate / PaymentsPerYear), 2))</f>
        <v>0</v>
      </c>
      <c r="F1224" s="5">
        <f>ROUND(IFERROR(IF($B1224&lt;=0,0,
MAX(-$B1224, -(-PMT(InterestRate/PaymentsPerYear,LoanTerm*PaymentsPerYear,LoanAmount) + $E1224))), 0), 2)</f>
        <v>0</v>
      </c>
      <c r="G1224" s="5">
        <f t="shared" si="78"/>
        <v>0</v>
      </c>
      <c r="H1224" s="5">
        <f t="shared" si="79"/>
        <v>0</v>
      </c>
    </row>
    <row r="1225" spans="1:8" x14ac:dyDescent="0.2">
      <c r="A1225" s="2">
        <v>1224</v>
      </c>
      <c r="B1225" s="5">
        <f t="shared" si="76"/>
        <v>0</v>
      </c>
      <c r="C1225" s="5">
        <f t="shared" si="77"/>
        <v>0</v>
      </c>
      <c r="D1225" s="5"/>
      <c r="E1225" s="5">
        <f>IF($B1225 &lt;= 0, 0, -ROUND($B1225 * (InterestRate / PaymentsPerYear), 2))</f>
        <v>0</v>
      </c>
      <c r="F1225" s="5">
        <f>ROUND(IFERROR(IF($B1225&lt;=0,0,
MAX(-$B1225, -(-PMT(InterestRate/PaymentsPerYear,LoanTerm*PaymentsPerYear,LoanAmount) + $E1225))), 0), 2)</f>
        <v>0</v>
      </c>
      <c r="G1225" s="5">
        <f t="shared" si="78"/>
        <v>0</v>
      </c>
      <c r="H1225" s="5">
        <f t="shared" si="79"/>
        <v>0</v>
      </c>
    </row>
    <row r="1226" spans="1:8" x14ac:dyDescent="0.2">
      <c r="A1226" s="2">
        <v>1225</v>
      </c>
      <c r="B1226" s="5">
        <f t="shared" si="76"/>
        <v>0</v>
      </c>
      <c r="C1226" s="5">
        <f t="shared" si="77"/>
        <v>0</v>
      </c>
      <c r="D1226" s="5"/>
      <c r="E1226" s="5">
        <f>IF($B1226 &lt;= 0, 0, -ROUND($B1226 * (InterestRate / PaymentsPerYear), 2))</f>
        <v>0</v>
      </c>
      <c r="F1226" s="5">
        <f>ROUND(IFERROR(IF($B1226&lt;=0,0,
MAX(-$B1226, -(-PMT(InterestRate/PaymentsPerYear,LoanTerm*PaymentsPerYear,LoanAmount) + $E1226))), 0), 2)</f>
        <v>0</v>
      </c>
      <c r="G1226" s="5">
        <f t="shared" si="78"/>
        <v>0</v>
      </c>
      <c r="H1226" s="5">
        <f t="shared" si="79"/>
        <v>0</v>
      </c>
    </row>
    <row r="1227" spans="1:8" x14ac:dyDescent="0.2">
      <c r="A1227" s="2">
        <v>1226</v>
      </c>
      <c r="B1227" s="5">
        <f t="shared" si="76"/>
        <v>0</v>
      </c>
      <c r="C1227" s="5">
        <f t="shared" si="77"/>
        <v>0</v>
      </c>
      <c r="D1227" s="5"/>
      <c r="E1227" s="5">
        <f>IF($B1227 &lt;= 0, 0, -ROUND($B1227 * (InterestRate / PaymentsPerYear), 2))</f>
        <v>0</v>
      </c>
      <c r="F1227" s="5">
        <f>ROUND(IFERROR(IF($B1227&lt;=0,0,
MAX(-$B1227, -(-PMT(InterestRate/PaymentsPerYear,LoanTerm*PaymentsPerYear,LoanAmount) + $E1227))), 0), 2)</f>
        <v>0</v>
      </c>
      <c r="G1227" s="5">
        <f t="shared" si="78"/>
        <v>0</v>
      </c>
      <c r="H1227" s="5">
        <f t="shared" si="79"/>
        <v>0</v>
      </c>
    </row>
    <row r="1228" spans="1:8" x14ac:dyDescent="0.2">
      <c r="A1228" s="2">
        <v>1227</v>
      </c>
      <c r="B1228" s="5">
        <f t="shared" si="76"/>
        <v>0</v>
      </c>
      <c r="C1228" s="5">
        <f t="shared" si="77"/>
        <v>0</v>
      </c>
      <c r="D1228" s="5"/>
      <c r="E1228" s="5">
        <f>IF($B1228 &lt;= 0, 0, -ROUND($B1228 * (InterestRate / PaymentsPerYear), 2))</f>
        <v>0</v>
      </c>
      <c r="F1228" s="5">
        <f>ROUND(IFERROR(IF($B1228&lt;=0,0,
MAX(-$B1228, -(-PMT(InterestRate/PaymentsPerYear,LoanTerm*PaymentsPerYear,LoanAmount) + $E1228))), 0), 2)</f>
        <v>0</v>
      </c>
      <c r="G1228" s="5">
        <f t="shared" si="78"/>
        <v>0</v>
      </c>
      <c r="H1228" s="5">
        <f t="shared" si="79"/>
        <v>0</v>
      </c>
    </row>
    <row r="1229" spans="1:8" x14ac:dyDescent="0.2">
      <c r="A1229" s="2">
        <v>1228</v>
      </c>
      <c r="B1229" s="5">
        <f t="shared" si="76"/>
        <v>0</v>
      </c>
      <c r="C1229" s="5">
        <f t="shared" si="77"/>
        <v>0</v>
      </c>
      <c r="D1229" s="5"/>
      <c r="E1229" s="5">
        <f>IF($B1229 &lt;= 0, 0, -ROUND($B1229 * (InterestRate / PaymentsPerYear), 2))</f>
        <v>0</v>
      </c>
      <c r="F1229" s="5">
        <f>ROUND(IFERROR(IF($B1229&lt;=0,0,
MAX(-$B1229, -(-PMT(InterestRate/PaymentsPerYear,LoanTerm*PaymentsPerYear,LoanAmount) + $E1229))), 0), 2)</f>
        <v>0</v>
      </c>
      <c r="G1229" s="5">
        <f t="shared" si="78"/>
        <v>0</v>
      </c>
      <c r="H1229" s="5">
        <f t="shared" si="79"/>
        <v>0</v>
      </c>
    </row>
    <row r="1230" spans="1:8" x14ac:dyDescent="0.2">
      <c r="A1230" s="2">
        <v>1229</v>
      </c>
      <c r="B1230" s="5">
        <f t="shared" si="76"/>
        <v>0</v>
      </c>
      <c r="C1230" s="5">
        <f t="shared" si="77"/>
        <v>0</v>
      </c>
      <c r="D1230" s="5"/>
      <c r="E1230" s="5">
        <f>IF($B1230 &lt;= 0, 0, -ROUND($B1230 * (InterestRate / PaymentsPerYear), 2))</f>
        <v>0</v>
      </c>
      <c r="F1230" s="5">
        <f>ROUND(IFERROR(IF($B1230&lt;=0,0,
MAX(-$B1230, -(-PMT(InterestRate/PaymentsPerYear,LoanTerm*PaymentsPerYear,LoanAmount) + $E1230))), 0), 2)</f>
        <v>0</v>
      </c>
      <c r="G1230" s="5">
        <f t="shared" si="78"/>
        <v>0</v>
      </c>
      <c r="H1230" s="5">
        <f t="shared" si="79"/>
        <v>0</v>
      </c>
    </row>
    <row r="1231" spans="1:8" x14ac:dyDescent="0.2">
      <c r="A1231" s="2">
        <v>1230</v>
      </c>
      <c r="B1231" s="5">
        <f t="shared" si="76"/>
        <v>0</v>
      </c>
      <c r="C1231" s="5">
        <f t="shared" si="77"/>
        <v>0</v>
      </c>
      <c r="D1231" s="5"/>
      <c r="E1231" s="5">
        <f>IF($B1231 &lt;= 0, 0, -ROUND($B1231 * (InterestRate / PaymentsPerYear), 2))</f>
        <v>0</v>
      </c>
      <c r="F1231" s="5">
        <f>ROUND(IFERROR(IF($B1231&lt;=0,0,
MAX(-$B1231, -(-PMT(InterestRate/PaymentsPerYear,LoanTerm*PaymentsPerYear,LoanAmount) + $E1231))), 0), 2)</f>
        <v>0</v>
      </c>
      <c r="G1231" s="5">
        <f t="shared" si="78"/>
        <v>0</v>
      </c>
      <c r="H1231" s="5">
        <f t="shared" si="79"/>
        <v>0</v>
      </c>
    </row>
    <row r="1232" spans="1:8" x14ac:dyDescent="0.2">
      <c r="A1232" s="2">
        <v>1231</v>
      </c>
      <c r="B1232" s="5">
        <f t="shared" si="76"/>
        <v>0</v>
      </c>
      <c r="C1232" s="5">
        <f t="shared" si="77"/>
        <v>0</v>
      </c>
      <c r="D1232" s="5"/>
      <c r="E1232" s="5">
        <f>IF($B1232 &lt;= 0, 0, -ROUND($B1232 * (InterestRate / PaymentsPerYear), 2))</f>
        <v>0</v>
      </c>
      <c r="F1232" s="5">
        <f>ROUND(IFERROR(IF($B1232&lt;=0,0,
MAX(-$B1232, -(-PMT(InterestRate/PaymentsPerYear,LoanTerm*PaymentsPerYear,LoanAmount) + $E1232))), 0), 2)</f>
        <v>0</v>
      </c>
      <c r="G1232" s="5">
        <f t="shared" si="78"/>
        <v>0</v>
      </c>
      <c r="H1232" s="5">
        <f t="shared" si="79"/>
        <v>0</v>
      </c>
    </row>
    <row r="1233" spans="1:8" x14ac:dyDescent="0.2">
      <c r="A1233" s="2">
        <v>1232</v>
      </c>
      <c r="B1233" s="5">
        <f t="shared" si="76"/>
        <v>0</v>
      </c>
      <c r="C1233" s="5">
        <f t="shared" si="77"/>
        <v>0</v>
      </c>
      <c r="D1233" s="5"/>
      <c r="E1233" s="5">
        <f>IF($B1233 &lt;= 0, 0, -ROUND($B1233 * (InterestRate / PaymentsPerYear), 2))</f>
        <v>0</v>
      </c>
      <c r="F1233" s="5">
        <f>ROUND(IFERROR(IF($B1233&lt;=0,0,
MAX(-$B1233, -(-PMT(InterestRate/PaymentsPerYear,LoanTerm*PaymentsPerYear,LoanAmount) + $E1233))), 0), 2)</f>
        <v>0</v>
      </c>
      <c r="G1233" s="5">
        <f t="shared" si="78"/>
        <v>0</v>
      </c>
      <c r="H1233" s="5">
        <f t="shared" si="79"/>
        <v>0</v>
      </c>
    </row>
    <row r="1234" spans="1:8" x14ac:dyDescent="0.2">
      <c r="A1234" s="2">
        <v>1233</v>
      </c>
      <c r="B1234" s="5">
        <f t="shared" si="76"/>
        <v>0</v>
      </c>
      <c r="C1234" s="5">
        <f t="shared" si="77"/>
        <v>0</v>
      </c>
      <c r="D1234" s="5"/>
      <c r="E1234" s="5">
        <f>IF($B1234 &lt;= 0, 0, -ROUND($B1234 * (InterestRate / PaymentsPerYear), 2))</f>
        <v>0</v>
      </c>
      <c r="F1234" s="5">
        <f>ROUND(IFERROR(IF($B1234&lt;=0,0,
MAX(-$B1234, -(-PMT(InterestRate/PaymentsPerYear,LoanTerm*PaymentsPerYear,LoanAmount) + $E1234))), 0), 2)</f>
        <v>0</v>
      </c>
      <c r="G1234" s="5">
        <f t="shared" si="78"/>
        <v>0</v>
      </c>
      <c r="H1234" s="5">
        <f t="shared" si="79"/>
        <v>0</v>
      </c>
    </row>
    <row r="1235" spans="1:8" x14ac:dyDescent="0.2">
      <c r="A1235" s="2">
        <v>1234</v>
      </c>
      <c r="B1235" s="5">
        <f t="shared" si="76"/>
        <v>0</v>
      </c>
      <c r="C1235" s="5">
        <f t="shared" si="77"/>
        <v>0</v>
      </c>
      <c r="D1235" s="5"/>
      <c r="E1235" s="5">
        <f>IF($B1235 &lt;= 0, 0, -ROUND($B1235 * (InterestRate / PaymentsPerYear), 2))</f>
        <v>0</v>
      </c>
      <c r="F1235" s="5">
        <f>ROUND(IFERROR(IF($B1235&lt;=0,0,
MAX(-$B1235, -(-PMT(InterestRate/PaymentsPerYear,LoanTerm*PaymentsPerYear,LoanAmount) + $E1235))), 0), 2)</f>
        <v>0</v>
      </c>
      <c r="G1235" s="5">
        <f t="shared" si="78"/>
        <v>0</v>
      </c>
      <c r="H1235" s="5">
        <f t="shared" si="79"/>
        <v>0</v>
      </c>
    </row>
    <row r="1236" spans="1:8" x14ac:dyDescent="0.2">
      <c r="A1236" s="2">
        <v>1235</v>
      </c>
      <c r="B1236" s="5">
        <f t="shared" si="76"/>
        <v>0</v>
      </c>
      <c r="C1236" s="5">
        <f t="shared" si="77"/>
        <v>0</v>
      </c>
      <c r="D1236" s="5"/>
      <c r="E1236" s="5">
        <f>IF($B1236 &lt;= 0, 0, -ROUND($B1236 * (InterestRate / PaymentsPerYear), 2))</f>
        <v>0</v>
      </c>
      <c r="F1236" s="5">
        <f>ROUND(IFERROR(IF($B1236&lt;=0,0,
MAX(-$B1236, -(-PMT(InterestRate/PaymentsPerYear,LoanTerm*PaymentsPerYear,LoanAmount) + $E1236))), 0), 2)</f>
        <v>0</v>
      </c>
      <c r="G1236" s="5">
        <f t="shared" si="78"/>
        <v>0</v>
      </c>
      <c r="H1236" s="5">
        <f t="shared" si="79"/>
        <v>0</v>
      </c>
    </row>
    <row r="1237" spans="1:8" x14ac:dyDescent="0.2">
      <c r="A1237" s="2">
        <v>1236</v>
      </c>
      <c r="B1237" s="5">
        <f t="shared" si="76"/>
        <v>0</v>
      </c>
      <c r="C1237" s="5">
        <f t="shared" si="77"/>
        <v>0</v>
      </c>
      <c r="D1237" s="5"/>
      <c r="E1237" s="5">
        <f>IF($B1237 &lt;= 0, 0, -ROUND($B1237 * (InterestRate / PaymentsPerYear), 2))</f>
        <v>0</v>
      </c>
      <c r="F1237" s="5">
        <f>ROUND(IFERROR(IF($B1237&lt;=0,0,
MAX(-$B1237, -(-PMT(InterestRate/PaymentsPerYear,LoanTerm*PaymentsPerYear,LoanAmount) + $E1237))), 0), 2)</f>
        <v>0</v>
      </c>
      <c r="G1237" s="5">
        <f t="shared" si="78"/>
        <v>0</v>
      </c>
      <c r="H1237" s="5">
        <f t="shared" si="79"/>
        <v>0</v>
      </c>
    </row>
    <row r="1238" spans="1:8" x14ac:dyDescent="0.2">
      <c r="A1238" s="2">
        <v>1237</v>
      </c>
      <c r="B1238" s="5">
        <f t="shared" si="76"/>
        <v>0</v>
      </c>
      <c r="C1238" s="5">
        <f t="shared" si="77"/>
        <v>0</v>
      </c>
      <c r="D1238" s="5"/>
      <c r="E1238" s="5">
        <f>IF($B1238 &lt;= 0, 0, -ROUND($B1238 * (InterestRate / PaymentsPerYear), 2))</f>
        <v>0</v>
      </c>
      <c r="F1238" s="5">
        <f>ROUND(IFERROR(IF($B1238&lt;=0,0,
MAX(-$B1238, -(-PMT(InterestRate/PaymentsPerYear,LoanTerm*PaymentsPerYear,LoanAmount) + $E1238))), 0), 2)</f>
        <v>0</v>
      </c>
      <c r="G1238" s="5">
        <f t="shared" si="78"/>
        <v>0</v>
      </c>
      <c r="H1238" s="5">
        <f t="shared" si="79"/>
        <v>0</v>
      </c>
    </row>
    <row r="1239" spans="1:8" x14ac:dyDescent="0.2">
      <c r="A1239" s="2">
        <v>1238</v>
      </c>
      <c r="B1239" s="5">
        <f t="shared" si="76"/>
        <v>0</v>
      </c>
      <c r="C1239" s="5">
        <f t="shared" si="77"/>
        <v>0</v>
      </c>
      <c r="D1239" s="5"/>
      <c r="E1239" s="5">
        <f>IF($B1239 &lt;= 0, 0, -ROUND($B1239 * (InterestRate / PaymentsPerYear), 2))</f>
        <v>0</v>
      </c>
      <c r="F1239" s="5">
        <f>ROUND(IFERROR(IF($B1239&lt;=0,0,
MAX(-$B1239, -(-PMT(InterestRate/PaymentsPerYear,LoanTerm*PaymentsPerYear,LoanAmount) + $E1239))), 0), 2)</f>
        <v>0</v>
      </c>
      <c r="G1239" s="5">
        <f t="shared" si="78"/>
        <v>0</v>
      </c>
      <c r="H1239" s="5">
        <f t="shared" si="79"/>
        <v>0</v>
      </c>
    </row>
    <row r="1240" spans="1:8" x14ac:dyDescent="0.2">
      <c r="A1240" s="2">
        <v>1239</v>
      </c>
      <c r="B1240" s="5">
        <f t="shared" si="76"/>
        <v>0</v>
      </c>
      <c r="C1240" s="5">
        <f t="shared" si="77"/>
        <v>0</v>
      </c>
      <c r="D1240" s="5"/>
      <c r="E1240" s="5">
        <f>IF($B1240 &lt;= 0, 0, -ROUND($B1240 * (InterestRate / PaymentsPerYear), 2))</f>
        <v>0</v>
      </c>
      <c r="F1240" s="5">
        <f>ROUND(IFERROR(IF($B1240&lt;=0,0,
MAX(-$B1240, -(-PMT(InterestRate/PaymentsPerYear,LoanTerm*PaymentsPerYear,LoanAmount) + $E1240))), 0), 2)</f>
        <v>0</v>
      </c>
      <c r="G1240" s="5">
        <f t="shared" si="78"/>
        <v>0</v>
      </c>
      <c r="H1240" s="5">
        <f t="shared" si="79"/>
        <v>0</v>
      </c>
    </row>
    <row r="1241" spans="1:8" x14ac:dyDescent="0.2">
      <c r="A1241" s="2">
        <v>1240</v>
      </c>
      <c r="B1241" s="5">
        <f t="shared" si="76"/>
        <v>0</v>
      </c>
      <c r="C1241" s="5">
        <f t="shared" si="77"/>
        <v>0</v>
      </c>
      <c r="D1241" s="5"/>
      <c r="E1241" s="5">
        <f>IF($B1241 &lt;= 0, 0, -ROUND($B1241 * (InterestRate / PaymentsPerYear), 2))</f>
        <v>0</v>
      </c>
      <c r="F1241" s="5">
        <f>ROUND(IFERROR(IF($B1241&lt;=0,0,
MAX(-$B1241, -(-PMT(InterestRate/PaymentsPerYear,LoanTerm*PaymentsPerYear,LoanAmount) + $E1241))), 0), 2)</f>
        <v>0</v>
      </c>
      <c r="G1241" s="5">
        <f t="shared" si="78"/>
        <v>0</v>
      </c>
      <c r="H1241" s="5">
        <f t="shared" si="79"/>
        <v>0</v>
      </c>
    </row>
    <row r="1242" spans="1:8" x14ac:dyDescent="0.2">
      <c r="A1242" s="2">
        <v>1241</v>
      </c>
      <c r="B1242" s="5">
        <f t="shared" si="76"/>
        <v>0</v>
      </c>
      <c r="C1242" s="5">
        <f t="shared" si="77"/>
        <v>0</v>
      </c>
      <c r="D1242" s="5"/>
      <c r="E1242" s="5">
        <f>IF($B1242 &lt;= 0, 0, -ROUND($B1242 * (InterestRate / PaymentsPerYear), 2))</f>
        <v>0</v>
      </c>
      <c r="F1242" s="5">
        <f>ROUND(IFERROR(IF($B1242&lt;=0,0,
MAX(-$B1242, -(-PMT(InterestRate/PaymentsPerYear,LoanTerm*PaymentsPerYear,LoanAmount) + $E1242))), 0), 2)</f>
        <v>0</v>
      </c>
      <c r="G1242" s="5">
        <f t="shared" si="78"/>
        <v>0</v>
      </c>
      <c r="H1242" s="5">
        <f t="shared" si="79"/>
        <v>0</v>
      </c>
    </row>
    <row r="1243" spans="1:8" x14ac:dyDescent="0.2">
      <c r="A1243" s="2">
        <v>1242</v>
      </c>
      <c r="B1243" s="5">
        <f t="shared" si="76"/>
        <v>0</v>
      </c>
      <c r="C1243" s="5">
        <f t="shared" si="77"/>
        <v>0</v>
      </c>
      <c r="D1243" s="5"/>
      <c r="E1243" s="5">
        <f>IF($B1243 &lt;= 0, 0, -ROUND($B1243 * (InterestRate / PaymentsPerYear), 2))</f>
        <v>0</v>
      </c>
      <c r="F1243" s="5">
        <f>ROUND(IFERROR(IF($B1243&lt;=0,0,
MAX(-$B1243, -(-PMT(InterestRate/PaymentsPerYear,LoanTerm*PaymentsPerYear,LoanAmount) + $E1243))), 0), 2)</f>
        <v>0</v>
      </c>
      <c r="G1243" s="5">
        <f t="shared" si="78"/>
        <v>0</v>
      </c>
      <c r="H1243" s="5">
        <f t="shared" si="79"/>
        <v>0</v>
      </c>
    </row>
    <row r="1244" spans="1:8" x14ac:dyDescent="0.2">
      <c r="A1244" s="2">
        <v>1243</v>
      </c>
      <c r="B1244" s="5">
        <f t="shared" si="76"/>
        <v>0</v>
      </c>
      <c r="C1244" s="5">
        <f t="shared" si="77"/>
        <v>0</v>
      </c>
      <c r="D1244" s="5"/>
      <c r="E1244" s="5">
        <f>IF($B1244 &lt;= 0, 0, -ROUND($B1244 * (InterestRate / PaymentsPerYear), 2))</f>
        <v>0</v>
      </c>
      <c r="F1244" s="5">
        <f>ROUND(IFERROR(IF($B1244&lt;=0,0,
MAX(-$B1244, -(-PMT(InterestRate/PaymentsPerYear,LoanTerm*PaymentsPerYear,LoanAmount) + $E1244))), 0), 2)</f>
        <v>0</v>
      </c>
      <c r="G1244" s="5">
        <f t="shared" si="78"/>
        <v>0</v>
      </c>
      <c r="H1244" s="5">
        <f t="shared" si="79"/>
        <v>0</v>
      </c>
    </row>
    <row r="1245" spans="1:8" x14ac:dyDescent="0.2">
      <c r="A1245" s="2">
        <v>1244</v>
      </c>
      <c r="B1245" s="5">
        <f t="shared" si="76"/>
        <v>0</v>
      </c>
      <c r="C1245" s="5">
        <f t="shared" si="77"/>
        <v>0</v>
      </c>
      <c r="D1245" s="5"/>
      <c r="E1245" s="5">
        <f>IF($B1245 &lt;= 0, 0, -ROUND($B1245 * (InterestRate / PaymentsPerYear), 2))</f>
        <v>0</v>
      </c>
      <c r="F1245" s="5">
        <f>ROUND(IFERROR(IF($B1245&lt;=0,0,
MAX(-$B1245, -(-PMT(InterestRate/PaymentsPerYear,LoanTerm*PaymentsPerYear,LoanAmount) + $E1245))), 0), 2)</f>
        <v>0</v>
      </c>
      <c r="G1245" s="5">
        <f t="shared" si="78"/>
        <v>0</v>
      </c>
      <c r="H1245" s="5">
        <f t="shared" si="79"/>
        <v>0</v>
      </c>
    </row>
    <row r="1246" spans="1:8" x14ac:dyDescent="0.2">
      <c r="A1246" s="2">
        <v>1245</v>
      </c>
      <c r="B1246" s="5">
        <f t="shared" si="76"/>
        <v>0</v>
      </c>
      <c r="C1246" s="5">
        <f t="shared" si="77"/>
        <v>0</v>
      </c>
      <c r="D1246" s="5"/>
      <c r="E1246" s="5">
        <f>IF($B1246 &lt;= 0, 0, -ROUND($B1246 * (InterestRate / PaymentsPerYear), 2))</f>
        <v>0</v>
      </c>
      <c r="F1246" s="5">
        <f>ROUND(IFERROR(IF($B1246&lt;=0,0,
MAX(-$B1246, -(-PMT(InterestRate/PaymentsPerYear,LoanTerm*PaymentsPerYear,LoanAmount) + $E1246))), 0), 2)</f>
        <v>0</v>
      </c>
      <c r="G1246" s="5">
        <f t="shared" si="78"/>
        <v>0</v>
      </c>
      <c r="H1246" s="5">
        <f t="shared" si="79"/>
        <v>0</v>
      </c>
    </row>
    <row r="1247" spans="1:8" x14ac:dyDescent="0.2">
      <c r="A1247" s="2">
        <v>1246</v>
      </c>
      <c r="B1247" s="5">
        <f t="shared" si="76"/>
        <v>0</v>
      </c>
      <c r="C1247" s="5">
        <f t="shared" si="77"/>
        <v>0</v>
      </c>
      <c r="D1247" s="5"/>
      <c r="E1247" s="5">
        <f>IF($B1247 &lt;= 0, 0, -ROUND($B1247 * (InterestRate / PaymentsPerYear), 2))</f>
        <v>0</v>
      </c>
      <c r="F1247" s="5">
        <f>ROUND(IFERROR(IF($B1247&lt;=0,0,
MAX(-$B1247, -(-PMT(InterestRate/PaymentsPerYear,LoanTerm*PaymentsPerYear,LoanAmount) + $E1247))), 0), 2)</f>
        <v>0</v>
      </c>
      <c r="G1247" s="5">
        <f t="shared" si="78"/>
        <v>0</v>
      </c>
      <c r="H1247" s="5">
        <f t="shared" si="79"/>
        <v>0</v>
      </c>
    </row>
    <row r="1248" spans="1:8" x14ac:dyDescent="0.2">
      <c r="A1248" s="2">
        <v>1247</v>
      </c>
      <c r="B1248" s="5">
        <f t="shared" si="76"/>
        <v>0</v>
      </c>
      <c r="C1248" s="5">
        <f t="shared" si="77"/>
        <v>0</v>
      </c>
      <c r="D1248" s="5"/>
      <c r="E1248" s="5">
        <f>IF($B1248 &lt;= 0, 0, -ROUND($B1248 * (InterestRate / PaymentsPerYear), 2))</f>
        <v>0</v>
      </c>
      <c r="F1248" s="5">
        <f>ROUND(IFERROR(IF($B1248&lt;=0,0,
MAX(-$B1248, -(-PMT(InterestRate/PaymentsPerYear,LoanTerm*PaymentsPerYear,LoanAmount) + $E1248))), 0), 2)</f>
        <v>0</v>
      </c>
      <c r="G1248" s="5">
        <f t="shared" si="78"/>
        <v>0</v>
      </c>
      <c r="H1248" s="5">
        <f t="shared" si="79"/>
        <v>0</v>
      </c>
    </row>
    <row r="1249" spans="1:8" x14ac:dyDescent="0.2">
      <c r="A1249" s="2">
        <v>1248</v>
      </c>
      <c r="B1249" s="5">
        <f t="shared" si="76"/>
        <v>0</v>
      </c>
      <c r="C1249" s="5">
        <f t="shared" si="77"/>
        <v>0</v>
      </c>
      <c r="D1249" s="5"/>
      <c r="E1249" s="5">
        <f>IF($B1249 &lt;= 0, 0, -ROUND($B1249 * (InterestRate / PaymentsPerYear), 2))</f>
        <v>0</v>
      </c>
      <c r="F1249" s="5">
        <f>ROUND(IFERROR(IF($B1249&lt;=0,0,
MAX(-$B1249, -(-PMT(InterestRate/PaymentsPerYear,LoanTerm*PaymentsPerYear,LoanAmount) + $E1249))), 0), 2)</f>
        <v>0</v>
      </c>
      <c r="G1249" s="5">
        <f t="shared" si="78"/>
        <v>0</v>
      </c>
      <c r="H1249" s="5">
        <f t="shared" si="79"/>
        <v>0</v>
      </c>
    </row>
    <row r="1250" spans="1:8" x14ac:dyDescent="0.2">
      <c r="A1250" s="2">
        <v>1249</v>
      </c>
      <c r="B1250" s="5">
        <f t="shared" si="76"/>
        <v>0</v>
      </c>
      <c r="C1250" s="5">
        <f t="shared" si="77"/>
        <v>0</v>
      </c>
      <c r="D1250" s="5"/>
      <c r="E1250" s="5">
        <f>IF($B1250 &lt;= 0, 0, -ROUND($B1250 * (InterestRate / PaymentsPerYear), 2))</f>
        <v>0</v>
      </c>
      <c r="F1250" s="5">
        <f>ROUND(IFERROR(IF($B1250&lt;=0,0,
MAX(-$B1250, -(-PMT(InterestRate/PaymentsPerYear,LoanTerm*PaymentsPerYear,LoanAmount) + $E1250))), 0), 2)</f>
        <v>0</v>
      </c>
      <c r="G1250" s="5">
        <f t="shared" si="78"/>
        <v>0</v>
      </c>
      <c r="H1250" s="5">
        <f t="shared" si="79"/>
        <v>0</v>
      </c>
    </row>
    <row r="1251" spans="1:8" x14ac:dyDescent="0.2">
      <c r="A1251" s="2">
        <v>1250</v>
      </c>
      <c r="B1251" s="5">
        <f t="shared" si="76"/>
        <v>0</v>
      </c>
      <c r="C1251" s="5">
        <f t="shared" si="77"/>
        <v>0</v>
      </c>
      <c r="D1251" s="5"/>
      <c r="E1251" s="5">
        <f>IF($B1251 &lt;= 0, 0, -ROUND($B1251 * (InterestRate / PaymentsPerYear), 2))</f>
        <v>0</v>
      </c>
      <c r="F1251" s="5">
        <f>ROUND(IFERROR(IF($B1251&lt;=0,0,
MAX(-$B1251, -(-PMT(InterestRate/PaymentsPerYear,LoanTerm*PaymentsPerYear,LoanAmount) + $E1251))), 0), 2)</f>
        <v>0</v>
      </c>
      <c r="G1251" s="5">
        <f t="shared" si="78"/>
        <v>0</v>
      </c>
      <c r="H1251" s="5">
        <f t="shared" si="79"/>
        <v>0</v>
      </c>
    </row>
    <row r="1252" spans="1:8" x14ac:dyDescent="0.2">
      <c r="A1252" s="2">
        <v>1251</v>
      </c>
      <c r="B1252" s="5">
        <f t="shared" si="76"/>
        <v>0</v>
      </c>
      <c r="C1252" s="5">
        <f t="shared" si="77"/>
        <v>0</v>
      </c>
      <c r="D1252" s="5"/>
      <c r="E1252" s="5">
        <f>IF($B1252 &lt;= 0, 0, -ROUND($B1252 * (InterestRate / PaymentsPerYear), 2))</f>
        <v>0</v>
      </c>
      <c r="F1252" s="5">
        <f>ROUND(IFERROR(IF($B1252&lt;=0,0,
MAX(-$B1252, -(-PMT(InterestRate/PaymentsPerYear,LoanTerm*PaymentsPerYear,LoanAmount) + $E1252))), 0), 2)</f>
        <v>0</v>
      </c>
      <c r="G1252" s="5">
        <f t="shared" si="78"/>
        <v>0</v>
      </c>
      <c r="H1252" s="5">
        <f t="shared" si="79"/>
        <v>0</v>
      </c>
    </row>
    <row r="1253" spans="1:8" x14ac:dyDescent="0.2">
      <c r="A1253" s="2">
        <v>1252</v>
      </c>
      <c r="B1253" s="5">
        <f t="shared" si="76"/>
        <v>0</v>
      </c>
      <c r="C1253" s="5">
        <f t="shared" si="77"/>
        <v>0</v>
      </c>
      <c r="D1253" s="5"/>
      <c r="E1253" s="5">
        <f>IF($B1253 &lt;= 0, 0, -ROUND($B1253 * (InterestRate / PaymentsPerYear), 2))</f>
        <v>0</v>
      </c>
      <c r="F1253" s="5">
        <f>ROUND(IFERROR(IF($B1253&lt;=0,0,
MAX(-$B1253, -(-PMT(InterestRate/PaymentsPerYear,LoanTerm*PaymentsPerYear,LoanAmount) + $E1253))), 0), 2)</f>
        <v>0</v>
      </c>
      <c r="G1253" s="5">
        <f t="shared" si="78"/>
        <v>0</v>
      </c>
      <c r="H1253" s="5">
        <f t="shared" si="79"/>
        <v>0</v>
      </c>
    </row>
    <row r="1254" spans="1:8" x14ac:dyDescent="0.2">
      <c r="A1254" s="2">
        <v>1253</v>
      </c>
      <c r="B1254" s="5">
        <f t="shared" si="76"/>
        <v>0</v>
      </c>
      <c r="C1254" s="5">
        <f t="shared" si="77"/>
        <v>0</v>
      </c>
      <c r="D1254" s="5"/>
      <c r="E1254" s="5">
        <f>IF($B1254 &lt;= 0, 0, -ROUND($B1254 * (InterestRate / PaymentsPerYear), 2))</f>
        <v>0</v>
      </c>
      <c r="F1254" s="5">
        <f>ROUND(IFERROR(IF($B1254&lt;=0,0,
MAX(-$B1254, -(-PMT(InterestRate/PaymentsPerYear,LoanTerm*PaymentsPerYear,LoanAmount) + $E1254))), 0), 2)</f>
        <v>0</v>
      </c>
      <c r="G1254" s="5">
        <f t="shared" si="78"/>
        <v>0</v>
      </c>
      <c r="H1254" s="5">
        <f t="shared" si="79"/>
        <v>0</v>
      </c>
    </row>
    <row r="1255" spans="1:8" x14ac:dyDescent="0.2">
      <c r="A1255" s="2">
        <v>1254</v>
      </c>
      <c r="B1255" s="5">
        <f t="shared" si="76"/>
        <v>0</v>
      </c>
      <c r="C1255" s="5">
        <f t="shared" si="77"/>
        <v>0</v>
      </c>
      <c r="D1255" s="5"/>
      <c r="E1255" s="5">
        <f>IF($B1255 &lt;= 0, 0, -ROUND($B1255 * (InterestRate / PaymentsPerYear), 2))</f>
        <v>0</v>
      </c>
      <c r="F1255" s="5">
        <f>ROUND(IFERROR(IF($B1255&lt;=0,0,
MAX(-$B1255, -(-PMT(InterestRate/PaymentsPerYear,LoanTerm*PaymentsPerYear,LoanAmount) + $E1255))), 0), 2)</f>
        <v>0</v>
      </c>
      <c r="G1255" s="5">
        <f t="shared" si="78"/>
        <v>0</v>
      </c>
      <c r="H1255" s="5">
        <f t="shared" si="79"/>
        <v>0</v>
      </c>
    </row>
    <row r="1256" spans="1:8" x14ac:dyDescent="0.2">
      <c r="A1256" s="2">
        <v>1255</v>
      </c>
      <c r="B1256" s="5">
        <f t="shared" si="76"/>
        <v>0</v>
      </c>
      <c r="C1256" s="5">
        <f t="shared" si="77"/>
        <v>0</v>
      </c>
      <c r="D1256" s="5"/>
      <c r="E1256" s="5">
        <f>IF($B1256 &lt;= 0, 0, -ROUND($B1256 * (InterestRate / PaymentsPerYear), 2))</f>
        <v>0</v>
      </c>
      <c r="F1256" s="5">
        <f>ROUND(IFERROR(IF($B1256&lt;=0,0,
MAX(-$B1256, -(-PMT(InterestRate/PaymentsPerYear,LoanTerm*PaymentsPerYear,LoanAmount) + $E1256))), 0), 2)</f>
        <v>0</v>
      </c>
      <c r="G1256" s="5">
        <f t="shared" si="78"/>
        <v>0</v>
      </c>
      <c r="H1256" s="5">
        <f t="shared" si="79"/>
        <v>0</v>
      </c>
    </row>
    <row r="1257" spans="1:8" x14ac:dyDescent="0.2">
      <c r="A1257" s="2">
        <v>1256</v>
      </c>
      <c r="B1257" s="5">
        <f t="shared" si="76"/>
        <v>0</v>
      </c>
      <c r="C1257" s="5">
        <f t="shared" si="77"/>
        <v>0</v>
      </c>
      <c r="D1257" s="5"/>
      <c r="E1257" s="5">
        <f>IF($B1257 &lt;= 0, 0, -ROUND($B1257 * (InterestRate / PaymentsPerYear), 2))</f>
        <v>0</v>
      </c>
      <c r="F1257" s="5">
        <f>ROUND(IFERROR(IF($B1257&lt;=0,0,
MAX(-$B1257, -(-PMT(InterestRate/PaymentsPerYear,LoanTerm*PaymentsPerYear,LoanAmount) + $E1257))), 0), 2)</f>
        <v>0</v>
      </c>
      <c r="G1257" s="5">
        <f t="shared" si="78"/>
        <v>0</v>
      </c>
      <c r="H1257" s="5">
        <f t="shared" si="79"/>
        <v>0</v>
      </c>
    </row>
    <row r="1258" spans="1:8" x14ac:dyDescent="0.2">
      <c r="A1258" s="2">
        <v>1257</v>
      </c>
      <c r="B1258" s="5">
        <f t="shared" si="76"/>
        <v>0</v>
      </c>
      <c r="C1258" s="5">
        <f t="shared" si="77"/>
        <v>0</v>
      </c>
      <c r="D1258" s="5"/>
      <c r="E1258" s="5">
        <f>IF($B1258 &lt;= 0, 0, -ROUND($B1258 * (InterestRate / PaymentsPerYear), 2))</f>
        <v>0</v>
      </c>
      <c r="F1258" s="5">
        <f>ROUND(IFERROR(IF($B1258&lt;=0,0,
MAX(-$B1258, -(-PMT(InterestRate/PaymentsPerYear,LoanTerm*PaymentsPerYear,LoanAmount) + $E1258))), 0), 2)</f>
        <v>0</v>
      </c>
      <c r="G1258" s="5">
        <f t="shared" si="78"/>
        <v>0</v>
      </c>
      <c r="H1258" s="5">
        <f t="shared" si="79"/>
        <v>0</v>
      </c>
    </row>
    <row r="1259" spans="1:8" x14ac:dyDescent="0.2">
      <c r="A1259" s="2">
        <v>1258</v>
      </c>
      <c r="B1259" s="5">
        <f t="shared" si="76"/>
        <v>0</v>
      </c>
      <c r="C1259" s="5">
        <f t="shared" si="77"/>
        <v>0</v>
      </c>
      <c r="D1259" s="5"/>
      <c r="E1259" s="5">
        <f>IF($B1259 &lt;= 0, 0, -ROUND($B1259 * (InterestRate / PaymentsPerYear), 2))</f>
        <v>0</v>
      </c>
      <c r="F1259" s="5">
        <f>ROUND(IFERROR(IF($B1259&lt;=0,0,
MAX(-$B1259, -(-PMT(InterestRate/PaymentsPerYear,LoanTerm*PaymentsPerYear,LoanAmount) + $E1259))), 0), 2)</f>
        <v>0</v>
      </c>
      <c r="G1259" s="5">
        <f t="shared" si="78"/>
        <v>0</v>
      </c>
      <c r="H1259" s="5">
        <f t="shared" si="79"/>
        <v>0</v>
      </c>
    </row>
    <row r="1260" spans="1:8" x14ac:dyDescent="0.2">
      <c r="A1260" s="2">
        <v>1259</v>
      </c>
      <c r="B1260" s="5">
        <f t="shared" si="76"/>
        <v>0</v>
      </c>
      <c r="C1260" s="5">
        <f t="shared" si="77"/>
        <v>0</v>
      </c>
      <c r="D1260" s="5"/>
      <c r="E1260" s="5">
        <f>IF($B1260 &lt;= 0, 0, -ROUND($B1260 * (InterestRate / PaymentsPerYear), 2))</f>
        <v>0</v>
      </c>
      <c r="F1260" s="5">
        <f>ROUND(IFERROR(IF($B1260&lt;=0,0,
MAX(-$B1260, -(-PMT(InterestRate/PaymentsPerYear,LoanTerm*PaymentsPerYear,LoanAmount) + $E1260))), 0), 2)</f>
        <v>0</v>
      </c>
      <c r="G1260" s="5">
        <f t="shared" si="78"/>
        <v>0</v>
      </c>
      <c r="H1260" s="5">
        <f t="shared" si="79"/>
        <v>0</v>
      </c>
    </row>
    <row r="1261" spans="1:8" x14ac:dyDescent="0.2">
      <c r="A1261" s="2">
        <v>1260</v>
      </c>
      <c r="B1261" s="5">
        <f t="shared" si="76"/>
        <v>0</v>
      </c>
      <c r="C1261" s="5">
        <f t="shared" si="77"/>
        <v>0</v>
      </c>
      <c r="D1261" s="5"/>
      <c r="E1261" s="5">
        <f>IF($B1261 &lt;= 0, 0, -ROUND($B1261 * (InterestRate / PaymentsPerYear), 2))</f>
        <v>0</v>
      </c>
      <c r="F1261" s="5">
        <f>ROUND(IFERROR(IF($B1261&lt;=0,0,
MAX(-$B1261, -(-PMT(InterestRate/PaymentsPerYear,LoanTerm*PaymentsPerYear,LoanAmount) + $E1261))), 0), 2)</f>
        <v>0</v>
      </c>
      <c r="G1261" s="5">
        <f t="shared" si="78"/>
        <v>0</v>
      </c>
      <c r="H1261" s="5">
        <f t="shared" si="79"/>
        <v>0</v>
      </c>
    </row>
    <row r="1262" spans="1:8" x14ac:dyDescent="0.2">
      <c r="A1262" s="2">
        <v>1261</v>
      </c>
      <c r="B1262" s="5">
        <f t="shared" si="76"/>
        <v>0</v>
      </c>
      <c r="C1262" s="5">
        <f t="shared" si="77"/>
        <v>0</v>
      </c>
      <c r="D1262" s="5"/>
      <c r="E1262" s="5">
        <f>IF($B1262 &lt;= 0, 0, -ROUND($B1262 * (InterestRate / PaymentsPerYear), 2))</f>
        <v>0</v>
      </c>
      <c r="F1262" s="5">
        <f>ROUND(IFERROR(IF($B1262&lt;=0,0,
MAX(-$B1262, -(-PMT(InterestRate/PaymentsPerYear,LoanTerm*PaymentsPerYear,LoanAmount) + $E1262))), 0), 2)</f>
        <v>0</v>
      </c>
      <c r="G1262" s="5">
        <f t="shared" si="78"/>
        <v>0</v>
      </c>
      <c r="H1262" s="5">
        <f t="shared" si="79"/>
        <v>0</v>
      </c>
    </row>
    <row r="1263" spans="1:8" x14ac:dyDescent="0.2">
      <c r="A1263" s="2">
        <v>1262</v>
      </c>
      <c r="B1263" s="5">
        <f t="shared" si="76"/>
        <v>0</v>
      </c>
      <c r="C1263" s="5">
        <f t="shared" si="77"/>
        <v>0</v>
      </c>
      <c r="D1263" s="5"/>
      <c r="E1263" s="5">
        <f>IF($B1263 &lt;= 0, 0, -ROUND($B1263 * (InterestRate / PaymentsPerYear), 2))</f>
        <v>0</v>
      </c>
      <c r="F1263" s="5">
        <f>ROUND(IFERROR(IF($B1263&lt;=0,0,
MAX(-$B1263, -(-PMT(InterestRate/PaymentsPerYear,LoanTerm*PaymentsPerYear,LoanAmount) + $E1263))), 0), 2)</f>
        <v>0</v>
      </c>
      <c r="G1263" s="5">
        <f t="shared" si="78"/>
        <v>0</v>
      </c>
      <c r="H1263" s="5">
        <f t="shared" si="79"/>
        <v>0</v>
      </c>
    </row>
    <row r="1264" spans="1:8" x14ac:dyDescent="0.2">
      <c r="A1264" s="2">
        <v>1263</v>
      </c>
      <c r="B1264" s="5">
        <f t="shared" si="76"/>
        <v>0</v>
      </c>
      <c r="C1264" s="5">
        <f t="shared" si="77"/>
        <v>0</v>
      </c>
      <c r="D1264" s="5"/>
      <c r="E1264" s="5">
        <f>IF($B1264 &lt;= 0, 0, -ROUND($B1264 * (InterestRate / PaymentsPerYear), 2))</f>
        <v>0</v>
      </c>
      <c r="F1264" s="5">
        <f>ROUND(IFERROR(IF($B1264&lt;=0,0,
MAX(-$B1264, -(-PMT(InterestRate/PaymentsPerYear,LoanTerm*PaymentsPerYear,LoanAmount) + $E1264))), 0), 2)</f>
        <v>0</v>
      </c>
      <c r="G1264" s="5">
        <f t="shared" si="78"/>
        <v>0</v>
      </c>
      <c r="H1264" s="5">
        <f t="shared" si="79"/>
        <v>0</v>
      </c>
    </row>
    <row r="1265" spans="1:8" x14ac:dyDescent="0.2">
      <c r="A1265" s="2">
        <v>1264</v>
      </c>
      <c r="B1265" s="5">
        <f t="shared" si="76"/>
        <v>0</v>
      </c>
      <c r="C1265" s="5">
        <f t="shared" si="77"/>
        <v>0</v>
      </c>
      <c r="D1265" s="5"/>
      <c r="E1265" s="5">
        <f>IF($B1265 &lt;= 0, 0, -ROUND($B1265 * (InterestRate / PaymentsPerYear), 2))</f>
        <v>0</v>
      </c>
      <c r="F1265" s="5">
        <f>ROUND(IFERROR(IF($B1265&lt;=0,0,
MAX(-$B1265, -(-PMT(InterestRate/PaymentsPerYear,LoanTerm*PaymentsPerYear,LoanAmount) + $E1265))), 0), 2)</f>
        <v>0</v>
      </c>
      <c r="G1265" s="5">
        <f t="shared" si="78"/>
        <v>0</v>
      </c>
      <c r="H1265" s="5">
        <f t="shared" si="79"/>
        <v>0</v>
      </c>
    </row>
    <row r="1266" spans="1:8" x14ac:dyDescent="0.2">
      <c r="A1266" s="2">
        <v>1265</v>
      </c>
      <c r="B1266" s="5">
        <f t="shared" si="76"/>
        <v>0</v>
      </c>
      <c r="C1266" s="5">
        <f t="shared" si="77"/>
        <v>0</v>
      </c>
      <c r="D1266" s="5"/>
      <c r="E1266" s="5">
        <f>IF($B1266 &lt;= 0, 0, -ROUND($B1266 * (InterestRate / PaymentsPerYear), 2))</f>
        <v>0</v>
      </c>
      <c r="F1266" s="5">
        <f>ROUND(IFERROR(IF($B1266&lt;=0,0,
MAX(-$B1266, -(-PMT(InterestRate/PaymentsPerYear,LoanTerm*PaymentsPerYear,LoanAmount) + $E1266))), 0), 2)</f>
        <v>0</v>
      </c>
      <c r="G1266" s="5">
        <f t="shared" si="78"/>
        <v>0</v>
      </c>
      <c r="H1266" s="5">
        <f t="shared" si="79"/>
        <v>0</v>
      </c>
    </row>
    <row r="1267" spans="1:8" x14ac:dyDescent="0.2">
      <c r="A1267" s="2">
        <v>1266</v>
      </c>
      <c r="B1267" s="5">
        <f t="shared" si="76"/>
        <v>0</v>
      </c>
      <c r="C1267" s="5">
        <f t="shared" si="77"/>
        <v>0</v>
      </c>
      <c r="D1267" s="5"/>
      <c r="E1267" s="5">
        <f>IF($B1267 &lt;= 0, 0, -ROUND($B1267 * (InterestRate / PaymentsPerYear), 2))</f>
        <v>0</v>
      </c>
      <c r="F1267" s="5">
        <f>ROUND(IFERROR(IF($B1267&lt;=0,0,
MAX(-$B1267, -(-PMT(InterestRate/PaymentsPerYear,LoanTerm*PaymentsPerYear,LoanAmount) + $E1267))), 0), 2)</f>
        <v>0</v>
      </c>
      <c r="G1267" s="5">
        <f t="shared" si="78"/>
        <v>0</v>
      </c>
      <c r="H1267" s="5">
        <f t="shared" si="79"/>
        <v>0</v>
      </c>
    </row>
    <row r="1268" spans="1:8" x14ac:dyDescent="0.2">
      <c r="A1268" s="2">
        <v>1267</v>
      </c>
      <c r="B1268" s="5">
        <f t="shared" si="76"/>
        <v>0</v>
      </c>
      <c r="C1268" s="5">
        <f t="shared" si="77"/>
        <v>0</v>
      </c>
      <c r="D1268" s="5"/>
      <c r="E1268" s="5">
        <f>IF($B1268 &lt;= 0, 0, -ROUND($B1268 * (InterestRate / PaymentsPerYear), 2))</f>
        <v>0</v>
      </c>
      <c r="F1268" s="5">
        <f>ROUND(IFERROR(IF($B1268&lt;=0,0,
MAX(-$B1268, -(-PMT(InterestRate/PaymentsPerYear,LoanTerm*PaymentsPerYear,LoanAmount) + $E1268))), 0), 2)</f>
        <v>0</v>
      </c>
      <c r="G1268" s="5">
        <f t="shared" si="78"/>
        <v>0</v>
      </c>
      <c r="H1268" s="5">
        <f t="shared" si="79"/>
        <v>0</v>
      </c>
    </row>
    <row r="1269" spans="1:8" x14ac:dyDescent="0.2">
      <c r="A1269" s="2">
        <v>1268</v>
      </c>
      <c r="B1269" s="5">
        <f t="shared" si="76"/>
        <v>0</v>
      </c>
      <c r="C1269" s="5">
        <f t="shared" si="77"/>
        <v>0</v>
      </c>
      <c r="D1269" s="5"/>
      <c r="E1269" s="5">
        <f>IF($B1269 &lt;= 0, 0, -ROUND($B1269 * (InterestRate / PaymentsPerYear), 2))</f>
        <v>0</v>
      </c>
      <c r="F1269" s="5">
        <f>ROUND(IFERROR(IF($B1269&lt;=0,0,
MAX(-$B1269, -(-PMT(InterestRate/PaymentsPerYear,LoanTerm*PaymentsPerYear,LoanAmount) + $E1269))), 0), 2)</f>
        <v>0</v>
      </c>
      <c r="G1269" s="5">
        <f t="shared" si="78"/>
        <v>0</v>
      </c>
      <c r="H1269" s="5">
        <f t="shared" si="79"/>
        <v>0</v>
      </c>
    </row>
    <row r="1270" spans="1:8" x14ac:dyDescent="0.2">
      <c r="A1270" s="2">
        <v>1269</v>
      </c>
      <c r="B1270" s="5">
        <f t="shared" si="76"/>
        <v>0</v>
      </c>
      <c r="C1270" s="5">
        <f t="shared" si="77"/>
        <v>0</v>
      </c>
      <c r="D1270" s="5"/>
      <c r="E1270" s="5">
        <f>IF($B1270 &lt;= 0, 0, -ROUND($B1270 * (InterestRate / PaymentsPerYear), 2))</f>
        <v>0</v>
      </c>
      <c r="F1270" s="5">
        <f>ROUND(IFERROR(IF($B1270&lt;=0,0,
MAX(-$B1270, -(-PMT(InterestRate/PaymentsPerYear,LoanTerm*PaymentsPerYear,LoanAmount) + $E1270))), 0), 2)</f>
        <v>0</v>
      </c>
      <c r="G1270" s="5">
        <f t="shared" si="78"/>
        <v>0</v>
      </c>
      <c r="H1270" s="5">
        <f t="shared" si="79"/>
        <v>0</v>
      </c>
    </row>
    <row r="1271" spans="1:8" x14ac:dyDescent="0.2">
      <c r="A1271" s="2">
        <v>1270</v>
      </c>
      <c r="B1271" s="5">
        <f t="shared" si="76"/>
        <v>0</v>
      </c>
      <c r="C1271" s="5">
        <f t="shared" si="77"/>
        <v>0</v>
      </c>
      <c r="D1271" s="5"/>
      <c r="E1271" s="5">
        <f>IF($B1271 &lt;= 0, 0, -ROUND($B1271 * (InterestRate / PaymentsPerYear), 2))</f>
        <v>0</v>
      </c>
      <c r="F1271" s="5">
        <f>ROUND(IFERROR(IF($B1271&lt;=0,0,
MAX(-$B1271, -(-PMT(InterestRate/PaymentsPerYear,LoanTerm*PaymentsPerYear,LoanAmount) + $E1271))), 0), 2)</f>
        <v>0</v>
      </c>
      <c r="G1271" s="5">
        <f t="shared" si="78"/>
        <v>0</v>
      </c>
      <c r="H1271" s="5">
        <f t="shared" si="79"/>
        <v>0</v>
      </c>
    </row>
    <row r="1272" spans="1:8" x14ac:dyDescent="0.2">
      <c r="A1272" s="2">
        <v>1271</v>
      </c>
      <c r="B1272" s="5">
        <f t="shared" si="76"/>
        <v>0</v>
      </c>
      <c r="C1272" s="5">
        <f t="shared" si="77"/>
        <v>0</v>
      </c>
      <c r="D1272" s="5"/>
      <c r="E1272" s="5">
        <f>IF($B1272 &lt;= 0, 0, -ROUND($B1272 * (InterestRate / PaymentsPerYear), 2))</f>
        <v>0</v>
      </c>
      <c r="F1272" s="5">
        <f>ROUND(IFERROR(IF($B1272&lt;=0,0,
MAX(-$B1272, -(-PMT(InterestRate/PaymentsPerYear,LoanTerm*PaymentsPerYear,LoanAmount) + $E1272))), 0), 2)</f>
        <v>0</v>
      </c>
      <c r="G1272" s="5">
        <f t="shared" si="78"/>
        <v>0</v>
      </c>
      <c r="H1272" s="5">
        <f t="shared" si="79"/>
        <v>0</v>
      </c>
    </row>
    <row r="1273" spans="1:8" x14ac:dyDescent="0.2">
      <c r="A1273" s="2">
        <v>1272</v>
      </c>
      <c r="B1273" s="5">
        <f t="shared" si="76"/>
        <v>0</v>
      </c>
      <c r="C1273" s="5">
        <f t="shared" si="77"/>
        <v>0</v>
      </c>
      <c r="D1273" s="5"/>
      <c r="E1273" s="5">
        <f>IF($B1273 &lt;= 0, 0, -ROUND($B1273 * (InterestRate / PaymentsPerYear), 2))</f>
        <v>0</v>
      </c>
      <c r="F1273" s="5">
        <f>ROUND(IFERROR(IF($B1273&lt;=0,0,
MAX(-$B1273, -(-PMT(InterestRate/PaymentsPerYear,LoanTerm*PaymentsPerYear,LoanAmount) + $E1273))), 0), 2)</f>
        <v>0</v>
      </c>
      <c r="G1273" s="5">
        <f t="shared" si="78"/>
        <v>0</v>
      </c>
      <c r="H1273" s="5">
        <f t="shared" si="79"/>
        <v>0</v>
      </c>
    </row>
    <row r="1274" spans="1:8" x14ac:dyDescent="0.2">
      <c r="A1274" s="2">
        <v>1273</v>
      </c>
      <c r="B1274" s="5">
        <f t="shared" si="76"/>
        <v>0</v>
      </c>
      <c r="C1274" s="5">
        <f t="shared" si="77"/>
        <v>0</v>
      </c>
      <c r="D1274" s="5"/>
      <c r="E1274" s="5">
        <f>IF($B1274 &lt;= 0, 0, -ROUND($B1274 * (InterestRate / PaymentsPerYear), 2))</f>
        <v>0</v>
      </c>
      <c r="F1274" s="5">
        <f>ROUND(IFERROR(IF($B1274&lt;=0,0,
MAX(-$B1274, -(-PMT(InterestRate/PaymentsPerYear,LoanTerm*PaymentsPerYear,LoanAmount) + $E1274))), 0), 2)</f>
        <v>0</v>
      </c>
      <c r="G1274" s="5">
        <f t="shared" si="78"/>
        <v>0</v>
      </c>
      <c r="H1274" s="5">
        <f t="shared" si="79"/>
        <v>0</v>
      </c>
    </row>
    <row r="1275" spans="1:8" x14ac:dyDescent="0.2">
      <c r="A1275" s="2">
        <v>1274</v>
      </c>
      <c r="B1275" s="5">
        <f t="shared" si="76"/>
        <v>0</v>
      </c>
      <c r="C1275" s="5">
        <f t="shared" si="77"/>
        <v>0</v>
      </c>
      <c r="D1275" s="5"/>
      <c r="E1275" s="5">
        <f>IF($B1275 &lt;= 0, 0, -ROUND($B1275 * (InterestRate / PaymentsPerYear), 2))</f>
        <v>0</v>
      </c>
      <c r="F1275" s="5">
        <f>ROUND(IFERROR(IF($B1275&lt;=0,0,
MAX(-$B1275, -(-PMT(InterestRate/PaymentsPerYear,LoanTerm*PaymentsPerYear,LoanAmount) + $E1275))), 0), 2)</f>
        <v>0</v>
      </c>
      <c r="G1275" s="5">
        <f t="shared" si="78"/>
        <v>0</v>
      </c>
      <c r="H1275" s="5">
        <f t="shared" si="79"/>
        <v>0</v>
      </c>
    </row>
    <row r="1276" spans="1:8" x14ac:dyDescent="0.2">
      <c r="A1276" s="2">
        <v>1275</v>
      </c>
      <c r="B1276" s="5">
        <f t="shared" si="76"/>
        <v>0</v>
      </c>
      <c r="C1276" s="5">
        <f t="shared" si="77"/>
        <v>0</v>
      </c>
      <c r="D1276" s="5"/>
      <c r="E1276" s="5">
        <f>IF($B1276 &lt;= 0, 0, -ROUND($B1276 * (InterestRate / PaymentsPerYear), 2))</f>
        <v>0</v>
      </c>
      <c r="F1276" s="5">
        <f>ROUND(IFERROR(IF($B1276&lt;=0,0,
MAX(-$B1276, -(-PMT(InterestRate/PaymentsPerYear,LoanTerm*PaymentsPerYear,LoanAmount) + $E1276))), 0), 2)</f>
        <v>0</v>
      </c>
      <c r="G1276" s="5">
        <f t="shared" si="78"/>
        <v>0</v>
      </c>
      <c r="H1276" s="5">
        <f t="shared" si="79"/>
        <v>0</v>
      </c>
    </row>
    <row r="1277" spans="1:8" x14ac:dyDescent="0.2">
      <c r="A1277" s="2">
        <v>1276</v>
      </c>
      <c r="B1277" s="5">
        <f t="shared" si="76"/>
        <v>0</v>
      </c>
      <c r="C1277" s="5">
        <f t="shared" si="77"/>
        <v>0</v>
      </c>
      <c r="D1277" s="5"/>
      <c r="E1277" s="5">
        <f>IF($B1277 &lt;= 0, 0, -ROUND($B1277 * (InterestRate / PaymentsPerYear), 2))</f>
        <v>0</v>
      </c>
      <c r="F1277" s="5">
        <f>ROUND(IFERROR(IF($B1277&lt;=0,0,
MAX(-$B1277, -(-PMT(InterestRate/PaymentsPerYear,LoanTerm*PaymentsPerYear,LoanAmount) + $E1277))), 0), 2)</f>
        <v>0</v>
      </c>
      <c r="G1277" s="5">
        <f t="shared" si="78"/>
        <v>0</v>
      </c>
      <c r="H1277" s="5">
        <f t="shared" si="79"/>
        <v>0</v>
      </c>
    </row>
    <row r="1278" spans="1:8" x14ac:dyDescent="0.2">
      <c r="A1278" s="2">
        <v>1277</v>
      </c>
      <c r="B1278" s="5">
        <f t="shared" si="76"/>
        <v>0</v>
      </c>
      <c r="C1278" s="5">
        <f t="shared" si="77"/>
        <v>0</v>
      </c>
      <c r="D1278" s="5"/>
      <c r="E1278" s="5">
        <f>IF($B1278 &lt;= 0, 0, -ROUND($B1278 * (InterestRate / PaymentsPerYear), 2))</f>
        <v>0</v>
      </c>
      <c r="F1278" s="5">
        <f>ROUND(IFERROR(IF($B1278&lt;=0,0,
MAX(-$B1278, -(-PMT(InterestRate/PaymentsPerYear,LoanTerm*PaymentsPerYear,LoanAmount) + $E1278))), 0), 2)</f>
        <v>0</v>
      </c>
      <c r="G1278" s="5">
        <f t="shared" si="78"/>
        <v>0</v>
      </c>
      <c r="H1278" s="5">
        <f t="shared" si="79"/>
        <v>0</v>
      </c>
    </row>
    <row r="1279" spans="1:8" x14ac:dyDescent="0.2">
      <c r="A1279" s="2">
        <v>1278</v>
      </c>
      <c r="B1279" s="5">
        <f t="shared" si="76"/>
        <v>0</v>
      </c>
      <c r="C1279" s="5">
        <f t="shared" si="77"/>
        <v>0</v>
      </c>
      <c r="D1279" s="5"/>
      <c r="E1279" s="5">
        <f>IF($B1279 &lt;= 0, 0, -ROUND($B1279 * (InterestRate / PaymentsPerYear), 2))</f>
        <v>0</v>
      </c>
      <c r="F1279" s="5">
        <f>ROUND(IFERROR(IF($B1279&lt;=0,0,
MAX(-$B1279, -(-PMT(InterestRate/PaymentsPerYear,LoanTerm*PaymentsPerYear,LoanAmount) + $E1279))), 0), 2)</f>
        <v>0</v>
      </c>
      <c r="G1279" s="5">
        <f t="shared" si="78"/>
        <v>0</v>
      </c>
      <c r="H1279" s="5">
        <f t="shared" si="79"/>
        <v>0</v>
      </c>
    </row>
    <row r="1280" spans="1:8" x14ac:dyDescent="0.2">
      <c r="A1280" s="2">
        <v>1279</v>
      </c>
      <c r="B1280" s="5">
        <f t="shared" si="76"/>
        <v>0</v>
      </c>
      <c r="C1280" s="5">
        <f t="shared" si="77"/>
        <v>0</v>
      </c>
      <c r="D1280" s="5"/>
      <c r="E1280" s="5">
        <f>IF($B1280 &lt;= 0, 0, -ROUND($B1280 * (InterestRate / PaymentsPerYear), 2))</f>
        <v>0</v>
      </c>
      <c r="F1280" s="5">
        <f>ROUND(IFERROR(IF($B1280&lt;=0,0,
MAX(-$B1280, -(-PMT(InterestRate/PaymentsPerYear,LoanTerm*PaymentsPerYear,LoanAmount) + $E1280))), 0), 2)</f>
        <v>0</v>
      </c>
      <c r="G1280" s="5">
        <f t="shared" si="78"/>
        <v>0</v>
      </c>
      <c r="H1280" s="5">
        <f t="shared" si="79"/>
        <v>0</v>
      </c>
    </row>
    <row r="1281" spans="1:8" x14ac:dyDescent="0.2">
      <c r="A1281" s="2">
        <v>1280</v>
      </c>
      <c r="B1281" s="5">
        <f t="shared" si="76"/>
        <v>0</v>
      </c>
      <c r="C1281" s="5">
        <f t="shared" si="77"/>
        <v>0</v>
      </c>
      <c r="D1281" s="5"/>
      <c r="E1281" s="5">
        <f>IF($B1281 &lt;= 0, 0, -ROUND($B1281 * (InterestRate / PaymentsPerYear), 2))</f>
        <v>0</v>
      </c>
      <c r="F1281" s="5">
        <f>ROUND(IFERROR(IF($B1281&lt;=0,0,
MAX(-$B1281, -(-PMT(InterestRate/PaymentsPerYear,LoanTerm*PaymentsPerYear,LoanAmount) + $E1281))), 0), 2)</f>
        <v>0</v>
      </c>
      <c r="G1281" s="5">
        <f t="shared" si="78"/>
        <v>0</v>
      </c>
      <c r="H1281" s="5">
        <f t="shared" si="79"/>
        <v>0</v>
      </c>
    </row>
    <row r="1282" spans="1:8" x14ac:dyDescent="0.2">
      <c r="A1282" s="2">
        <v>1281</v>
      </c>
      <c r="B1282" s="5">
        <f t="shared" si="76"/>
        <v>0</v>
      </c>
      <c r="C1282" s="5">
        <f t="shared" si="77"/>
        <v>0</v>
      </c>
      <c r="D1282" s="5"/>
      <c r="E1282" s="5">
        <f>IF($B1282 &lt;= 0, 0, -ROUND($B1282 * (InterestRate / PaymentsPerYear), 2))</f>
        <v>0</v>
      </c>
      <c r="F1282" s="5">
        <f>ROUND(IFERROR(IF($B1282&lt;=0,0,
MAX(-$B1282, -(-PMT(InterestRate/PaymentsPerYear,LoanTerm*PaymentsPerYear,LoanAmount) + $E1282))), 0), 2)</f>
        <v>0</v>
      </c>
      <c r="G1282" s="5">
        <f t="shared" si="78"/>
        <v>0</v>
      </c>
      <c r="H1282" s="5">
        <f t="shared" si="79"/>
        <v>0</v>
      </c>
    </row>
    <row r="1283" spans="1:8" x14ac:dyDescent="0.2">
      <c r="A1283" s="2">
        <v>1282</v>
      </c>
      <c r="B1283" s="5">
        <f t="shared" si="76"/>
        <v>0</v>
      </c>
      <c r="C1283" s="5">
        <f t="shared" si="77"/>
        <v>0</v>
      </c>
      <c r="D1283" s="5"/>
      <c r="E1283" s="5">
        <f>IF($B1283 &lt;= 0, 0, -ROUND($B1283 * (InterestRate / PaymentsPerYear), 2))</f>
        <v>0</v>
      </c>
      <c r="F1283" s="5">
        <f>ROUND(IFERROR(IF($B1283&lt;=0,0,
MAX(-$B1283, -(-PMT(InterestRate/PaymentsPerYear,LoanTerm*PaymentsPerYear,LoanAmount) + $E1283))), 0), 2)</f>
        <v>0</v>
      </c>
      <c r="G1283" s="5">
        <f t="shared" si="78"/>
        <v>0</v>
      </c>
      <c r="H1283" s="5">
        <f t="shared" si="79"/>
        <v>0</v>
      </c>
    </row>
    <row r="1284" spans="1:8" x14ac:dyDescent="0.2">
      <c r="A1284" s="2">
        <v>1283</v>
      </c>
      <c r="B1284" s="5">
        <f t="shared" ref="B1284:B1347" si="80">ROUND(IF($H1283 &gt;= 0, MAX($H1283, $F1283), 0), 2)</f>
        <v>0</v>
      </c>
      <c r="C1284" s="5">
        <f t="shared" ref="C1284:C1347" si="81">IF($B1284 &lt;= 0, 0, $E1284+$F1284)</f>
        <v>0</v>
      </c>
      <c r="D1284" s="5"/>
      <c r="E1284" s="5">
        <f>IF($B1284 &lt;= 0, 0, -ROUND($B1284 * (InterestRate / PaymentsPerYear), 2))</f>
        <v>0</v>
      </c>
      <c r="F1284" s="5">
        <f>ROUND(IFERROR(IF($B1284&lt;=0,0,
MAX(-$B1284, -(-PMT(InterestRate/PaymentsPerYear,LoanTerm*PaymentsPerYear,LoanAmount) + $E1284))), 0), 2)</f>
        <v>0</v>
      </c>
      <c r="G1284" s="5">
        <f t="shared" ref="G1284:G1347" si="82">$F1284</f>
        <v>0</v>
      </c>
      <c r="H1284" s="5">
        <f t="shared" ref="H1284:H1347" si="83">ROUND(IF($B1284 &lt;= 0, 0,MAX(0, $B1284 + $G1284)), 2)</f>
        <v>0</v>
      </c>
    </row>
    <row r="1285" spans="1:8" x14ac:dyDescent="0.2">
      <c r="A1285" s="2">
        <v>1284</v>
      </c>
      <c r="B1285" s="5">
        <f t="shared" si="80"/>
        <v>0</v>
      </c>
      <c r="C1285" s="5">
        <f t="shared" si="81"/>
        <v>0</v>
      </c>
      <c r="D1285" s="5"/>
      <c r="E1285" s="5">
        <f>IF($B1285 &lt;= 0, 0, -ROUND($B1285 * (InterestRate / PaymentsPerYear), 2))</f>
        <v>0</v>
      </c>
      <c r="F1285" s="5">
        <f>ROUND(IFERROR(IF($B1285&lt;=0,0,
MAX(-$B1285, -(-PMT(InterestRate/PaymentsPerYear,LoanTerm*PaymentsPerYear,LoanAmount) + $E1285))), 0), 2)</f>
        <v>0</v>
      </c>
      <c r="G1285" s="5">
        <f t="shared" si="82"/>
        <v>0</v>
      </c>
      <c r="H1285" s="5">
        <f t="shared" si="83"/>
        <v>0</v>
      </c>
    </row>
    <row r="1286" spans="1:8" x14ac:dyDescent="0.2">
      <c r="A1286" s="2">
        <v>1285</v>
      </c>
      <c r="B1286" s="5">
        <f t="shared" si="80"/>
        <v>0</v>
      </c>
      <c r="C1286" s="5">
        <f t="shared" si="81"/>
        <v>0</v>
      </c>
      <c r="D1286" s="5"/>
      <c r="E1286" s="5">
        <f>IF($B1286 &lt;= 0, 0, -ROUND($B1286 * (InterestRate / PaymentsPerYear), 2))</f>
        <v>0</v>
      </c>
      <c r="F1286" s="5">
        <f>ROUND(IFERROR(IF($B1286&lt;=0,0,
MAX(-$B1286, -(-PMT(InterestRate/PaymentsPerYear,LoanTerm*PaymentsPerYear,LoanAmount) + $E1286))), 0), 2)</f>
        <v>0</v>
      </c>
      <c r="G1286" s="5">
        <f t="shared" si="82"/>
        <v>0</v>
      </c>
      <c r="H1286" s="5">
        <f t="shared" si="83"/>
        <v>0</v>
      </c>
    </row>
    <row r="1287" spans="1:8" x14ac:dyDescent="0.2">
      <c r="A1287" s="2">
        <v>1286</v>
      </c>
      <c r="B1287" s="5">
        <f t="shared" si="80"/>
        <v>0</v>
      </c>
      <c r="C1287" s="5">
        <f t="shared" si="81"/>
        <v>0</v>
      </c>
      <c r="D1287" s="5"/>
      <c r="E1287" s="5">
        <f>IF($B1287 &lt;= 0, 0, -ROUND($B1287 * (InterestRate / PaymentsPerYear), 2))</f>
        <v>0</v>
      </c>
      <c r="F1287" s="5">
        <f>ROUND(IFERROR(IF($B1287&lt;=0,0,
MAX(-$B1287, -(-PMT(InterestRate/PaymentsPerYear,LoanTerm*PaymentsPerYear,LoanAmount) + $E1287))), 0), 2)</f>
        <v>0</v>
      </c>
      <c r="G1287" s="5">
        <f t="shared" si="82"/>
        <v>0</v>
      </c>
      <c r="H1287" s="5">
        <f t="shared" si="83"/>
        <v>0</v>
      </c>
    </row>
    <row r="1288" spans="1:8" x14ac:dyDescent="0.2">
      <c r="A1288" s="2">
        <v>1287</v>
      </c>
      <c r="B1288" s="5">
        <f t="shared" si="80"/>
        <v>0</v>
      </c>
      <c r="C1288" s="5">
        <f t="shared" si="81"/>
        <v>0</v>
      </c>
      <c r="D1288" s="5"/>
      <c r="E1288" s="5">
        <f>IF($B1288 &lt;= 0, 0, -ROUND($B1288 * (InterestRate / PaymentsPerYear), 2))</f>
        <v>0</v>
      </c>
      <c r="F1288" s="5">
        <f>ROUND(IFERROR(IF($B1288&lt;=0,0,
MAX(-$B1288, -(-PMT(InterestRate/PaymentsPerYear,LoanTerm*PaymentsPerYear,LoanAmount) + $E1288))), 0), 2)</f>
        <v>0</v>
      </c>
      <c r="G1288" s="5">
        <f t="shared" si="82"/>
        <v>0</v>
      </c>
      <c r="H1288" s="5">
        <f t="shared" si="83"/>
        <v>0</v>
      </c>
    </row>
    <row r="1289" spans="1:8" x14ac:dyDescent="0.2">
      <c r="A1289" s="2">
        <v>1288</v>
      </c>
      <c r="B1289" s="5">
        <f t="shared" si="80"/>
        <v>0</v>
      </c>
      <c r="C1289" s="5">
        <f t="shared" si="81"/>
        <v>0</v>
      </c>
      <c r="D1289" s="5"/>
      <c r="E1289" s="5">
        <f>IF($B1289 &lt;= 0, 0, -ROUND($B1289 * (InterestRate / PaymentsPerYear), 2))</f>
        <v>0</v>
      </c>
      <c r="F1289" s="5">
        <f>ROUND(IFERROR(IF($B1289&lt;=0,0,
MAX(-$B1289, -(-PMT(InterestRate/PaymentsPerYear,LoanTerm*PaymentsPerYear,LoanAmount) + $E1289))), 0), 2)</f>
        <v>0</v>
      </c>
      <c r="G1289" s="5">
        <f t="shared" si="82"/>
        <v>0</v>
      </c>
      <c r="H1289" s="5">
        <f t="shared" si="83"/>
        <v>0</v>
      </c>
    </row>
    <row r="1290" spans="1:8" x14ac:dyDescent="0.2">
      <c r="A1290" s="2">
        <v>1289</v>
      </c>
      <c r="B1290" s="5">
        <f t="shared" si="80"/>
        <v>0</v>
      </c>
      <c r="C1290" s="5">
        <f t="shared" si="81"/>
        <v>0</v>
      </c>
      <c r="D1290" s="5"/>
      <c r="E1290" s="5">
        <f>IF($B1290 &lt;= 0, 0, -ROUND($B1290 * (InterestRate / PaymentsPerYear), 2))</f>
        <v>0</v>
      </c>
      <c r="F1290" s="5">
        <f>ROUND(IFERROR(IF($B1290&lt;=0,0,
MAX(-$B1290, -(-PMT(InterestRate/PaymentsPerYear,LoanTerm*PaymentsPerYear,LoanAmount) + $E1290))), 0), 2)</f>
        <v>0</v>
      </c>
      <c r="G1290" s="5">
        <f t="shared" si="82"/>
        <v>0</v>
      </c>
      <c r="H1290" s="5">
        <f t="shared" si="83"/>
        <v>0</v>
      </c>
    </row>
    <row r="1291" spans="1:8" x14ac:dyDescent="0.2">
      <c r="A1291" s="2">
        <v>1290</v>
      </c>
      <c r="B1291" s="5">
        <f t="shared" si="80"/>
        <v>0</v>
      </c>
      <c r="C1291" s="5">
        <f t="shared" si="81"/>
        <v>0</v>
      </c>
      <c r="D1291" s="5"/>
      <c r="E1291" s="5">
        <f>IF($B1291 &lt;= 0, 0, -ROUND($B1291 * (InterestRate / PaymentsPerYear), 2))</f>
        <v>0</v>
      </c>
      <c r="F1291" s="5">
        <f>ROUND(IFERROR(IF($B1291&lt;=0,0,
MAX(-$B1291, -(-PMT(InterestRate/PaymentsPerYear,LoanTerm*PaymentsPerYear,LoanAmount) + $E1291))), 0), 2)</f>
        <v>0</v>
      </c>
      <c r="G1291" s="5">
        <f t="shared" si="82"/>
        <v>0</v>
      </c>
      <c r="H1291" s="5">
        <f t="shared" si="83"/>
        <v>0</v>
      </c>
    </row>
    <row r="1292" spans="1:8" x14ac:dyDescent="0.2">
      <c r="A1292" s="2">
        <v>1291</v>
      </c>
      <c r="B1292" s="5">
        <f t="shared" si="80"/>
        <v>0</v>
      </c>
      <c r="C1292" s="5">
        <f t="shared" si="81"/>
        <v>0</v>
      </c>
      <c r="D1292" s="5"/>
      <c r="E1292" s="5">
        <f>IF($B1292 &lt;= 0, 0, -ROUND($B1292 * (InterestRate / PaymentsPerYear), 2))</f>
        <v>0</v>
      </c>
      <c r="F1292" s="5">
        <f>ROUND(IFERROR(IF($B1292&lt;=0,0,
MAX(-$B1292, -(-PMT(InterestRate/PaymentsPerYear,LoanTerm*PaymentsPerYear,LoanAmount) + $E1292))), 0), 2)</f>
        <v>0</v>
      </c>
      <c r="G1292" s="5">
        <f t="shared" si="82"/>
        <v>0</v>
      </c>
      <c r="H1292" s="5">
        <f t="shared" si="83"/>
        <v>0</v>
      </c>
    </row>
    <row r="1293" spans="1:8" x14ac:dyDescent="0.2">
      <c r="A1293" s="2">
        <v>1292</v>
      </c>
      <c r="B1293" s="5">
        <f t="shared" si="80"/>
        <v>0</v>
      </c>
      <c r="C1293" s="5">
        <f t="shared" si="81"/>
        <v>0</v>
      </c>
      <c r="D1293" s="5"/>
      <c r="E1293" s="5">
        <f>IF($B1293 &lt;= 0, 0, -ROUND($B1293 * (InterestRate / PaymentsPerYear), 2))</f>
        <v>0</v>
      </c>
      <c r="F1293" s="5">
        <f>ROUND(IFERROR(IF($B1293&lt;=0,0,
MAX(-$B1293, -(-PMT(InterestRate/PaymentsPerYear,LoanTerm*PaymentsPerYear,LoanAmount) + $E1293))), 0), 2)</f>
        <v>0</v>
      </c>
      <c r="G1293" s="5">
        <f t="shared" si="82"/>
        <v>0</v>
      </c>
      <c r="H1293" s="5">
        <f t="shared" si="83"/>
        <v>0</v>
      </c>
    </row>
    <row r="1294" spans="1:8" x14ac:dyDescent="0.2">
      <c r="A1294" s="2">
        <v>1293</v>
      </c>
      <c r="B1294" s="5">
        <f t="shared" si="80"/>
        <v>0</v>
      </c>
      <c r="C1294" s="5">
        <f t="shared" si="81"/>
        <v>0</v>
      </c>
      <c r="D1294" s="5"/>
      <c r="E1294" s="5">
        <f>IF($B1294 &lt;= 0, 0, -ROUND($B1294 * (InterestRate / PaymentsPerYear), 2))</f>
        <v>0</v>
      </c>
      <c r="F1294" s="5">
        <f>ROUND(IFERROR(IF($B1294&lt;=0,0,
MAX(-$B1294, -(-PMT(InterestRate/PaymentsPerYear,LoanTerm*PaymentsPerYear,LoanAmount) + $E1294))), 0), 2)</f>
        <v>0</v>
      </c>
      <c r="G1294" s="5">
        <f t="shared" si="82"/>
        <v>0</v>
      </c>
      <c r="H1294" s="5">
        <f t="shared" si="83"/>
        <v>0</v>
      </c>
    </row>
    <row r="1295" spans="1:8" x14ac:dyDescent="0.2">
      <c r="A1295" s="2">
        <v>1294</v>
      </c>
      <c r="B1295" s="5">
        <f t="shared" si="80"/>
        <v>0</v>
      </c>
      <c r="C1295" s="5">
        <f t="shared" si="81"/>
        <v>0</v>
      </c>
      <c r="D1295" s="5"/>
      <c r="E1295" s="5">
        <f>IF($B1295 &lt;= 0, 0, -ROUND($B1295 * (InterestRate / PaymentsPerYear), 2))</f>
        <v>0</v>
      </c>
      <c r="F1295" s="5">
        <f>ROUND(IFERROR(IF($B1295&lt;=0,0,
MAX(-$B1295, -(-PMT(InterestRate/PaymentsPerYear,LoanTerm*PaymentsPerYear,LoanAmount) + $E1295))), 0), 2)</f>
        <v>0</v>
      </c>
      <c r="G1295" s="5">
        <f t="shared" si="82"/>
        <v>0</v>
      </c>
      <c r="H1295" s="5">
        <f t="shared" si="83"/>
        <v>0</v>
      </c>
    </row>
    <row r="1296" spans="1:8" x14ac:dyDescent="0.2">
      <c r="A1296" s="2">
        <v>1295</v>
      </c>
      <c r="B1296" s="5">
        <f t="shared" si="80"/>
        <v>0</v>
      </c>
      <c r="C1296" s="5">
        <f t="shared" si="81"/>
        <v>0</v>
      </c>
      <c r="D1296" s="5"/>
      <c r="E1296" s="5">
        <f>IF($B1296 &lt;= 0, 0, -ROUND($B1296 * (InterestRate / PaymentsPerYear), 2))</f>
        <v>0</v>
      </c>
      <c r="F1296" s="5">
        <f>ROUND(IFERROR(IF($B1296&lt;=0,0,
MAX(-$B1296, -(-PMT(InterestRate/PaymentsPerYear,LoanTerm*PaymentsPerYear,LoanAmount) + $E1296))), 0), 2)</f>
        <v>0</v>
      </c>
      <c r="G1296" s="5">
        <f t="shared" si="82"/>
        <v>0</v>
      </c>
      <c r="H1296" s="5">
        <f t="shared" si="83"/>
        <v>0</v>
      </c>
    </row>
    <row r="1297" spans="1:8" x14ac:dyDescent="0.2">
      <c r="A1297" s="2">
        <v>1296</v>
      </c>
      <c r="B1297" s="5">
        <f t="shared" si="80"/>
        <v>0</v>
      </c>
      <c r="C1297" s="5">
        <f t="shared" si="81"/>
        <v>0</v>
      </c>
      <c r="D1297" s="5"/>
      <c r="E1297" s="5">
        <f>IF($B1297 &lt;= 0, 0, -ROUND($B1297 * (InterestRate / PaymentsPerYear), 2))</f>
        <v>0</v>
      </c>
      <c r="F1297" s="5">
        <f>ROUND(IFERROR(IF($B1297&lt;=0,0,
MAX(-$B1297, -(-PMT(InterestRate/PaymentsPerYear,LoanTerm*PaymentsPerYear,LoanAmount) + $E1297))), 0), 2)</f>
        <v>0</v>
      </c>
      <c r="G1297" s="5">
        <f t="shared" si="82"/>
        <v>0</v>
      </c>
      <c r="H1297" s="5">
        <f t="shared" si="83"/>
        <v>0</v>
      </c>
    </row>
    <row r="1298" spans="1:8" x14ac:dyDescent="0.2">
      <c r="A1298" s="2">
        <v>1297</v>
      </c>
      <c r="B1298" s="5">
        <f t="shared" si="80"/>
        <v>0</v>
      </c>
      <c r="C1298" s="5">
        <f t="shared" si="81"/>
        <v>0</v>
      </c>
      <c r="D1298" s="5"/>
      <c r="E1298" s="5">
        <f>IF($B1298 &lt;= 0, 0, -ROUND($B1298 * (InterestRate / PaymentsPerYear), 2))</f>
        <v>0</v>
      </c>
      <c r="F1298" s="5">
        <f>ROUND(IFERROR(IF($B1298&lt;=0,0,
MAX(-$B1298, -(-PMT(InterestRate/PaymentsPerYear,LoanTerm*PaymentsPerYear,LoanAmount) + $E1298))), 0), 2)</f>
        <v>0</v>
      </c>
      <c r="G1298" s="5">
        <f t="shared" si="82"/>
        <v>0</v>
      </c>
      <c r="H1298" s="5">
        <f t="shared" si="83"/>
        <v>0</v>
      </c>
    </row>
    <row r="1299" spans="1:8" x14ac:dyDescent="0.2">
      <c r="A1299" s="2">
        <v>1298</v>
      </c>
      <c r="B1299" s="5">
        <f t="shared" si="80"/>
        <v>0</v>
      </c>
      <c r="C1299" s="5">
        <f t="shared" si="81"/>
        <v>0</v>
      </c>
      <c r="D1299" s="5"/>
      <c r="E1299" s="5">
        <f>IF($B1299 &lt;= 0, 0, -ROUND($B1299 * (InterestRate / PaymentsPerYear), 2))</f>
        <v>0</v>
      </c>
      <c r="F1299" s="5">
        <f>ROUND(IFERROR(IF($B1299&lt;=0,0,
MAX(-$B1299, -(-PMT(InterestRate/PaymentsPerYear,LoanTerm*PaymentsPerYear,LoanAmount) + $E1299))), 0), 2)</f>
        <v>0</v>
      </c>
      <c r="G1299" s="5">
        <f t="shared" si="82"/>
        <v>0</v>
      </c>
      <c r="H1299" s="5">
        <f t="shared" si="83"/>
        <v>0</v>
      </c>
    </row>
    <row r="1300" spans="1:8" x14ac:dyDescent="0.2">
      <c r="A1300" s="2">
        <v>1299</v>
      </c>
      <c r="B1300" s="5">
        <f t="shared" si="80"/>
        <v>0</v>
      </c>
      <c r="C1300" s="5">
        <f t="shared" si="81"/>
        <v>0</v>
      </c>
      <c r="D1300" s="5"/>
      <c r="E1300" s="5">
        <f>IF($B1300 &lt;= 0, 0, -ROUND($B1300 * (InterestRate / PaymentsPerYear), 2))</f>
        <v>0</v>
      </c>
      <c r="F1300" s="5">
        <f>ROUND(IFERROR(IF($B1300&lt;=0,0,
MAX(-$B1300, -(-PMT(InterestRate/PaymentsPerYear,LoanTerm*PaymentsPerYear,LoanAmount) + $E1300))), 0), 2)</f>
        <v>0</v>
      </c>
      <c r="G1300" s="5">
        <f t="shared" si="82"/>
        <v>0</v>
      </c>
      <c r="H1300" s="5">
        <f t="shared" si="83"/>
        <v>0</v>
      </c>
    </row>
    <row r="1301" spans="1:8" x14ac:dyDescent="0.2">
      <c r="A1301" s="2">
        <v>1300</v>
      </c>
      <c r="B1301" s="5">
        <f t="shared" si="80"/>
        <v>0</v>
      </c>
      <c r="C1301" s="5">
        <f t="shared" si="81"/>
        <v>0</v>
      </c>
      <c r="D1301" s="5"/>
      <c r="E1301" s="5">
        <f>IF($B1301 &lt;= 0, 0, -ROUND($B1301 * (InterestRate / PaymentsPerYear), 2))</f>
        <v>0</v>
      </c>
      <c r="F1301" s="5">
        <f>ROUND(IFERROR(IF($B1301&lt;=0,0,
MAX(-$B1301, -(-PMT(InterestRate/PaymentsPerYear,LoanTerm*PaymentsPerYear,LoanAmount) + $E1301))), 0), 2)</f>
        <v>0</v>
      </c>
      <c r="G1301" s="5">
        <f t="shared" si="82"/>
        <v>0</v>
      </c>
      <c r="H1301" s="5">
        <f t="shared" si="83"/>
        <v>0</v>
      </c>
    </row>
    <row r="1302" spans="1:8" x14ac:dyDescent="0.2">
      <c r="A1302" s="2">
        <v>1301</v>
      </c>
      <c r="B1302" s="5">
        <f t="shared" si="80"/>
        <v>0</v>
      </c>
      <c r="C1302" s="5">
        <f t="shared" si="81"/>
        <v>0</v>
      </c>
      <c r="D1302" s="5"/>
      <c r="E1302" s="5">
        <f>IF($B1302 &lt;= 0, 0, -ROUND($B1302 * (InterestRate / PaymentsPerYear), 2))</f>
        <v>0</v>
      </c>
      <c r="F1302" s="5">
        <f>ROUND(IFERROR(IF($B1302&lt;=0,0,
MAX(-$B1302, -(-PMT(InterestRate/PaymentsPerYear,LoanTerm*PaymentsPerYear,LoanAmount) + $E1302))), 0), 2)</f>
        <v>0</v>
      </c>
      <c r="G1302" s="5">
        <f t="shared" si="82"/>
        <v>0</v>
      </c>
      <c r="H1302" s="5">
        <f t="shared" si="83"/>
        <v>0</v>
      </c>
    </row>
    <row r="1303" spans="1:8" x14ac:dyDescent="0.2">
      <c r="A1303" s="2">
        <v>1302</v>
      </c>
      <c r="B1303" s="5">
        <f t="shared" si="80"/>
        <v>0</v>
      </c>
      <c r="C1303" s="5">
        <f t="shared" si="81"/>
        <v>0</v>
      </c>
      <c r="D1303" s="5"/>
      <c r="E1303" s="5">
        <f>IF($B1303 &lt;= 0, 0, -ROUND($B1303 * (InterestRate / PaymentsPerYear), 2))</f>
        <v>0</v>
      </c>
      <c r="F1303" s="5">
        <f>ROUND(IFERROR(IF($B1303&lt;=0,0,
MAX(-$B1303, -(-PMT(InterestRate/PaymentsPerYear,LoanTerm*PaymentsPerYear,LoanAmount) + $E1303))), 0), 2)</f>
        <v>0</v>
      </c>
      <c r="G1303" s="5">
        <f t="shared" si="82"/>
        <v>0</v>
      </c>
      <c r="H1303" s="5">
        <f t="shared" si="83"/>
        <v>0</v>
      </c>
    </row>
    <row r="1304" spans="1:8" x14ac:dyDescent="0.2">
      <c r="A1304" s="2">
        <v>1303</v>
      </c>
      <c r="B1304" s="5">
        <f t="shared" si="80"/>
        <v>0</v>
      </c>
      <c r="C1304" s="5">
        <f t="shared" si="81"/>
        <v>0</v>
      </c>
      <c r="D1304" s="5"/>
      <c r="E1304" s="5">
        <f>IF($B1304 &lt;= 0, 0, -ROUND($B1304 * (InterestRate / PaymentsPerYear), 2))</f>
        <v>0</v>
      </c>
      <c r="F1304" s="5">
        <f>ROUND(IFERROR(IF($B1304&lt;=0,0,
MAX(-$B1304, -(-PMT(InterestRate/PaymentsPerYear,LoanTerm*PaymentsPerYear,LoanAmount) + $E1304))), 0), 2)</f>
        <v>0</v>
      </c>
      <c r="G1304" s="5">
        <f t="shared" si="82"/>
        <v>0</v>
      </c>
      <c r="H1304" s="5">
        <f t="shared" si="83"/>
        <v>0</v>
      </c>
    </row>
    <row r="1305" spans="1:8" x14ac:dyDescent="0.2">
      <c r="A1305" s="2">
        <v>1304</v>
      </c>
      <c r="B1305" s="5">
        <f t="shared" si="80"/>
        <v>0</v>
      </c>
      <c r="C1305" s="5">
        <f t="shared" si="81"/>
        <v>0</v>
      </c>
      <c r="D1305" s="5"/>
      <c r="E1305" s="5">
        <f>IF($B1305 &lt;= 0, 0, -ROUND($B1305 * (InterestRate / PaymentsPerYear), 2))</f>
        <v>0</v>
      </c>
      <c r="F1305" s="5">
        <f>ROUND(IFERROR(IF($B1305&lt;=0,0,
MAX(-$B1305, -(-PMT(InterestRate/PaymentsPerYear,LoanTerm*PaymentsPerYear,LoanAmount) + $E1305))), 0), 2)</f>
        <v>0</v>
      </c>
      <c r="G1305" s="5">
        <f t="shared" si="82"/>
        <v>0</v>
      </c>
      <c r="H1305" s="5">
        <f t="shared" si="83"/>
        <v>0</v>
      </c>
    </row>
    <row r="1306" spans="1:8" x14ac:dyDescent="0.2">
      <c r="A1306" s="2">
        <v>1305</v>
      </c>
      <c r="B1306" s="5">
        <f t="shared" si="80"/>
        <v>0</v>
      </c>
      <c r="C1306" s="5">
        <f t="shared" si="81"/>
        <v>0</v>
      </c>
      <c r="D1306" s="5"/>
      <c r="E1306" s="5">
        <f>IF($B1306 &lt;= 0, 0, -ROUND($B1306 * (InterestRate / PaymentsPerYear), 2))</f>
        <v>0</v>
      </c>
      <c r="F1306" s="5">
        <f>ROUND(IFERROR(IF($B1306&lt;=0,0,
MAX(-$B1306, -(-PMT(InterestRate/PaymentsPerYear,LoanTerm*PaymentsPerYear,LoanAmount) + $E1306))), 0), 2)</f>
        <v>0</v>
      </c>
      <c r="G1306" s="5">
        <f t="shared" si="82"/>
        <v>0</v>
      </c>
      <c r="H1306" s="5">
        <f t="shared" si="83"/>
        <v>0</v>
      </c>
    </row>
    <row r="1307" spans="1:8" x14ac:dyDescent="0.2">
      <c r="A1307" s="2">
        <v>1306</v>
      </c>
      <c r="B1307" s="5">
        <f t="shared" si="80"/>
        <v>0</v>
      </c>
      <c r="C1307" s="5">
        <f t="shared" si="81"/>
        <v>0</v>
      </c>
      <c r="D1307" s="5"/>
      <c r="E1307" s="5">
        <f>IF($B1307 &lt;= 0, 0, -ROUND($B1307 * (InterestRate / PaymentsPerYear), 2))</f>
        <v>0</v>
      </c>
      <c r="F1307" s="5">
        <f>ROUND(IFERROR(IF($B1307&lt;=0,0,
MAX(-$B1307, -(-PMT(InterestRate/PaymentsPerYear,LoanTerm*PaymentsPerYear,LoanAmount) + $E1307))), 0), 2)</f>
        <v>0</v>
      </c>
      <c r="G1307" s="5">
        <f t="shared" si="82"/>
        <v>0</v>
      </c>
      <c r="H1307" s="5">
        <f t="shared" si="83"/>
        <v>0</v>
      </c>
    </row>
    <row r="1308" spans="1:8" x14ac:dyDescent="0.2">
      <c r="A1308" s="2">
        <v>1307</v>
      </c>
      <c r="B1308" s="5">
        <f t="shared" si="80"/>
        <v>0</v>
      </c>
      <c r="C1308" s="5">
        <f t="shared" si="81"/>
        <v>0</v>
      </c>
      <c r="D1308" s="5"/>
      <c r="E1308" s="5">
        <f>IF($B1308 &lt;= 0, 0, -ROUND($B1308 * (InterestRate / PaymentsPerYear), 2))</f>
        <v>0</v>
      </c>
      <c r="F1308" s="5">
        <f>ROUND(IFERROR(IF($B1308&lt;=0,0,
MAX(-$B1308, -(-PMT(InterestRate/PaymentsPerYear,LoanTerm*PaymentsPerYear,LoanAmount) + $E1308))), 0), 2)</f>
        <v>0</v>
      </c>
      <c r="G1308" s="5">
        <f t="shared" si="82"/>
        <v>0</v>
      </c>
      <c r="H1308" s="5">
        <f t="shared" si="83"/>
        <v>0</v>
      </c>
    </row>
    <row r="1309" spans="1:8" x14ac:dyDescent="0.2">
      <c r="A1309" s="2">
        <v>1308</v>
      </c>
      <c r="B1309" s="5">
        <f t="shared" si="80"/>
        <v>0</v>
      </c>
      <c r="C1309" s="5">
        <f t="shared" si="81"/>
        <v>0</v>
      </c>
      <c r="D1309" s="5"/>
      <c r="E1309" s="5">
        <f>IF($B1309 &lt;= 0, 0, -ROUND($B1309 * (InterestRate / PaymentsPerYear), 2))</f>
        <v>0</v>
      </c>
      <c r="F1309" s="5">
        <f>ROUND(IFERROR(IF($B1309&lt;=0,0,
MAX(-$B1309, -(-PMT(InterestRate/PaymentsPerYear,LoanTerm*PaymentsPerYear,LoanAmount) + $E1309))), 0), 2)</f>
        <v>0</v>
      </c>
      <c r="G1309" s="5">
        <f t="shared" si="82"/>
        <v>0</v>
      </c>
      <c r="H1309" s="5">
        <f t="shared" si="83"/>
        <v>0</v>
      </c>
    </row>
    <row r="1310" spans="1:8" x14ac:dyDescent="0.2">
      <c r="A1310" s="2">
        <v>1309</v>
      </c>
      <c r="B1310" s="5">
        <f t="shared" si="80"/>
        <v>0</v>
      </c>
      <c r="C1310" s="5">
        <f t="shared" si="81"/>
        <v>0</v>
      </c>
      <c r="D1310" s="5"/>
      <c r="E1310" s="5">
        <f>IF($B1310 &lt;= 0, 0, -ROUND($B1310 * (InterestRate / PaymentsPerYear), 2))</f>
        <v>0</v>
      </c>
      <c r="F1310" s="5">
        <f>ROUND(IFERROR(IF($B1310&lt;=0,0,
MAX(-$B1310, -(-PMT(InterestRate/PaymentsPerYear,LoanTerm*PaymentsPerYear,LoanAmount) + $E1310))), 0), 2)</f>
        <v>0</v>
      </c>
      <c r="G1310" s="5">
        <f t="shared" si="82"/>
        <v>0</v>
      </c>
      <c r="H1310" s="5">
        <f t="shared" si="83"/>
        <v>0</v>
      </c>
    </row>
    <row r="1311" spans="1:8" x14ac:dyDescent="0.2">
      <c r="A1311" s="2">
        <v>1310</v>
      </c>
      <c r="B1311" s="5">
        <f t="shared" si="80"/>
        <v>0</v>
      </c>
      <c r="C1311" s="5">
        <f t="shared" si="81"/>
        <v>0</v>
      </c>
      <c r="D1311" s="5"/>
      <c r="E1311" s="5">
        <f>IF($B1311 &lt;= 0, 0, -ROUND($B1311 * (InterestRate / PaymentsPerYear), 2))</f>
        <v>0</v>
      </c>
      <c r="F1311" s="5">
        <f>ROUND(IFERROR(IF($B1311&lt;=0,0,
MAX(-$B1311, -(-PMT(InterestRate/PaymentsPerYear,LoanTerm*PaymentsPerYear,LoanAmount) + $E1311))), 0), 2)</f>
        <v>0</v>
      </c>
      <c r="G1311" s="5">
        <f t="shared" si="82"/>
        <v>0</v>
      </c>
      <c r="H1311" s="5">
        <f t="shared" si="83"/>
        <v>0</v>
      </c>
    </row>
    <row r="1312" spans="1:8" x14ac:dyDescent="0.2">
      <c r="A1312" s="2">
        <v>1311</v>
      </c>
      <c r="B1312" s="5">
        <f t="shared" si="80"/>
        <v>0</v>
      </c>
      <c r="C1312" s="5">
        <f t="shared" si="81"/>
        <v>0</v>
      </c>
      <c r="D1312" s="5"/>
      <c r="E1312" s="5">
        <f>IF($B1312 &lt;= 0, 0, -ROUND($B1312 * (InterestRate / PaymentsPerYear), 2))</f>
        <v>0</v>
      </c>
      <c r="F1312" s="5">
        <f>ROUND(IFERROR(IF($B1312&lt;=0,0,
MAX(-$B1312, -(-PMT(InterestRate/PaymentsPerYear,LoanTerm*PaymentsPerYear,LoanAmount) + $E1312))), 0), 2)</f>
        <v>0</v>
      </c>
      <c r="G1312" s="5">
        <f t="shared" si="82"/>
        <v>0</v>
      </c>
      <c r="H1312" s="5">
        <f t="shared" si="83"/>
        <v>0</v>
      </c>
    </row>
    <row r="1313" spans="1:8" x14ac:dyDescent="0.2">
      <c r="A1313" s="2">
        <v>1312</v>
      </c>
      <c r="B1313" s="5">
        <f t="shared" si="80"/>
        <v>0</v>
      </c>
      <c r="C1313" s="5">
        <f t="shared" si="81"/>
        <v>0</v>
      </c>
      <c r="D1313" s="5"/>
      <c r="E1313" s="5">
        <f>IF($B1313 &lt;= 0, 0, -ROUND($B1313 * (InterestRate / PaymentsPerYear), 2))</f>
        <v>0</v>
      </c>
      <c r="F1313" s="5">
        <f>ROUND(IFERROR(IF($B1313&lt;=0,0,
MAX(-$B1313, -(-PMT(InterestRate/PaymentsPerYear,LoanTerm*PaymentsPerYear,LoanAmount) + $E1313))), 0), 2)</f>
        <v>0</v>
      </c>
      <c r="G1313" s="5">
        <f t="shared" si="82"/>
        <v>0</v>
      </c>
      <c r="H1313" s="5">
        <f t="shared" si="83"/>
        <v>0</v>
      </c>
    </row>
    <row r="1314" spans="1:8" x14ac:dyDescent="0.2">
      <c r="A1314" s="2">
        <v>1313</v>
      </c>
      <c r="B1314" s="5">
        <f t="shared" si="80"/>
        <v>0</v>
      </c>
      <c r="C1314" s="5">
        <f t="shared" si="81"/>
        <v>0</v>
      </c>
      <c r="D1314" s="5"/>
      <c r="E1314" s="5">
        <f>IF($B1314 &lt;= 0, 0, -ROUND($B1314 * (InterestRate / PaymentsPerYear), 2))</f>
        <v>0</v>
      </c>
      <c r="F1314" s="5">
        <f>ROUND(IFERROR(IF($B1314&lt;=0,0,
MAX(-$B1314, -(-PMT(InterestRate/PaymentsPerYear,LoanTerm*PaymentsPerYear,LoanAmount) + $E1314))), 0), 2)</f>
        <v>0</v>
      </c>
      <c r="G1314" s="5">
        <f t="shared" si="82"/>
        <v>0</v>
      </c>
      <c r="H1314" s="5">
        <f t="shared" si="83"/>
        <v>0</v>
      </c>
    </row>
    <row r="1315" spans="1:8" x14ac:dyDescent="0.2">
      <c r="A1315" s="2">
        <v>1314</v>
      </c>
      <c r="B1315" s="5">
        <f t="shared" si="80"/>
        <v>0</v>
      </c>
      <c r="C1315" s="5">
        <f t="shared" si="81"/>
        <v>0</v>
      </c>
      <c r="D1315" s="5"/>
      <c r="E1315" s="5">
        <f>IF($B1315 &lt;= 0, 0, -ROUND($B1315 * (InterestRate / PaymentsPerYear), 2))</f>
        <v>0</v>
      </c>
      <c r="F1315" s="5">
        <f>ROUND(IFERROR(IF($B1315&lt;=0,0,
MAX(-$B1315, -(-PMT(InterestRate/PaymentsPerYear,LoanTerm*PaymentsPerYear,LoanAmount) + $E1315))), 0), 2)</f>
        <v>0</v>
      </c>
      <c r="G1315" s="5">
        <f t="shared" si="82"/>
        <v>0</v>
      </c>
      <c r="H1315" s="5">
        <f t="shared" si="83"/>
        <v>0</v>
      </c>
    </row>
    <row r="1316" spans="1:8" x14ac:dyDescent="0.2">
      <c r="A1316" s="2">
        <v>1315</v>
      </c>
      <c r="B1316" s="5">
        <f t="shared" si="80"/>
        <v>0</v>
      </c>
      <c r="C1316" s="5">
        <f t="shared" si="81"/>
        <v>0</v>
      </c>
      <c r="D1316" s="5"/>
      <c r="E1316" s="5">
        <f>IF($B1316 &lt;= 0, 0, -ROUND($B1316 * (InterestRate / PaymentsPerYear), 2))</f>
        <v>0</v>
      </c>
      <c r="F1316" s="5">
        <f>ROUND(IFERROR(IF($B1316&lt;=0,0,
MAX(-$B1316, -(-PMT(InterestRate/PaymentsPerYear,LoanTerm*PaymentsPerYear,LoanAmount) + $E1316))), 0), 2)</f>
        <v>0</v>
      </c>
      <c r="G1316" s="5">
        <f t="shared" si="82"/>
        <v>0</v>
      </c>
      <c r="H1316" s="5">
        <f t="shared" si="83"/>
        <v>0</v>
      </c>
    </row>
    <row r="1317" spans="1:8" x14ac:dyDescent="0.2">
      <c r="A1317" s="2">
        <v>1316</v>
      </c>
      <c r="B1317" s="5">
        <f t="shared" si="80"/>
        <v>0</v>
      </c>
      <c r="C1317" s="5">
        <f t="shared" si="81"/>
        <v>0</v>
      </c>
      <c r="D1317" s="5"/>
      <c r="E1317" s="5">
        <f>IF($B1317 &lt;= 0, 0, -ROUND($B1317 * (InterestRate / PaymentsPerYear), 2))</f>
        <v>0</v>
      </c>
      <c r="F1317" s="5">
        <f>ROUND(IFERROR(IF($B1317&lt;=0,0,
MAX(-$B1317, -(-PMT(InterestRate/PaymentsPerYear,LoanTerm*PaymentsPerYear,LoanAmount) + $E1317))), 0), 2)</f>
        <v>0</v>
      </c>
      <c r="G1317" s="5">
        <f t="shared" si="82"/>
        <v>0</v>
      </c>
      <c r="H1317" s="5">
        <f t="shared" si="83"/>
        <v>0</v>
      </c>
    </row>
    <row r="1318" spans="1:8" x14ac:dyDescent="0.2">
      <c r="A1318" s="2">
        <v>1317</v>
      </c>
      <c r="B1318" s="5">
        <f t="shared" si="80"/>
        <v>0</v>
      </c>
      <c r="C1318" s="5">
        <f t="shared" si="81"/>
        <v>0</v>
      </c>
      <c r="D1318" s="5"/>
      <c r="E1318" s="5">
        <f>IF($B1318 &lt;= 0, 0, -ROUND($B1318 * (InterestRate / PaymentsPerYear), 2))</f>
        <v>0</v>
      </c>
      <c r="F1318" s="5">
        <f>ROUND(IFERROR(IF($B1318&lt;=0,0,
MAX(-$B1318, -(-PMT(InterestRate/PaymentsPerYear,LoanTerm*PaymentsPerYear,LoanAmount) + $E1318))), 0), 2)</f>
        <v>0</v>
      </c>
      <c r="G1318" s="5">
        <f t="shared" si="82"/>
        <v>0</v>
      </c>
      <c r="H1318" s="5">
        <f t="shared" si="83"/>
        <v>0</v>
      </c>
    </row>
    <row r="1319" spans="1:8" x14ac:dyDescent="0.2">
      <c r="A1319" s="2">
        <v>1318</v>
      </c>
      <c r="B1319" s="5">
        <f t="shared" si="80"/>
        <v>0</v>
      </c>
      <c r="C1319" s="5">
        <f t="shared" si="81"/>
        <v>0</v>
      </c>
      <c r="D1319" s="5"/>
      <c r="E1319" s="5">
        <f>IF($B1319 &lt;= 0, 0, -ROUND($B1319 * (InterestRate / PaymentsPerYear), 2))</f>
        <v>0</v>
      </c>
      <c r="F1319" s="5">
        <f>ROUND(IFERROR(IF($B1319&lt;=0,0,
MAX(-$B1319, -(-PMT(InterestRate/PaymentsPerYear,LoanTerm*PaymentsPerYear,LoanAmount) + $E1319))), 0), 2)</f>
        <v>0</v>
      </c>
      <c r="G1319" s="5">
        <f t="shared" si="82"/>
        <v>0</v>
      </c>
      <c r="H1319" s="5">
        <f t="shared" si="83"/>
        <v>0</v>
      </c>
    </row>
    <row r="1320" spans="1:8" x14ac:dyDescent="0.2">
      <c r="A1320" s="2">
        <v>1319</v>
      </c>
      <c r="B1320" s="5">
        <f t="shared" si="80"/>
        <v>0</v>
      </c>
      <c r="C1320" s="5">
        <f t="shared" si="81"/>
        <v>0</v>
      </c>
      <c r="D1320" s="5"/>
      <c r="E1320" s="5">
        <f>IF($B1320 &lt;= 0, 0, -ROUND($B1320 * (InterestRate / PaymentsPerYear), 2))</f>
        <v>0</v>
      </c>
      <c r="F1320" s="5">
        <f>ROUND(IFERROR(IF($B1320&lt;=0,0,
MAX(-$B1320, -(-PMT(InterestRate/PaymentsPerYear,LoanTerm*PaymentsPerYear,LoanAmount) + $E1320))), 0), 2)</f>
        <v>0</v>
      </c>
      <c r="G1320" s="5">
        <f t="shared" si="82"/>
        <v>0</v>
      </c>
      <c r="H1320" s="5">
        <f t="shared" si="83"/>
        <v>0</v>
      </c>
    </row>
    <row r="1321" spans="1:8" x14ac:dyDescent="0.2">
      <c r="A1321" s="2">
        <v>1320</v>
      </c>
      <c r="B1321" s="5">
        <f t="shared" si="80"/>
        <v>0</v>
      </c>
      <c r="C1321" s="5">
        <f t="shared" si="81"/>
        <v>0</v>
      </c>
      <c r="D1321" s="5"/>
      <c r="E1321" s="5">
        <f>IF($B1321 &lt;= 0, 0, -ROUND($B1321 * (InterestRate / PaymentsPerYear), 2))</f>
        <v>0</v>
      </c>
      <c r="F1321" s="5">
        <f>ROUND(IFERROR(IF($B1321&lt;=0,0,
MAX(-$B1321, -(-PMT(InterestRate/PaymentsPerYear,LoanTerm*PaymentsPerYear,LoanAmount) + $E1321))), 0), 2)</f>
        <v>0</v>
      </c>
      <c r="G1321" s="5">
        <f t="shared" si="82"/>
        <v>0</v>
      </c>
      <c r="H1321" s="5">
        <f t="shared" si="83"/>
        <v>0</v>
      </c>
    </row>
    <row r="1322" spans="1:8" x14ac:dyDescent="0.2">
      <c r="A1322" s="2">
        <v>1321</v>
      </c>
      <c r="B1322" s="5">
        <f t="shared" si="80"/>
        <v>0</v>
      </c>
      <c r="C1322" s="5">
        <f t="shared" si="81"/>
        <v>0</v>
      </c>
      <c r="D1322" s="5"/>
      <c r="E1322" s="5">
        <f>IF($B1322 &lt;= 0, 0, -ROUND($B1322 * (InterestRate / PaymentsPerYear), 2))</f>
        <v>0</v>
      </c>
      <c r="F1322" s="5">
        <f>ROUND(IFERROR(IF($B1322&lt;=0,0,
MAX(-$B1322, -(-PMT(InterestRate/PaymentsPerYear,LoanTerm*PaymentsPerYear,LoanAmount) + $E1322))), 0), 2)</f>
        <v>0</v>
      </c>
      <c r="G1322" s="5">
        <f t="shared" si="82"/>
        <v>0</v>
      </c>
      <c r="H1322" s="5">
        <f t="shared" si="83"/>
        <v>0</v>
      </c>
    </row>
    <row r="1323" spans="1:8" x14ac:dyDescent="0.2">
      <c r="A1323" s="2">
        <v>1322</v>
      </c>
      <c r="B1323" s="5">
        <f t="shared" si="80"/>
        <v>0</v>
      </c>
      <c r="C1323" s="5">
        <f t="shared" si="81"/>
        <v>0</v>
      </c>
      <c r="D1323" s="5"/>
      <c r="E1323" s="5">
        <f>IF($B1323 &lt;= 0, 0, -ROUND($B1323 * (InterestRate / PaymentsPerYear), 2))</f>
        <v>0</v>
      </c>
      <c r="F1323" s="5">
        <f>ROUND(IFERROR(IF($B1323&lt;=0,0,
MAX(-$B1323, -(-PMT(InterestRate/PaymentsPerYear,LoanTerm*PaymentsPerYear,LoanAmount) + $E1323))), 0), 2)</f>
        <v>0</v>
      </c>
      <c r="G1323" s="5">
        <f t="shared" si="82"/>
        <v>0</v>
      </c>
      <c r="H1323" s="5">
        <f t="shared" si="83"/>
        <v>0</v>
      </c>
    </row>
    <row r="1324" spans="1:8" x14ac:dyDescent="0.2">
      <c r="A1324" s="2">
        <v>1323</v>
      </c>
      <c r="B1324" s="5">
        <f t="shared" si="80"/>
        <v>0</v>
      </c>
      <c r="C1324" s="5">
        <f t="shared" si="81"/>
        <v>0</v>
      </c>
      <c r="D1324" s="5"/>
      <c r="E1324" s="5">
        <f>IF($B1324 &lt;= 0, 0, -ROUND($B1324 * (InterestRate / PaymentsPerYear), 2))</f>
        <v>0</v>
      </c>
      <c r="F1324" s="5">
        <f>ROUND(IFERROR(IF($B1324&lt;=0,0,
MAX(-$B1324, -(-PMT(InterestRate/PaymentsPerYear,LoanTerm*PaymentsPerYear,LoanAmount) + $E1324))), 0), 2)</f>
        <v>0</v>
      </c>
      <c r="G1324" s="5">
        <f t="shared" si="82"/>
        <v>0</v>
      </c>
      <c r="H1324" s="5">
        <f t="shared" si="83"/>
        <v>0</v>
      </c>
    </row>
    <row r="1325" spans="1:8" x14ac:dyDescent="0.2">
      <c r="A1325" s="2">
        <v>1324</v>
      </c>
      <c r="B1325" s="5">
        <f t="shared" si="80"/>
        <v>0</v>
      </c>
      <c r="C1325" s="5">
        <f t="shared" si="81"/>
        <v>0</v>
      </c>
      <c r="D1325" s="5"/>
      <c r="E1325" s="5">
        <f>IF($B1325 &lt;= 0, 0, -ROUND($B1325 * (InterestRate / PaymentsPerYear), 2))</f>
        <v>0</v>
      </c>
      <c r="F1325" s="5">
        <f>ROUND(IFERROR(IF($B1325&lt;=0,0,
MAX(-$B1325, -(-PMT(InterestRate/PaymentsPerYear,LoanTerm*PaymentsPerYear,LoanAmount) + $E1325))), 0), 2)</f>
        <v>0</v>
      </c>
      <c r="G1325" s="5">
        <f t="shared" si="82"/>
        <v>0</v>
      </c>
      <c r="H1325" s="5">
        <f t="shared" si="83"/>
        <v>0</v>
      </c>
    </row>
    <row r="1326" spans="1:8" x14ac:dyDescent="0.2">
      <c r="A1326" s="2">
        <v>1325</v>
      </c>
      <c r="B1326" s="5">
        <f t="shared" si="80"/>
        <v>0</v>
      </c>
      <c r="C1326" s="5">
        <f t="shared" si="81"/>
        <v>0</v>
      </c>
      <c r="D1326" s="5"/>
      <c r="E1326" s="5">
        <f>IF($B1326 &lt;= 0, 0, -ROUND($B1326 * (InterestRate / PaymentsPerYear), 2))</f>
        <v>0</v>
      </c>
      <c r="F1326" s="5">
        <f>ROUND(IFERROR(IF($B1326&lt;=0,0,
MAX(-$B1326, -(-PMT(InterestRate/PaymentsPerYear,LoanTerm*PaymentsPerYear,LoanAmount) + $E1326))), 0), 2)</f>
        <v>0</v>
      </c>
      <c r="G1326" s="5">
        <f t="shared" si="82"/>
        <v>0</v>
      </c>
      <c r="H1326" s="5">
        <f t="shared" si="83"/>
        <v>0</v>
      </c>
    </row>
    <row r="1327" spans="1:8" x14ac:dyDescent="0.2">
      <c r="A1327" s="2">
        <v>1326</v>
      </c>
      <c r="B1327" s="5">
        <f t="shared" si="80"/>
        <v>0</v>
      </c>
      <c r="C1327" s="5">
        <f t="shared" si="81"/>
        <v>0</v>
      </c>
      <c r="D1327" s="5"/>
      <c r="E1327" s="5">
        <f>IF($B1327 &lt;= 0, 0, -ROUND($B1327 * (InterestRate / PaymentsPerYear), 2))</f>
        <v>0</v>
      </c>
      <c r="F1327" s="5">
        <f>ROUND(IFERROR(IF($B1327&lt;=0,0,
MAX(-$B1327, -(-PMT(InterestRate/PaymentsPerYear,LoanTerm*PaymentsPerYear,LoanAmount) + $E1327))), 0), 2)</f>
        <v>0</v>
      </c>
      <c r="G1327" s="5">
        <f t="shared" si="82"/>
        <v>0</v>
      </c>
      <c r="H1327" s="5">
        <f t="shared" si="83"/>
        <v>0</v>
      </c>
    </row>
    <row r="1328" spans="1:8" x14ac:dyDescent="0.2">
      <c r="A1328" s="2">
        <v>1327</v>
      </c>
      <c r="B1328" s="5">
        <f t="shared" si="80"/>
        <v>0</v>
      </c>
      <c r="C1328" s="5">
        <f t="shared" si="81"/>
        <v>0</v>
      </c>
      <c r="D1328" s="5"/>
      <c r="E1328" s="5">
        <f>IF($B1328 &lt;= 0, 0, -ROUND($B1328 * (InterestRate / PaymentsPerYear), 2))</f>
        <v>0</v>
      </c>
      <c r="F1328" s="5">
        <f>ROUND(IFERROR(IF($B1328&lt;=0,0,
MAX(-$B1328, -(-PMT(InterestRate/PaymentsPerYear,LoanTerm*PaymentsPerYear,LoanAmount) + $E1328))), 0), 2)</f>
        <v>0</v>
      </c>
      <c r="G1328" s="5">
        <f t="shared" si="82"/>
        <v>0</v>
      </c>
      <c r="H1328" s="5">
        <f t="shared" si="83"/>
        <v>0</v>
      </c>
    </row>
    <row r="1329" spans="1:8" x14ac:dyDescent="0.2">
      <c r="A1329" s="2">
        <v>1328</v>
      </c>
      <c r="B1329" s="5">
        <f t="shared" si="80"/>
        <v>0</v>
      </c>
      <c r="C1329" s="5">
        <f t="shared" si="81"/>
        <v>0</v>
      </c>
      <c r="D1329" s="5"/>
      <c r="E1329" s="5">
        <f>IF($B1329 &lt;= 0, 0, -ROUND($B1329 * (InterestRate / PaymentsPerYear), 2))</f>
        <v>0</v>
      </c>
      <c r="F1329" s="5">
        <f>ROUND(IFERROR(IF($B1329&lt;=0,0,
MAX(-$B1329, -(-PMT(InterestRate/PaymentsPerYear,LoanTerm*PaymentsPerYear,LoanAmount) + $E1329))), 0), 2)</f>
        <v>0</v>
      </c>
      <c r="G1329" s="5">
        <f t="shared" si="82"/>
        <v>0</v>
      </c>
      <c r="H1329" s="5">
        <f t="shared" si="83"/>
        <v>0</v>
      </c>
    </row>
    <row r="1330" spans="1:8" x14ac:dyDescent="0.2">
      <c r="A1330" s="2">
        <v>1329</v>
      </c>
      <c r="B1330" s="5">
        <f t="shared" si="80"/>
        <v>0</v>
      </c>
      <c r="C1330" s="5">
        <f t="shared" si="81"/>
        <v>0</v>
      </c>
      <c r="D1330" s="5"/>
      <c r="E1330" s="5">
        <f>IF($B1330 &lt;= 0, 0, -ROUND($B1330 * (InterestRate / PaymentsPerYear), 2))</f>
        <v>0</v>
      </c>
      <c r="F1330" s="5">
        <f>ROUND(IFERROR(IF($B1330&lt;=0,0,
MAX(-$B1330, -(-PMT(InterestRate/PaymentsPerYear,LoanTerm*PaymentsPerYear,LoanAmount) + $E1330))), 0), 2)</f>
        <v>0</v>
      </c>
      <c r="G1330" s="5">
        <f t="shared" si="82"/>
        <v>0</v>
      </c>
      <c r="H1330" s="5">
        <f t="shared" si="83"/>
        <v>0</v>
      </c>
    </row>
    <row r="1331" spans="1:8" x14ac:dyDescent="0.2">
      <c r="A1331" s="2">
        <v>1330</v>
      </c>
      <c r="B1331" s="5">
        <f t="shared" si="80"/>
        <v>0</v>
      </c>
      <c r="C1331" s="5">
        <f t="shared" si="81"/>
        <v>0</v>
      </c>
      <c r="D1331" s="5"/>
      <c r="E1331" s="5">
        <f>IF($B1331 &lt;= 0, 0, -ROUND($B1331 * (InterestRate / PaymentsPerYear), 2))</f>
        <v>0</v>
      </c>
      <c r="F1331" s="5">
        <f>ROUND(IFERROR(IF($B1331&lt;=0,0,
MAX(-$B1331, -(-PMT(InterestRate/PaymentsPerYear,LoanTerm*PaymentsPerYear,LoanAmount) + $E1331))), 0), 2)</f>
        <v>0</v>
      </c>
      <c r="G1331" s="5">
        <f t="shared" si="82"/>
        <v>0</v>
      </c>
      <c r="H1331" s="5">
        <f t="shared" si="83"/>
        <v>0</v>
      </c>
    </row>
    <row r="1332" spans="1:8" x14ac:dyDescent="0.2">
      <c r="A1332" s="2">
        <v>1331</v>
      </c>
      <c r="B1332" s="5">
        <f t="shared" si="80"/>
        <v>0</v>
      </c>
      <c r="C1332" s="5">
        <f t="shared" si="81"/>
        <v>0</v>
      </c>
      <c r="D1332" s="5"/>
      <c r="E1332" s="5">
        <f>IF($B1332 &lt;= 0, 0, -ROUND($B1332 * (InterestRate / PaymentsPerYear), 2))</f>
        <v>0</v>
      </c>
      <c r="F1332" s="5">
        <f>ROUND(IFERROR(IF($B1332&lt;=0,0,
MAX(-$B1332, -(-PMT(InterestRate/PaymentsPerYear,LoanTerm*PaymentsPerYear,LoanAmount) + $E1332))), 0), 2)</f>
        <v>0</v>
      </c>
      <c r="G1332" s="5">
        <f t="shared" si="82"/>
        <v>0</v>
      </c>
      <c r="H1332" s="5">
        <f t="shared" si="83"/>
        <v>0</v>
      </c>
    </row>
    <row r="1333" spans="1:8" x14ac:dyDescent="0.2">
      <c r="A1333" s="2">
        <v>1332</v>
      </c>
      <c r="B1333" s="5">
        <f t="shared" si="80"/>
        <v>0</v>
      </c>
      <c r="C1333" s="5">
        <f t="shared" si="81"/>
        <v>0</v>
      </c>
      <c r="D1333" s="5"/>
      <c r="E1333" s="5">
        <f>IF($B1333 &lt;= 0, 0, -ROUND($B1333 * (InterestRate / PaymentsPerYear), 2))</f>
        <v>0</v>
      </c>
      <c r="F1333" s="5">
        <f>ROUND(IFERROR(IF($B1333&lt;=0,0,
MAX(-$B1333, -(-PMT(InterestRate/PaymentsPerYear,LoanTerm*PaymentsPerYear,LoanAmount) + $E1333))), 0), 2)</f>
        <v>0</v>
      </c>
      <c r="G1333" s="5">
        <f t="shared" si="82"/>
        <v>0</v>
      </c>
      <c r="H1333" s="5">
        <f t="shared" si="83"/>
        <v>0</v>
      </c>
    </row>
    <row r="1334" spans="1:8" x14ac:dyDescent="0.2">
      <c r="A1334" s="2">
        <v>1333</v>
      </c>
      <c r="B1334" s="5">
        <f t="shared" si="80"/>
        <v>0</v>
      </c>
      <c r="C1334" s="5">
        <f t="shared" si="81"/>
        <v>0</v>
      </c>
      <c r="D1334" s="5"/>
      <c r="E1334" s="5">
        <f>IF($B1334 &lt;= 0, 0, -ROUND($B1334 * (InterestRate / PaymentsPerYear), 2))</f>
        <v>0</v>
      </c>
      <c r="F1334" s="5">
        <f>ROUND(IFERROR(IF($B1334&lt;=0,0,
MAX(-$B1334, -(-PMT(InterestRate/PaymentsPerYear,LoanTerm*PaymentsPerYear,LoanAmount) + $E1334))), 0), 2)</f>
        <v>0</v>
      </c>
      <c r="G1334" s="5">
        <f t="shared" si="82"/>
        <v>0</v>
      </c>
      <c r="H1334" s="5">
        <f t="shared" si="83"/>
        <v>0</v>
      </c>
    </row>
    <row r="1335" spans="1:8" x14ac:dyDescent="0.2">
      <c r="A1335" s="2">
        <v>1334</v>
      </c>
      <c r="B1335" s="5">
        <f t="shared" si="80"/>
        <v>0</v>
      </c>
      <c r="C1335" s="5">
        <f t="shared" si="81"/>
        <v>0</v>
      </c>
      <c r="D1335" s="5"/>
      <c r="E1335" s="5">
        <f>IF($B1335 &lt;= 0, 0, -ROUND($B1335 * (InterestRate / PaymentsPerYear), 2))</f>
        <v>0</v>
      </c>
      <c r="F1335" s="5">
        <f>ROUND(IFERROR(IF($B1335&lt;=0,0,
MAX(-$B1335, -(-PMT(InterestRate/PaymentsPerYear,LoanTerm*PaymentsPerYear,LoanAmount) + $E1335))), 0), 2)</f>
        <v>0</v>
      </c>
      <c r="G1335" s="5">
        <f t="shared" si="82"/>
        <v>0</v>
      </c>
      <c r="H1335" s="5">
        <f t="shared" si="83"/>
        <v>0</v>
      </c>
    </row>
    <row r="1336" spans="1:8" x14ac:dyDescent="0.2">
      <c r="A1336" s="2">
        <v>1335</v>
      </c>
      <c r="B1336" s="5">
        <f t="shared" si="80"/>
        <v>0</v>
      </c>
      <c r="C1336" s="5">
        <f t="shared" si="81"/>
        <v>0</v>
      </c>
      <c r="D1336" s="5"/>
      <c r="E1336" s="5">
        <f>IF($B1336 &lt;= 0, 0, -ROUND($B1336 * (InterestRate / PaymentsPerYear), 2))</f>
        <v>0</v>
      </c>
      <c r="F1336" s="5">
        <f>ROUND(IFERROR(IF($B1336&lt;=0,0,
MAX(-$B1336, -(-PMT(InterestRate/PaymentsPerYear,LoanTerm*PaymentsPerYear,LoanAmount) + $E1336))), 0), 2)</f>
        <v>0</v>
      </c>
      <c r="G1336" s="5">
        <f t="shared" si="82"/>
        <v>0</v>
      </c>
      <c r="H1336" s="5">
        <f t="shared" si="83"/>
        <v>0</v>
      </c>
    </row>
    <row r="1337" spans="1:8" x14ac:dyDescent="0.2">
      <c r="A1337" s="2">
        <v>1336</v>
      </c>
      <c r="B1337" s="5">
        <f t="shared" si="80"/>
        <v>0</v>
      </c>
      <c r="C1337" s="5">
        <f t="shared" si="81"/>
        <v>0</v>
      </c>
      <c r="D1337" s="5"/>
      <c r="E1337" s="5">
        <f>IF($B1337 &lt;= 0, 0, -ROUND($B1337 * (InterestRate / PaymentsPerYear), 2))</f>
        <v>0</v>
      </c>
      <c r="F1337" s="5">
        <f>ROUND(IFERROR(IF($B1337&lt;=0,0,
MAX(-$B1337, -(-PMT(InterestRate/PaymentsPerYear,LoanTerm*PaymentsPerYear,LoanAmount) + $E1337))), 0), 2)</f>
        <v>0</v>
      </c>
      <c r="G1337" s="5">
        <f t="shared" si="82"/>
        <v>0</v>
      </c>
      <c r="H1337" s="5">
        <f t="shared" si="83"/>
        <v>0</v>
      </c>
    </row>
    <row r="1338" spans="1:8" x14ac:dyDescent="0.2">
      <c r="A1338" s="2">
        <v>1337</v>
      </c>
      <c r="B1338" s="5">
        <f t="shared" si="80"/>
        <v>0</v>
      </c>
      <c r="C1338" s="5">
        <f t="shared" si="81"/>
        <v>0</v>
      </c>
      <c r="D1338" s="5"/>
      <c r="E1338" s="5">
        <f>IF($B1338 &lt;= 0, 0, -ROUND($B1338 * (InterestRate / PaymentsPerYear), 2))</f>
        <v>0</v>
      </c>
      <c r="F1338" s="5">
        <f>ROUND(IFERROR(IF($B1338&lt;=0,0,
MAX(-$B1338, -(-PMT(InterestRate/PaymentsPerYear,LoanTerm*PaymentsPerYear,LoanAmount) + $E1338))), 0), 2)</f>
        <v>0</v>
      </c>
      <c r="G1338" s="5">
        <f t="shared" si="82"/>
        <v>0</v>
      </c>
      <c r="H1338" s="5">
        <f t="shared" si="83"/>
        <v>0</v>
      </c>
    </row>
    <row r="1339" spans="1:8" x14ac:dyDescent="0.2">
      <c r="A1339" s="2">
        <v>1338</v>
      </c>
      <c r="B1339" s="5">
        <f t="shared" si="80"/>
        <v>0</v>
      </c>
      <c r="C1339" s="5">
        <f t="shared" si="81"/>
        <v>0</v>
      </c>
      <c r="D1339" s="5"/>
      <c r="E1339" s="5">
        <f>IF($B1339 &lt;= 0, 0, -ROUND($B1339 * (InterestRate / PaymentsPerYear), 2))</f>
        <v>0</v>
      </c>
      <c r="F1339" s="5">
        <f>ROUND(IFERROR(IF($B1339&lt;=0,0,
MAX(-$B1339, -(-PMT(InterestRate/PaymentsPerYear,LoanTerm*PaymentsPerYear,LoanAmount) + $E1339))), 0), 2)</f>
        <v>0</v>
      </c>
      <c r="G1339" s="5">
        <f t="shared" si="82"/>
        <v>0</v>
      </c>
      <c r="H1339" s="5">
        <f t="shared" si="83"/>
        <v>0</v>
      </c>
    </row>
    <row r="1340" spans="1:8" x14ac:dyDescent="0.2">
      <c r="A1340" s="2">
        <v>1339</v>
      </c>
      <c r="B1340" s="5">
        <f t="shared" si="80"/>
        <v>0</v>
      </c>
      <c r="C1340" s="5">
        <f t="shared" si="81"/>
        <v>0</v>
      </c>
      <c r="D1340" s="5"/>
      <c r="E1340" s="5">
        <f>IF($B1340 &lt;= 0, 0, -ROUND($B1340 * (InterestRate / PaymentsPerYear), 2))</f>
        <v>0</v>
      </c>
      <c r="F1340" s="5">
        <f>ROUND(IFERROR(IF($B1340&lt;=0,0,
MAX(-$B1340, -(-PMT(InterestRate/PaymentsPerYear,LoanTerm*PaymentsPerYear,LoanAmount) + $E1340))), 0), 2)</f>
        <v>0</v>
      </c>
      <c r="G1340" s="5">
        <f t="shared" si="82"/>
        <v>0</v>
      </c>
      <c r="H1340" s="5">
        <f t="shared" si="83"/>
        <v>0</v>
      </c>
    </row>
    <row r="1341" spans="1:8" x14ac:dyDescent="0.2">
      <c r="A1341" s="2">
        <v>1340</v>
      </c>
      <c r="B1341" s="5">
        <f t="shared" si="80"/>
        <v>0</v>
      </c>
      <c r="C1341" s="5">
        <f t="shared" si="81"/>
        <v>0</v>
      </c>
      <c r="D1341" s="5"/>
      <c r="E1341" s="5">
        <f>IF($B1341 &lt;= 0, 0, -ROUND($B1341 * (InterestRate / PaymentsPerYear), 2))</f>
        <v>0</v>
      </c>
      <c r="F1341" s="5">
        <f>ROUND(IFERROR(IF($B1341&lt;=0,0,
MAX(-$B1341, -(-PMT(InterestRate/PaymentsPerYear,LoanTerm*PaymentsPerYear,LoanAmount) + $E1341))), 0), 2)</f>
        <v>0</v>
      </c>
      <c r="G1341" s="5">
        <f t="shared" si="82"/>
        <v>0</v>
      </c>
      <c r="H1341" s="5">
        <f t="shared" si="83"/>
        <v>0</v>
      </c>
    </row>
    <row r="1342" spans="1:8" x14ac:dyDescent="0.2">
      <c r="A1342" s="2">
        <v>1341</v>
      </c>
      <c r="B1342" s="5">
        <f t="shared" si="80"/>
        <v>0</v>
      </c>
      <c r="C1342" s="5">
        <f t="shared" si="81"/>
        <v>0</v>
      </c>
      <c r="D1342" s="5"/>
      <c r="E1342" s="5">
        <f>IF($B1342 &lt;= 0, 0, -ROUND($B1342 * (InterestRate / PaymentsPerYear), 2))</f>
        <v>0</v>
      </c>
      <c r="F1342" s="5">
        <f>ROUND(IFERROR(IF($B1342&lt;=0,0,
MAX(-$B1342, -(-PMT(InterestRate/PaymentsPerYear,LoanTerm*PaymentsPerYear,LoanAmount) + $E1342))), 0), 2)</f>
        <v>0</v>
      </c>
      <c r="G1342" s="5">
        <f t="shared" si="82"/>
        <v>0</v>
      </c>
      <c r="H1342" s="5">
        <f t="shared" si="83"/>
        <v>0</v>
      </c>
    </row>
    <row r="1343" spans="1:8" x14ac:dyDescent="0.2">
      <c r="A1343" s="2">
        <v>1342</v>
      </c>
      <c r="B1343" s="5">
        <f t="shared" si="80"/>
        <v>0</v>
      </c>
      <c r="C1343" s="5">
        <f t="shared" si="81"/>
        <v>0</v>
      </c>
      <c r="D1343" s="5"/>
      <c r="E1343" s="5">
        <f>IF($B1343 &lt;= 0, 0, -ROUND($B1343 * (InterestRate / PaymentsPerYear), 2))</f>
        <v>0</v>
      </c>
      <c r="F1343" s="5">
        <f>ROUND(IFERROR(IF($B1343&lt;=0,0,
MAX(-$B1343, -(-PMT(InterestRate/PaymentsPerYear,LoanTerm*PaymentsPerYear,LoanAmount) + $E1343))), 0), 2)</f>
        <v>0</v>
      </c>
      <c r="G1343" s="5">
        <f t="shared" si="82"/>
        <v>0</v>
      </c>
      <c r="H1343" s="5">
        <f t="shared" si="83"/>
        <v>0</v>
      </c>
    </row>
    <row r="1344" spans="1:8" x14ac:dyDescent="0.2">
      <c r="A1344" s="2">
        <v>1343</v>
      </c>
      <c r="B1344" s="5">
        <f t="shared" si="80"/>
        <v>0</v>
      </c>
      <c r="C1344" s="5">
        <f t="shared" si="81"/>
        <v>0</v>
      </c>
      <c r="D1344" s="5"/>
      <c r="E1344" s="5">
        <f>IF($B1344 &lt;= 0, 0, -ROUND($B1344 * (InterestRate / PaymentsPerYear), 2))</f>
        <v>0</v>
      </c>
      <c r="F1344" s="5">
        <f>ROUND(IFERROR(IF($B1344&lt;=0,0,
MAX(-$B1344, -(-PMT(InterestRate/PaymentsPerYear,LoanTerm*PaymentsPerYear,LoanAmount) + $E1344))), 0), 2)</f>
        <v>0</v>
      </c>
      <c r="G1344" s="5">
        <f t="shared" si="82"/>
        <v>0</v>
      </c>
      <c r="H1344" s="5">
        <f t="shared" si="83"/>
        <v>0</v>
      </c>
    </row>
    <row r="1345" spans="1:8" x14ac:dyDescent="0.2">
      <c r="A1345" s="2">
        <v>1344</v>
      </c>
      <c r="B1345" s="5">
        <f t="shared" si="80"/>
        <v>0</v>
      </c>
      <c r="C1345" s="5">
        <f t="shared" si="81"/>
        <v>0</v>
      </c>
      <c r="D1345" s="5"/>
      <c r="E1345" s="5">
        <f>IF($B1345 &lt;= 0, 0, -ROUND($B1345 * (InterestRate / PaymentsPerYear), 2))</f>
        <v>0</v>
      </c>
      <c r="F1345" s="5">
        <f>ROUND(IFERROR(IF($B1345&lt;=0,0,
MAX(-$B1345, -(-PMT(InterestRate/PaymentsPerYear,LoanTerm*PaymentsPerYear,LoanAmount) + $E1345))), 0), 2)</f>
        <v>0</v>
      </c>
      <c r="G1345" s="5">
        <f t="shared" si="82"/>
        <v>0</v>
      </c>
      <c r="H1345" s="5">
        <f t="shared" si="83"/>
        <v>0</v>
      </c>
    </row>
    <row r="1346" spans="1:8" x14ac:dyDescent="0.2">
      <c r="A1346" s="2">
        <v>1345</v>
      </c>
      <c r="B1346" s="5">
        <f t="shared" si="80"/>
        <v>0</v>
      </c>
      <c r="C1346" s="5">
        <f t="shared" si="81"/>
        <v>0</v>
      </c>
      <c r="D1346" s="5"/>
      <c r="E1346" s="5">
        <f>IF($B1346 &lt;= 0, 0, -ROUND($B1346 * (InterestRate / PaymentsPerYear), 2))</f>
        <v>0</v>
      </c>
      <c r="F1346" s="5">
        <f>ROUND(IFERROR(IF($B1346&lt;=0,0,
MAX(-$B1346, -(-PMT(InterestRate/PaymentsPerYear,LoanTerm*PaymentsPerYear,LoanAmount) + $E1346))), 0), 2)</f>
        <v>0</v>
      </c>
      <c r="G1346" s="5">
        <f t="shared" si="82"/>
        <v>0</v>
      </c>
      <c r="H1346" s="5">
        <f t="shared" si="83"/>
        <v>0</v>
      </c>
    </row>
    <row r="1347" spans="1:8" x14ac:dyDescent="0.2">
      <c r="A1347" s="2">
        <v>1346</v>
      </c>
      <c r="B1347" s="5">
        <f t="shared" si="80"/>
        <v>0</v>
      </c>
      <c r="C1347" s="5">
        <f t="shared" si="81"/>
        <v>0</v>
      </c>
      <c r="D1347" s="5"/>
      <c r="E1347" s="5">
        <f>IF($B1347 &lt;= 0, 0, -ROUND($B1347 * (InterestRate / PaymentsPerYear), 2))</f>
        <v>0</v>
      </c>
      <c r="F1347" s="5">
        <f>ROUND(IFERROR(IF($B1347&lt;=0,0,
MAX(-$B1347, -(-PMT(InterestRate/PaymentsPerYear,LoanTerm*PaymentsPerYear,LoanAmount) + $E1347))), 0), 2)</f>
        <v>0</v>
      </c>
      <c r="G1347" s="5">
        <f t="shared" si="82"/>
        <v>0</v>
      </c>
      <c r="H1347" s="5">
        <f t="shared" si="83"/>
        <v>0</v>
      </c>
    </row>
    <row r="1348" spans="1:8" x14ac:dyDescent="0.2">
      <c r="A1348" s="2">
        <v>1347</v>
      </c>
      <c r="B1348" s="5">
        <f t="shared" ref="B1348:B1411" si="84">ROUND(IF($H1347 &gt;= 0, MAX($H1347, $F1347), 0), 2)</f>
        <v>0</v>
      </c>
      <c r="C1348" s="5">
        <f t="shared" ref="C1348:C1411" si="85">IF($B1348 &lt;= 0, 0, $E1348+$F1348)</f>
        <v>0</v>
      </c>
      <c r="D1348" s="5"/>
      <c r="E1348" s="5">
        <f>IF($B1348 &lt;= 0, 0, -ROUND($B1348 * (InterestRate / PaymentsPerYear), 2))</f>
        <v>0</v>
      </c>
      <c r="F1348" s="5">
        <f>ROUND(IFERROR(IF($B1348&lt;=0,0,
MAX(-$B1348, -(-PMT(InterestRate/PaymentsPerYear,LoanTerm*PaymentsPerYear,LoanAmount) + $E1348))), 0), 2)</f>
        <v>0</v>
      </c>
      <c r="G1348" s="5">
        <f t="shared" ref="G1348:G1411" si="86">$F1348</f>
        <v>0</v>
      </c>
      <c r="H1348" s="5">
        <f t="shared" ref="H1348:H1411" si="87">ROUND(IF($B1348 &lt;= 0, 0,MAX(0, $B1348 + $G1348)), 2)</f>
        <v>0</v>
      </c>
    </row>
    <row r="1349" spans="1:8" x14ac:dyDescent="0.2">
      <c r="A1349" s="2">
        <v>1348</v>
      </c>
      <c r="B1349" s="5">
        <f t="shared" si="84"/>
        <v>0</v>
      </c>
      <c r="C1349" s="5">
        <f t="shared" si="85"/>
        <v>0</v>
      </c>
      <c r="D1349" s="5"/>
      <c r="E1349" s="5">
        <f>IF($B1349 &lt;= 0, 0, -ROUND($B1349 * (InterestRate / PaymentsPerYear), 2))</f>
        <v>0</v>
      </c>
      <c r="F1349" s="5">
        <f>ROUND(IFERROR(IF($B1349&lt;=0,0,
MAX(-$B1349, -(-PMT(InterestRate/PaymentsPerYear,LoanTerm*PaymentsPerYear,LoanAmount) + $E1349))), 0), 2)</f>
        <v>0</v>
      </c>
      <c r="G1349" s="5">
        <f t="shared" si="86"/>
        <v>0</v>
      </c>
      <c r="H1349" s="5">
        <f t="shared" si="87"/>
        <v>0</v>
      </c>
    </row>
    <row r="1350" spans="1:8" x14ac:dyDescent="0.2">
      <c r="A1350" s="2">
        <v>1349</v>
      </c>
      <c r="B1350" s="5">
        <f t="shared" si="84"/>
        <v>0</v>
      </c>
      <c r="C1350" s="5">
        <f t="shared" si="85"/>
        <v>0</v>
      </c>
      <c r="D1350" s="5"/>
      <c r="E1350" s="5">
        <f>IF($B1350 &lt;= 0, 0, -ROUND($B1350 * (InterestRate / PaymentsPerYear), 2))</f>
        <v>0</v>
      </c>
      <c r="F1350" s="5">
        <f>ROUND(IFERROR(IF($B1350&lt;=0,0,
MAX(-$B1350, -(-PMT(InterestRate/PaymentsPerYear,LoanTerm*PaymentsPerYear,LoanAmount) + $E1350))), 0), 2)</f>
        <v>0</v>
      </c>
      <c r="G1350" s="5">
        <f t="shared" si="86"/>
        <v>0</v>
      </c>
      <c r="H1350" s="5">
        <f t="shared" si="87"/>
        <v>0</v>
      </c>
    </row>
    <row r="1351" spans="1:8" x14ac:dyDescent="0.2">
      <c r="A1351" s="2">
        <v>1350</v>
      </c>
      <c r="B1351" s="5">
        <f t="shared" si="84"/>
        <v>0</v>
      </c>
      <c r="C1351" s="5">
        <f t="shared" si="85"/>
        <v>0</v>
      </c>
      <c r="D1351" s="5"/>
      <c r="E1351" s="5">
        <f>IF($B1351 &lt;= 0, 0, -ROUND($B1351 * (InterestRate / PaymentsPerYear), 2))</f>
        <v>0</v>
      </c>
      <c r="F1351" s="5">
        <f>ROUND(IFERROR(IF($B1351&lt;=0,0,
MAX(-$B1351, -(-PMT(InterestRate/PaymentsPerYear,LoanTerm*PaymentsPerYear,LoanAmount) + $E1351))), 0), 2)</f>
        <v>0</v>
      </c>
      <c r="G1351" s="5">
        <f t="shared" si="86"/>
        <v>0</v>
      </c>
      <c r="H1351" s="5">
        <f t="shared" si="87"/>
        <v>0</v>
      </c>
    </row>
    <row r="1352" spans="1:8" x14ac:dyDescent="0.2">
      <c r="A1352" s="2">
        <v>1351</v>
      </c>
      <c r="B1352" s="5">
        <f t="shared" si="84"/>
        <v>0</v>
      </c>
      <c r="C1352" s="5">
        <f t="shared" si="85"/>
        <v>0</v>
      </c>
      <c r="D1352" s="5"/>
      <c r="E1352" s="5">
        <f>IF($B1352 &lt;= 0, 0, -ROUND($B1352 * (InterestRate / PaymentsPerYear), 2))</f>
        <v>0</v>
      </c>
      <c r="F1352" s="5">
        <f>ROUND(IFERROR(IF($B1352&lt;=0,0,
MAX(-$B1352, -(-PMT(InterestRate/PaymentsPerYear,LoanTerm*PaymentsPerYear,LoanAmount) + $E1352))), 0), 2)</f>
        <v>0</v>
      </c>
      <c r="G1352" s="5">
        <f t="shared" si="86"/>
        <v>0</v>
      </c>
      <c r="H1352" s="5">
        <f t="shared" si="87"/>
        <v>0</v>
      </c>
    </row>
    <row r="1353" spans="1:8" x14ac:dyDescent="0.2">
      <c r="A1353" s="2">
        <v>1352</v>
      </c>
      <c r="B1353" s="5">
        <f t="shared" si="84"/>
        <v>0</v>
      </c>
      <c r="C1353" s="5">
        <f t="shared" si="85"/>
        <v>0</v>
      </c>
      <c r="D1353" s="5"/>
      <c r="E1353" s="5">
        <f>IF($B1353 &lt;= 0, 0, -ROUND($B1353 * (InterestRate / PaymentsPerYear), 2))</f>
        <v>0</v>
      </c>
      <c r="F1353" s="5">
        <f>ROUND(IFERROR(IF($B1353&lt;=0,0,
MAX(-$B1353, -(-PMT(InterestRate/PaymentsPerYear,LoanTerm*PaymentsPerYear,LoanAmount) + $E1353))), 0), 2)</f>
        <v>0</v>
      </c>
      <c r="G1353" s="5">
        <f t="shared" si="86"/>
        <v>0</v>
      </c>
      <c r="H1353" s="5">
        <f t="shared" si="87"/>
        <v>0</v>
      </c>
    </row>
    <row r="1354" spans="1:8" x14ac:dyDescent="0.2">
      <c r="A1354" s="2">
        <v>1353</v>
      </c>
      <c r="B1354" s="5">
        <f t="shared" si="84"/>
        <v>0</v>
      </c>
      <c r="C1354" s="5">
        <f t="shared" si="85"/>
        <v>0</v>
      </c>
      <c r="D1354" s="5"/>
      <c r="E1354" s="5">
        <f>IF($B1354 &lt;= 0, 0, -ROUND($B1354 * (InterestRate / PaymentsPerYear), 2))</f>
        <v>0</v>
      </c>
      <c r="F1354" s="5">
        <f>ROUND(IFERROR(IF($B1354&lt;=0,0,
MAX(-$B1354, -(-PMT(InterestRate/PaymentsPerYear,LoanTerm*PaymentsPerYear,LoanAmount) + $E1354))), 0), 2)</f>
        <v>0</v>
      </c>
      <c r="G1354" s="5">
        <f t="shared" si="86"/>
        <v>0</v>
      </c>
      <c r="H1354" s="5">
        <f t="shared" si="87"/>
        <v>0</v>
      </c>
    </row>
    <row r="1355" spans="1:8" x14ac:dyDescent="0.2">
      <c r="A1355" s="2">
        <v>1354</v>
      </c>
      <c r="B1355" s="5">
        <f t="shared" si="84"/>
        <v>0</v>
      </c>
      <c r="C1355" s="5">
        <f t="shared" si="85"/>
        <v>0</v>
      </c>
      <c r="D1355" s="5"/>
      <c r="E1355" s="5">
        <f>IF($B1355 &lt;= 0, 0, -ROUND($B1355 * (InterestRate / PaymentsPerYear), 2))</f>
        <v>0</v>
      </c>
      <c r="F1355" s="5">
        <f>ROUND(IFERROR(IF($B1355&lt;=0,0,
MAX(-$B1355, -(-PMT(InterestRate/PaymentsPerYear,LoanTerm*PaymentsPerYear,LoanAmount) + $E1355))), 0), 2)</f>
        <v>0</v>
      </c>
      <c r="G1355" s="5">
        <f t="shared" si="86"/>
        <v>0</v>
      </c>
      <c r="H1355" s="5">
        <f t="shared" si="87"/>
        <v>0</v>
      </c>
    </row>
    <row r="1356" spans="1:8" x14ac:dyDescent="0.2">
      <c r="A1356" s="2">
        <v>1355</v>
      </c>
      <c r="B1356" s="5">
        <f t="shared" si="84"/>
        <v>0</v>
      </c>
      <c r="C1356" s="5">
        <f t="shared" si="85"/>
        <v>0</v>
      </c>
      <c r="D1356" s="5"/>
      <c r="E1356" s="5">
        <f>IF($B1356 &lt;= 0, 0, -ROUND($B1356 * (InterestRate / PaymentsPerYear), 2))</f>
        <v>0</v>
      </c>
      <c r="F1356" s="5">
        <f>ROUND(IFERROR(IF($B1356&lt;=0,0,
MAX(-$B1356, -(-PMT(InterestRate/PaymentsPerYear,LoanTerm*PaymentsPerYear,LoanAmount) + $E1356))), 0), 2)</f>
        <v>0</v>
      </c>
      <c r="G1356" s="5">
        <f t="shared" si="86"/>
        <v>0</v>
      </c>
      <c r="H1356" s="5">
        <f t="shared" si="87"/>
        <v>0</v>
      </c>
    </row>
    <row r="1357" spans="1:8" x14ac:dyDescent="0.2">
      <c r="A1357" s="2">
        <v>1356</v>
      </c>
      <c r="B1357" s="5">
        <f t="shared" si="84"/>
        <v>0</v>
      </c>
      <c r="C1357" s="5">
        <f t="shared" si="85"/>
        <v>0</v>
      </c>
      <c r="D1357" s="5"/>
      <c r="E1357" s="5">
        <f>IF($B1357 &lt;= 0, 0, -ROUND($B1357 * (InterestRate / PaymentsPerYear), 2))</f>
        <v>0</v>
      </c>
      <c r="F1357" s="5">
        <f>ROUND(IFERROR(IF($B1357&lt;=0,0,
MAX(-$B1357, -(-PMT(InterestRate/PaymentsPerYear,LoanTerm*PaymentsPerYear,LoanAmount) + $E1357))), 0), 2)</f>
        <v>0</v>
      </c>
      <c r="G1357" s="5">
        <f t="shared" si="86"/>
        <v>0</v>
      </c>
      <c r="H1357" s="5">
        <f t="shared" si="87"/>
        <v>0</v>
      </c>
    </row>
    <row r="1358" spans="1:8" x14ac:dyDescent="0.2">
      <c r="A1358" s="2">
        <v>1357</v>
      </c>
      <c r="B1358" s="5">
        <f t="shared" si="84"/>
        <v>0</v>
      </c>
      <c r="C1358" s="5">
        <f t="shared" si="85"/>
        <v>0</v>
      </c>
      <c r="D1358" s="5"/>
      <c r="E1358" s="5">
        <f>IF($B1358 &lt;= 0, 0, -ROUND($B1358 * (InterestRate / PaymentsPerYear), 2))</f>
        <v>0</v>
      </c>
      <c r="F1358" s="5">
        <f>ROUND(IFERROR(IF($B1358&lt;=0,0,
MAX(-$B1358, -(-PMT(InterestRate/PaymentsPerYear,LoanTerm*PaymentsPerYear,LoanAmount) + $E1358))), 0), 2)</f>
        <v>0</v>
      </c>
      <c r="G1358" s="5">
        <f t="shared" si="86"/>
        <v>0</v>
      </c>
      <c r="H1358" s="5">
        <f t="shared" si="87"/>
        <v>0</v>
      </c>
    </row>
    <row r="1359" spans="1:8" x14ac:dyDescent="0.2">
      <c r="A1359" s="2">
        <v>1358</v>
      </c>
      <c r="B1359" s="5">
        <f t="shared" si="84"/>
        <v>0</v>
      </c>
      <c r="C1359" s="5">
        <f t="shared" si="85"/>
        <v>0</v>
      </c>
      <c r="D1359" s="5"/>
      <c r="E1359" s="5">
        <f>IF($B1359 &lt;= 0, 0, -ROUND($B1359 * (InterestRate / PaymentsPerYear), 2))</f>
        <v>0</v>
      </c>
      <c r="F1359" s="5">
        <f>ROUND(IFERROR(IF($B1359&lt;=0,0,
MAX(-$B1359, -(-PMT(InterestRate/PaymentsPerYear,LoanTerm*PaymentsPerYear,LoanAmount) + $E1359))), 0), 2)</f>
        <v>0</v>
      </c>
      <c r="G1359" s="5">
        <f t="shared" si="86"/>
        <v>0</v>
      </c>
      <c r="H1359" s="5">
        <f t="shared" si="87"/>
        <v>0</v>
      </c>
    </row>
    <row r="1360" spans="1:8" x14ac:dyDescent="0.2">
      <c r="A1360" s="2">
        <v>1359</v>
      </c>
      <c r="B1360" s="5">
        <f t="shared" si="84"/>
        <v>0</v>
      </c>
      <c r="C1360" s="5">
        <f t="shared" si="85"/>
        <v>0</v>
      </c>
      <c r="D1360" s="5"/>
      <c r="E1360" s="5">
        <f>IF($B1360 &lt;= 0, 0, -ROUND($B1360 * (InterestRate / PaymentsPerYear), 2))</f>
        <v>0</v>
      </c>
      <c r="F1360" s="5">
        <f>ROUND(IFERROR(IF($B1360&lt;=0,0,
MAX(-$B1360, -(-PMT(InterestRate/PaymentsPerYear,LoanTerm*PaymentsPerYear,LoanAmount) + $E1360))), 0), 2)</f>
        <v>0</v>
      </c>
      <c r="G1360" s="5">
        <f t="shared" si="86"/>
        <v>0</v>
      </c>
      <c r="H1360" s="5">
        <f t="shared" si="87"/>
        <v>0</v>
      </c>
    </row>
    <row r="1361" spans="1:8" x14ac:dyDescent="0.2">
      <c r="A1361" s="2">
        <v>1360</v>
      </c>
      <c r="B1361" s="5">
        <f t="shared" si="84"/>
        <v>0</v>
      </c>
      <c r="C1361" s="5">
        <f t="shared" si="85"/>
        <v>0</v>
      </c>
      <c r="D1361" s="5"/>
      <c r="E1361" s="5">
        <f>IF($B1361 &lt;= 0, 0, -ROUND($B1361 * (InterestRate / PaymentsPerYear), 2))</f>
        <v>0</v>
      </c>
      <c r="F1361" s="5">
        <f>ROUND(IFERROR(IF($B1361&lt;=0,0,
MAX(-$B1361, -(-PMT(InterestRate/PaymentsPerYear,LoanTerm*PaymentsPerYear,LoanAmount) + $E1361))), 0), 2)</f>
        <v>0</v>
      </c>
      <c r="G1361" s="5">
        <f t="shared" si="86"/>
        <v>0</v>
      </c>
      <c r="H1361" s="5">
        <f t="shared" si="87"/>
        <v>0</v>
      </c>
    </row>
    <row r="1362" spans="1:8" x14ac:dyDescent="0.2">
      <c r="A1362" s="2">
        <v>1361</v>
      </c>
      <c r="B1362" s="5">
        <f t="shared" si="84"/>
        <v>0</v>
      </c>
      <c r="C1362" s="5">
        <f t="shared" si="85"/>
        <v>0</v>
      </c>
      <c r="D1362" s="5"/>
      <c r="E1362" s="5">
        <f>IF($B1362 &lt;= 0, 0, -ROUND($B1362 * (InterestRate / PaymentsPerYear), 2))</f>
        <v>0</v>
      </c>
      <c r="F1362" s="5">
        <f>ROUND(IFERROR(IF($B1362&lt;=0,0,
MAX(-$B1362, -(-PMT(InterestRate/PaymentsPerYear,LoanTerm*PaymentsPerYear,LoanAmount) + $E1362))), 0), 2)</f>
        <v>0</v>
      </c>
      <c r="G1362" s="5">
        <f t="shared" si="86"/>
        <v>0</v>
      </c>
      <c r="H1362" s="5">
        <f t="shared" si="87"/>
        <v>0</v>
      </c>
    </row>
    <row r="1363" spans="1:8" x14ac:dyDescent="0.2">
      <c r="A1363" s="2">
        <v>1362</v>
      </c>
      <c r="B1363" s="5">
        <f t="shared" si="84"/>
        <v>0</v>
      </c>
      <c r="C1363" s="5">
        <f t="shared" si="85"/>
        <v>0</v>
      </c>
      <c r="D1363" s="5"/>
      <c r="E1363" s="5">
        <f>IF($B1363 &lt;= 0, 0, -ROUND($B1363 * (InterestRate / PaymentsPerYear), 2))</f>
        <v>0</v>
      </c>
      <c r="F1363" s="5">
        <f>ROUND(IFERROR(IF($B1363&lt;=0,0,
MAX(-$B1363, -(-PMT(InterestRate/PaymentsPerYear,LoanTerm*PaymentsPerYear,LoanAmount) + $E1363))), 0), 2)</f>
        <v>0</v>
      </c>
      <c r="G1363" s="5">
        <f t="shared" si="86"/>
        <v>0</v>
      </c>
      <c r="H1363" s="5">
        <f t="shared" si="87"/>
        <v>0</v>
      </c>
    </row>
    <row r="1364" spans="1:8" x14ac:dyDescent="0.2">
      <c r="A1364" s="2">
        <v>1363</v>
      </c>
      <c r="B1364" s="5">
        <f t="shared" si="84"/>
        <v>0</v>
      </c>
      <c r="C1364" s="5">
        <f t="shared" si="85"/>
        <v>0</v>
      </c>
      <c r="D1364" s="5"/>
      <c r="E1364" s="5">
        <f>IF($B1364 &lt;= 0, 0, -ROUND($B1364 * (InterestRate / PaymentsPerYear), 2))</f>
        <v>0</v>
      </c>
      <c r="F1364" s="5">
        <f>ROUND(IFERROR(IF($B1364&lt;=0,0,
MAX(-$B1364, -(-PMT(InterestRate/PaymentsPerYear,LoanTerm*PaymentsPerYear,LoanAmount) + $E1364))), 0), 2)</f>
        <v>0</v>
      </c>
      <c r="G1364" s="5">
        <f t="shared" si="86"/>
        <v>0</v>
      </c>
      <c r="H1364" s="5">
        <f t="shared" si="87"/>
        <v>0</v>
      </c>
    </row>
    <row r="1365" spans="1:8" x14ac:dyDescent="0.2">
      <c r="A1365" s="2">
        <v>1364</v>
      </c>
      <c r="B1365" s="5">
        <f t="shared" si="84"/>
        <v>0</v>
      </c>
      <c r="C1365" s="5">
        <f t="shared" si="85"/>
        <v>0</v>
      </c>
      <c r="D1365" s="5"/>
      <c r="E1365" s="5">
        <f>IF($B1365 &lt;= 0, 0, -ROUND($B1365 * (InterestRate / PaymentsPerYear), 2))</f>
        <v>0</v>
      </c>
      <c r="F1365" s="5">
        <f>ROUND(IFERROR(IF($B1365&lt;=0,0,
MAX(-$B1365, -(-PMT(InterestRate/PaymentsPerYear,LoanTerm*PaymentsPerYear,LoanAmount) + $E1365))), 0), 2)</f>
        <v>0</v>
      </c>
      <c r="G1365" s="5">
        <f t="shared" si="86"/>
        <v>0</v>
      </c>
      <c r="H1365" s="5">
        <f t="shared" si="87"/>
        <v>0</v>
      </c>
    </row>
    <row r="1366" spans="1:8" x14ac:dyDescent="0.2">
      <c r="A1366" s="2">
        <v>1365</v>
      </c>
      <c r="B1366" s="5">
        <f t="shared" si="84"/>
        <v>0</v>
      </c>
      <c r="C1366" s="5">
        <f t="shared" si="85"/>
        <v>0</v>
      </c>
      <c r="D1366" s="5"/>
      <c r="E1366" s="5">
        <f>IF($B1366 &lt;= 0, 0, -ROUND($B1366 * (InterestRate / PaymentsPerYear), 2))</f>
        <v>0</v>
      </c>
      <c r="F1366" s="5">
        <f>ROUND(IFERROR(IF($B1366&lt;=0,0,
MAX(-$B1366, -(-PMT(InterestRate/PaymentsPerYear,LoanTerm*PaymentsPerYear,LoanAmount) + $E1366))), 0), 2)</f>
        <v>0</v>
      </c>
      <c r="G1366" s="5">
        <f t="shared" si="86"/>
        <v>0</v>
      </c>
      <c r="H1366" s="5">
        <f t="shared" si="87"/>
        <v>0</v>
      </c>
    </row>
    <row r="1367" spans="1:8" x14ac:dyDescent="0.2">
      <c r="A1367" s="2">
        <v>1366</v>
      </c>
      <c r="B1367" s="5">
        <f t="shared" si="84"/>
        <v>0</v>
      </c>
      <c r="C1367" s="5">
        <f t="shared" si="85"/>
        <v>0</v>
      </c>
      <c r="D1367" s="5"/>
      <c r="E1367" s="5">
        <f>IF($B1367 &lt;= 0, 0, -ROUND($B1367 * (InterestRate / PaymentsPerYear), 2))</f>
        <v>0</v>
      </c>
      <c r="F1367" s="5">
        <f>ROUND(IFERROR(IF($B1367&lt;=0,0,
MAX(-$B1367, -(-PMT(InterestRate/PaymentsPerYear,LoanTerm*PaymentsPerYear,LoanAmount) + $E1367))), 0), 2)</f>
        <v>0</v>
      </c>
      <c r="G1367" s="5">
        <f t="shared" si="86"/>
        <v>0</v>
      </c>
      <c r="H1367" s="5">
        <f t="shared" si="87"/>
        <v>0</v>
      </c>
    </row>
    <row r="1368" spans="1:8" x14ac:dyDescent="0.2">
      <c r="A1368" s="2">
        <v>1367</v>
      </c>
      <c r="B1368" s="5">
        <f t="shared" si="84"/>
        <v>0</v>
      </c>
      <c r="C1368" s="5">
        <f t="shared" si="85"/>
        <v>0</v>
      </c>
      <c r="D1368" s="5"/>
      <c r="E1368" s="5">
        <f>IF($B1368 &lt;= 0, 0, -ROUND($B1368 * (InterestRate / PaymentsPerYear), 2))</f>
        <v>0</v>
      </c>
      <c r="F1368" s="5">
        <f>ROUND(IFERROR(IF($B1368&lt;=0,0,
MAX(-$B1368, -(-PMT(InterestRate/PaymentsPerYear,LoanTerm*PaymentsPerYear,LoanAmount) + $E1368))), 0), 2)</f>
        <v>0</v>
      </c>
      <c r="G1368" s="5">
        <f t="shared" si="86"/>
        <v>0</v>
      </c>
      <c r="H1368" s="5">
        <f t="shared" si="87"/>
        <v>0</v>
      </c>
    </row>
    <row r="1369" spans="1:8" x14ac:dyDescent="0.2">
      <c r="A1369" s="2">
        <v>1368</v>
      </c>
      <c r="B1369" s="5">
        <f t="shared" si="84"/>
        <v>0</v>
      </c>
      <c r="C1369" s="5">
        <f t="shared" si="85"/>
        <v>0</v>
      </c>
      <c r="D1369" s="5"/>
      <c r="E1369" s="5">
        <f>IF($B1369 &lt;= 0, 0, -ROUND($B1369 * (InterestRate / PaymentsPerYear), 2))</f>
        <v>0</v>
      </c>
      <c r="F1369" s="5">
        <f>ROUND(IFERROR(IF($B1369&lt;=0,0,
MAX(-$B1369, -(-PMT(InterestRate/PaymentsPerYear,LoanTerm*PaymentsPerYear,LoanAmount) + $E1369))), 0), 2)</f>
        <v>0</v>
      </c>
      <c r="G1369" s="5">
        <f t="shared" si="86"/>
        <v>0</v>
      </c>
      <c r="H1369" s="5">
        <f t="shared" si="87"/>
        <v>0</v>
      </c>
    </row>
    <row r="1370" spans="1:8" x14ac:dyDescent="0.2">
      <c r="A1370" s="2">
        <v>1369</v>
      </c>
      <c r="B1370" s="5">
        <f t="shared" si="84"/>
        <v>0</v>
      </c>
      <c r="C1370" s="5">
        <f t="shared" si="85"/>
        <v>0</v>
      </c>
      <c r="D1370" s="5"/>
      <c r="E1370" s="5">
        <f>IF($B1370 &lt;= 0, 0, -ROUND($B1370 * (InterestRate / PaymentsPerYear), 2))</f>
        <v>0</v>
      </c>
      <c r="F1370" s="5">
        <f>ROUND(IFERROR(IF($B1370&lt;=0,0,
MAX(-$B1370, -(-PMT(InterestRate/PaymentsPerYear,LoanTerm*PaymentsPerYear,LoanAmount) + $E1370))), 0), 2)</f>
        <v>0</v>
      </c>
      <c r="G1370" s="5">
        <f t="shared" si="86"/>
        <v>0</v>
      </c>
      <c r="H1370" s="5">
        <f t="shared" si="87"/>
        <v>0</v>
      </c>
    </row>
    <row r="1371" spans="1:8" x14ac:dyDescent="0.2">
      <c r="A1371" s="2">
        <v>1370</v>
      </c>
      <c r="B1371" s="5">
        <f t="shared" si="84"/>
        <v>0</v>
      </c>
      <c r="C1371" s="5">
        <f t="shared" si="85"/>
        <v>0</v>
      </c>
      <c r="D1371" s="5"/>
      <c r="E1371" s="5">
        <f>IF($B1371 &lt;= 0, 0, -ROUND($B1371 * (InterestRate / PaymentsPerYear), 2))</f>
        <v>0</v>
      </c>
      <c r="F1371" s="5">
        <f>ROUND(IFERROR(IF($B1371&lt;=0,0,
MAX(-$B1371, -(-PMT(InterestRate/PaymentsPerYear,LoanTerm*PaymentsPerYear,LoanAmount) + $E1371))), 0), 2)</f>
        <v>0</v>
      </c>
      <c r="G1371" s="5">
        <f t="shared" si="86"/>
        <v>0</v>
      </c>
      <c r="H1371" s="5">
        <f t="shared" si="87"/>
        <v>0</v>
      </c>
    </row>
    <row r="1372" spans="1:8" x14ac:dyDescent="0.2">
      <c r="A1372" s="2">
        <v>1371</v>
      </c>
      <c r="B1372" s="5">
        <f t="shared" si="84"/>
        <v>0</v>
      </c>
      <c r="C1372" s="5">
        <f t="shared" si="85"/>
        <v>0</v>
      </c>
      <c r="D1372" s="5"/>
      <c r="E1372" s="5">
        <f>IF($B1372 &lt;= 0, 0, -ROUND($B1372 * (InterestRate / PaymentsPerYear), 2))</f>
        <v>0</v>
      </c>
      <c r="F1372" s="5">
        <f>ROUND(IFERROR(IF($B1372&lt;=0,0,
MAX(-$B1372, -(-PMT(InterestRate/PaymentsPerYear,LoanTerm*PaymentsPerYear,LoanAmount) + $E1372))), 0), 2)</f>
        <v>0</v>
      </c>
      <c r="G1372" s="5">
        <f t="shared" si="86"/>
        <v>0</v>
      </c>
      <c r="H1372" s="5">
        <f t="shared" si="87"/>
        <v>0</v>
      </c>
    </row>
    <row r="1373" spans="1:8" x14ac:dyDescent="0.2">
      <c r="A1373" s="2">
        <v>1372</v>
      </c>
      <c r="B1373" s="5">
        <f t="shared" si="84"/>
        <v>0</v>
      </c>
      <c r="C1373" s="5">
        <f t="shared" si="85"/>
        <v>0</v>
      </c>
      <c r="D1373" s="5"/>
      <c r="E1373" s="5">
        <f>IF($B1373 &lt;= 0, 0, -ROUND($B1373 * (InterestRate / PaymentsPerYear), 2))</f>
        <v>0</v>
      </c>
      <c r="F1373" s="5">
        <f>ROUND(IFERROR(IF($B1373&lt;=0,0,
MAX(-$B1373, -(-PMT(InterestRate/PaymentsPerYear,LoanTerm*PaymentsPerYear,LoanAmount) + $E1373))), 0), 2)</f>
        <v>0</v>
      </c>
      <c r="G1373" s="5">
        <f t="shared" si="86"/>
        <v>0</v>
      </c>
      <c r="H1373" s="5">
        <f t="shared" si="87"/>
        <v>0</v>
      </c>
    </row>
    <row r="1374" spans="1:8" x14ac:dyDescent="0.2">
      <c r="A1374" s="2">
        <v>1373</v>
      </c>
      <c r="B1374" s="5">
        <f t="shared" si="84"/>
        <v>0</v>
      </c>
      <c r="C1374" s="5">
        <f t="shared" si="85"/>
        <v>0</v>
      </c>
      <c r="D1374" s="5"/>
      <c r="E1374" s="5">
        <f>IF($B1374 &lt;= 0, 0, -ROUND($B1374 * (InterestRate / PaymentsPerYear), 2))</f>
        <v>0</v>
      </c>
      <c r="F1374" s="5">
        <f>ROUND(IFERROR(IF($B1374&lt;=0,0,
MAX(-$B1374, -(-PMT(InterestRate/PaymentsPerYear,LoanTerm*PaymentsPerYear,LoanAmount) + $E1374))), 0), 2)</f>
        <v>0</v>
      </c>
      <c r="G1374" s="5">
        <f t="shared" si="86"/>
        <v>0</v>
      </c>
      <c r="H1374" s="5">
        <f t="shared" si="87"/>
        <v>0</v>
      </c>
    </row>
    <row r="1375" spans="1:8" x14ac:dyDescent="0.2">
      <c r="A1375" s="2">
        <v>1374</v>
      </c>
      <c r="B1375" s="5">
        <f t="shared" si="84"/>
        <v>0</v>
      </c>
      <c r="C1375" s="5">
        <f t="shared" si="85"/>
        <v>0</v>
      </c>
      <c r="D1375" s="5"/>
      <c r="E1375" s="5">
        <f>IF($B1375 &lt;= 0, 0, -ROUND($B1375 * (InterestRate / PaymentsPerYear), 2))</f>
        <v>0</v>
      </c>
      <c r="F1375" s="5">
        <f>ROUND(IFERROR(IF($B1375&lt;=0,0,
MAX(-$B1375, -(-PMT(InterestRate/PaymentsPerYear,LoanTerm*PaymentsPerYear,LoanAmount) + $E1375))), 0), 2)</f>
        <v>0</v>
      </c>
      <c r="G1375" s="5">
        <f t="shared" si="86"/>
        <v>0</v>
      </c>
      <c r="H1375" s="5">
        <f t="shared" si="87"/>
        <v>0</v>
      </c>
    </row>
    <row r="1376" spans="1:8" x14ac:dyDescent="0.2">
      <c r="A1376" s="2">
        <v>1375</v>
      </c>
      <c r="B1376" s="5">
        <f t="shared" si="84"/>
        <v>0</v>
      </c>
      <c r="C1376" s="5">
        <f t="shared" si="85"/>
        <v>0</v>
      </c>
      <c r="D1376" s="5"/>
      <c r="E1376" s="5">
        <f>IF($B1376 &lt;= 0, 0, -ROUND($B1376 * (InterestRate / PaymentsPerYear), 2))</f>
        <v>0</v>
      </c>
      <c r="F1376" s="5">
        <f>ROUND(IFERROR(IF($B1376&lt;=0,0,
MAX(-$B1376, -(-PMT(InterestRate/PaymentsPerYear,LoanTerm*PaymentsPerYear,LoanAmount) + $E1376))), 0), 2)</f>
        <v>0</v>
      </c>
      <c r="G1376" s="5">
        <f t="shared" si="86"/>
        <v>0</v>
      </c>
      <c r="H1376" s="5">
        <f t="shared" si="87"/>
        <v>0</v>
      </c>
    </row>
    <row r="1377" spans="1:8" x14ac:dyDescent="0.2">
      <c r="A1377" s="2">
        <v>1376</v>
      </c>
      <c r="B1377" s="5">
        <f t="shared" si="84"/>
        <v>0</v>
      </c>
      <c r="C1377" s="5">
        <f t="shared" si="85"/>
        <v>0</v>
      </c>
      <c r="D1377" s="5"/>
      <c r="E1377" s="5">
        <f>IF($B1377 &lt;= 0, 0, -ROUND($B1377 * (InterestRate / PaymentsPerYear), 2))</f>
        <v>0</v>
      </c>
      <c r="F1377" s="5">
        <f>ROUND(IFERROR(IF($B1377&lt;=0,0,
MAX(-$B1377, -(-PMT(InterestRate/PaymentsPerYear,LoanTerm*PaymentsPerYear,LoanAmount) + $E1377))), 0), 2)</f>
        <v>0</v>
      </c>
      <c r="G1377" s="5">
        <f t="shared" si="86"/>
        <v>0</v>
      </c>
      <c r="H1377" s="5">
        <f t="shared" si="87"/>
        <v>0</v>
      </c>
    </row>
    <row r="1378" spans="1:8" x14ac:dyDescent="0.2">
      <c r="A1378" s="2">
        <v>1377</v>
      </c>
      <c r="B1378" s="5">
        <f t="shared" si="84"/>
        <v>0</v>
      </c>
      <c r="C1378" s="5">
        <f t="shared" si="85"/>
        <v>0</v>
      </c>
      <c r="D1378" s="5"/>
      <c r="E1378" s="5">
        <f>IF($B1378 &lt;= 0, 0, -ROUND($B1378 * (InterestRate / PaymentsPerYear), 2))</f>
        <v>0</v>
      </c>
      <c r="F1378" s="5">
        <f>ROUND(IFERROR(IF($B1378&lt;=0,0,
MAX(-$B1378, -(-PMT(InterestRate/PaymentsPerYear,LoanTerm*PaymentsPerYear,LoanAmount) + $E1378))), 0), 2)</f>
        <v>0</v>
      </c>
      <c r="G1378" s="5">
        <f t="shared" si="86"/>
        <v>0</v>
      </c>
      <c r="H1378" s="5">
        <f t="shared" si="87"/>
        <v>0</v>
      </c>
    </row>
    <row r="1379" spans="1:8" x14ac:dyDescent="0.2">
      <c r="A1379" s="2">
        <v>1378</v>
      </c>
      <c r="B1379" s="5">
        <f t="shared" si="84"/>
        <v>0</v>
      </c>
      <c r="C1379" s="5">
        <f t="shared" si="85"/>
        <v>0</v>
      </c>
      <c r="D1379" s="5"/>
      <c r="E1379" s="5">
        <f>IF($B1379 &lt;= 0, 0, -ROUND($B1379 * (InterestRate / PaymentsPerYear), 2))</f>
        <v>0</v>
      </c>
      <c r="F1379" s="5">
        <f>ROUND(IFERROR(IF($B1379&lt;=0,0,
MAX(-$B1379, -(-PMT(InterestRate/PaymentsPerYear,LoanTerm*PaymentsPerYear,LoanAmount) + $E1379))), 0), 2)</f>
        <v>0</v>
      </c>
      <c r="G1379" s="5">
        <f t="shared" si="86"/>
        <v>0</v>
      </c>
      <c r="H1379" s="5">
        <f t="shared" si="87"/>
        <v>0</v>
      </c>
    </row>
    <row r="1380" spans="1:8" x14ac:dyDescent="0.2">
      <c r="A1380" s="2">
        <v>1379</v>
      </c>
      <c r="B1380" s="5">
        <f t="shared" si="84"/>
        <v>0</v>
      </c>
      <c r="C1380" s="5">
        <f t="shared" si="85"/>
        <v>0</v>
      </c>
      <c r="D1380" s="5"/>
      <c r="E1380" s="5">
        <f>IF($B1380 &lt;= 0, 0, -ROUND($B1380 * (InterestRate / PaymentsPerYear), 2))</f>
        <v>0</v>
      </c>
      <c r="F1380" s="5">
        <f>ROUND(IFERROR(IF($B1380&lt;=0,0,
MAX(-$B1380, -(-PMT(InterestRate/PaymentsPerYear,LoanTerm*PaymentsPerYear,LoanAmount) + $E1380))), 0), 2)</f>
        <v>0</v>
      </c>
      <c r="G1380" s="5">
        <f t="shared" si="86"/>
        <v>0</v>
      </c>
      <c r="H1380" s="5">
        <f t="shared" si="87"/>
        <v>0</v>
      </c>
    </row>
    <row r="1381" spans="1:8" x14ac:dyDescent="0.2">
      <c r="A1381" s="2">
        <v>1380</v>
      </c>
      <c r="B1381" s="5">
        <f t="shared" si="84"/>
        <v>0</v>
      </c>
      <c r="C1381" s="5">
        <f t="shared" si="85"/>
        <v>0</v>
      </c>
      <c r="D1381" s="5"/>
      <c r="E1381" s="5">
        <f>IF($B1381 &lt;= 0, 0, -ROUND($B1381 * (InterestRate / PaymentsPerYear), 2))</f>
        <v>0</v>
      </c>
      <c r="F1381" s="5">
        <f>ROUND(IFERROR(IF($B1381&lt;=0,0,
MAX(-$B1381, -(-PMT(InterestRate/PaymentsPerYear,LoanTerm*PaymentsPerYear,LoanAmount) + $E1381))), 0), 2)</f>
        <v>0</v>
      </c>
      <c r="G1381" s="5">
        <f t="shared" si="86"/>
        <v>0</v>
      </c>
      <c r="H1381" s="5">
        <f t="shared" si="87"/>
        <v>0</v>
      </c>
    </row>
    <row r="1382" spans="1:8" x14ac:dyDescent="0.2">
      <c r="A1382" s="2">
        <v>1381</v>
      </c>
      <c r="B1382" s="5">
        <f t="shared" si="84"/>
        <v>0</v>
      </c>
      <c r="C1382" s="5">
        <f t="shared" si="85"/>
        <v>0</v>
      </c>
      <c r="D1382" s="5"/>
      <c r="E1382" s="5">
        <f>IF($B1382 &lt;= 0, 0, -ROUND($B1382 * (InterestRate / PaymentsPerYear), 2))</f>
        <v>0</v>
      </c>
      <c r="F1382" s="5">
        <f>ROUND(IFERROR(IF($B1382&lt;=0,0,
MAX(-$B1382, -(-PMT(InterestRate/PaymentsPerYear,LoanTerm*PaymentsPerYear,LoanAmount) + $E1382))), 0), 2)</f>
        <v>0</v>
      </c>
      <c r="G1382" s="5">
        <f t="shared" si="86"/>
        <v>0</v>
      </c>
      <c r="H1382" s="5">
        <f t="shared" si="87"/>
        <v>0</v>
      </c>
    </row>
    <row r="1383" spans="1:8" x14ac:dyDescent="0.2">
      <c r="A1383" s="2">
        <v>1382</v>
      </c>
      <c r="B1383" s="5">
        <f t="shared" si="84"/>
        <v>0</v>
      </c>
      <c r="C1383" s="5">
        <f t="shared" si="85"/>
        <v>0</v>
      </c>
      <c r="D1383" s="5"/>
      <c r="E1383" s="5">
        <f>IF($B1383 &lt;= 0, 0, -ROUND($B1383 * (InterestRate / PaymentsPerYear), 2))</f>
        <v>0</v>
      </c>
      <c r="F1383" s="5">
        <f>ROUND(IFERROR(IF($B1383&lt;=0,0,
MAX(-$B1383, -(-PMT(InterestRate/PaymentsPerYear,LoanTerm*PaymentsPerYear,LoanAmount) + $E1383))), 0), 2)</f>
        <v>0</v>
      </c>
      <c r="G1383" s="5">
        <f t="shared" si="86"/>
        <v>0</v>
      </c>
      <c r="H1383" s="5">
        <f t="shared" si="87"/>
        <v>0</v>
      </c>
    </row>
    <row r="1384" spans="1:8" x14ac:dyDescent="0.2">
      <c r="A1384" s="2">
        <v>1383</v>
      </c>
      <c r="B1384" s="5">
        <f t="shared" si="84"/>
        <v>0</v>
      </c>
      <c r="C1384" s="5">
        <f t="shared" si="85"/>
        <v>0</v>
      </c>
      <c r="D1384" s="5"/>
      <c r="E1384" s="5">
        <f>IF($B1384 &lt;= 0, 0, -ROUND($B1384 * (InterestRate / PaymentsPerYear), 2))</f>
        <v>0</v>
      </c>
      <c r="F1384" s="5">
        <f>ROUND(IFERROR(IF($B1384&lt;=0,0,
MAX(-$B1384, -(-PMT(InterestRate/PaymentsPerYear,LoanTerm*PaymentsPerYear,LoanAmount) + $E1384))), 0), 2)</f>
        <v>0</v>
      </c>
      <c r="G1384" s="5">
        <f t="shared" si="86"/>
        <v>0</v>
      </c>
      <c r="H1384" s="5">
        <f t="shared" si="87"/>
        <v>0</v>
      </c>
    </row>
    <row r="1385" spans="1:8" x14ac:dyDescent="0.2">
      <c r="A1385" s="2">
        <v>1384</v>
      </c>
      <c r="B1385" s="5">
        <f t="shared" si="84"/>
        <v>0</v>
      </c>
      <c r="C1385" s="5">
        <f t="shared" si="85"/>
        <v>0</v>
      </c>
      <c r="D1385" s="5"/>
      <c r="E1385" s="5">
        <f>IF($B1385 &lt;= 0, 0, -ROUND($B1385 * (InterestRate / PaymentsPerYear), 2))</f>
        <v>0</v>
      </c>
      <c r="F1385" s="5">
        <f>ROUND(IFERROR(IF($B1385&lt;=0,0,
MAX(-$B1385, -(-PMT(InterestRate/PaymentsPerYear,LoanTerm*PaymentsPerYear,LoanAmount) + $E1385))), 0), 2)</f>
        <v>0</v>
      </c>
      <c r="G1385" s="5">
        <f t="shared" si="86"/>
        <v>0</v>
      </c>
      <c r="H1385" s="5">
        <f t="shared" si="87"/>
        <v>0</v>
      </c>
    </row>
    <row r="1386" spans="1:8" x14ac:dyDescent="0.2">
      <c r="A1386" s="2">
        <v>1385</v>
      </c>
      <c r="B1386" s="5">
        <f t="shared" si="84"/>
        <v>0</v>
      </c>
      <c r="C1386" s="5">
        <f t="shared" si="85"/>
        <v>0</v>
      </c>
      <c r="D1386" s="5"/>
      <c r="E1386" s="5">
        <f>IF($B1386 &lt;= 0, 0, -ROUND($B1386 * (InterestRate / PaymentsPerYear), 2))</f>
        <v>0</v>
      </c>
      <c r="F1386" s="5">
        <f>ROUND(IFERROR(IF($B1386&lt;=0,0,
MAX(-$B1386, -(-PMT(InterestRate/PaymentsPerYear,LoanTerm*PaymentsPerYear,LoanAmount) + $E1386))), 0), 2)</f>
        <v>0</v>
      </c>
      <c r="G1386" s="5">
        <f t="shared" si="86"/>
        <v>0</v>
      </c>
      <c r="H1386" s="5">
        <f t="shared" si="87"/>
        <v>0</v>
      </c>
    </row>
    <row r="1387" spans="1:8" x14ac:dyDescent="0.2">
      <c r="A1387" s="2">
        <v>1386</v>
      </c>
      <c r="B1387" s="5">
        <f t="shared" si="84"/>
        <v>0</v>
      </c>
      <c r="C1387" s="5">
        <f t="shared" si="85"/>
        <v>0</v>
      </c>
      <c r="D1387" s="5"/>
      <c r="E1387" s="5">
        <f>IF($B1387 &lt;= 0, 0, -ROUND($B1387 * (InterestRate / PaymentsPerYear), 2))</f>
        <v>0</v>
      </c>
      <c r="F1387" s="5">
        <f>ROUND(IFERROR(IF($B1387&lt;=0,0,
MAX(-$B1387, -(-PMT(InterestRate/PaymentsPerYear,LoanTerm*PaymentsPerYear,LoanAmount) + $E1387))), 0), 2)</f>
        <v>0</v>
      </c>
      <c r="G1387" s="5">
        <f t="shared" si="86"/>
        <v>0</v>
      </c>
      <c r="H1387" s="5">
        <f t="shared" si="87"/>
        <v>0</v>
      </c>
    </row>
    <row r="1388" spans="1:8" x14ac:dyDescent="0.2">
      <c r="A1388" s="2">
        <v>1387</v>
      </c>
      <c r="B1388" s="5">
        <f t="shared" si="84"/>
        <v>0</v>
      </c>
      <c r="C1388" s="5">
        <f t="shared" si="85"/>
        <v>0</v>
      </c>
      <c r="D1388" s="5"/>
      <c r="E1388" s="5">
        <f>IF($B1388 &lt;= 0, 0, -ROUND($B1388 * (InterestRate / PaymentsPerYear), 2))</f>
        <v>0</v>
      </c>
      <c r="F1388" s="5">
        <f>ROUND(IFERROR(IF($B1388&lt;=0,0,
MAX(-$B1388, -(-PMT(InterestRate/PaymentsPerYear,LoanTerm*PaymentsPerYear,LoanAmount) + $E1388))), 0), 2)</f>
        <v>0</v>
      </c>
      <c r="G1388" s="5">
        <f t="shared" si="86"/>
        <v>0</v>
      </c>
      <c r="H1388" s="5">
        <f t="shared" si="87"/>
        <v>0</v>
      </c>
    </row>
    <row r="1389" spans="1:8" x14ac:dyDescent="0.2">
      <c r="A1389" s="2">
        <v>1388</v>
      </c>
      <c r="B1389" s="5">
        <f t="shared" si="84"/>
        <v>0</v>
      </c>
      <c r="C1389" s="5">
        <f t="shared" si="85"/>
        <v>0</v>
      </c>
      <c r="D1389" s="5"/>
      <c r="E1389" s="5">
        <f>IF($B1389 &lt;= 0, 0, -ROUND($B1389 * (InterestRate / PaymentsPerYear), 2))</f>
        <v>0</v>
      </c>
      <c r="F1389" s="5">
        <f>ROUND(IFERROR(IF($B1389&lt;=0,0,
MAX(-$B1389, -(-PMT(InterestRate/PaymentsPerYear,LoanTerm*PaymentsPerYear,LoanAmount) + $E1389))), 0), 2)</f>
        <v>0</v>
      </c>
      <c r="G1389" s="5">
        <f t="shared" si="86"/>
        <v>0</v>
      </c>
      <c r="H1389" s="5">
        <f t="shared" si="87"/>
        <v>0</v>
      </c>
    </row>
    <row r="1390" spans="1:8" x14ac:dyDescent="0.2">
      <c r="A1390" s="2">
        <v>1389</v>
      </c>
      <c r="B1390" s="5">
        <f t="shared" si="84"/>
        <v>0</v>
      </c>
      <c r="C1390" s="5">
        <f t="shared" si="85"/>
        <v>0</v>
      </c>
      <c r="D1390" s="5"/>
      <c r="E1390" s="5">
        <f>IF($B1390 &lt;= 0, 0, -ROUND($B1390 * (InterestRate / PaymentsPerYear), 2))</f>
        <v>0</v>
      </c>
      <c r="F1390" s="5">
        <f>ROUND(IFERROR(IF($B1390&lt;=0,0,
MAX(-$B1390, -(-PMT(InterestRate/PaymentsPerYear,LoanTerm*PaymentsPerYear,LoanAmount) + $E1390))), 0), 2)</f>
        <v>0</v>
      </c>
      <c r="G1390" s="5">
        <f t="shared" si="86"/>
        <v>0</v>
      </c>
      <c r="H1390" s="5">
        <f t="shared" si="87"/>
        <v>0</v>
      </c>
    </row>
    <row r="1391" spans="1:8" x14ac:dyDescent="0.2">
      <c r="A1391" s="2">
        <v>1390</v>
      </c>
      <c r="B1391" s="5">
        <f t="shared" si="84"/>
        <v>0</v>
      </c>
      <c r="C1391" s="5">
        <f t="shared" si="85"/>
        <v>0</v>
      </c>
      <c r="D1391" s="5"/>
      <c r="E1391" s="5">
        <f>IF($B1391 &lt;= 0, 0, -ROUND($B1391 * (InterestRate / PaymentsPerYear), 2))</f>
        <v>0</v>
      </c>
      <c r="F1391" s="5">
        <f>ROUND(IFERROR(IF($B1391&lt;=0,0,
MAX(-$B1391, -(-PMT(InterestRate/PaymentsPerYear,LoanTerm*PaymentsPerYear,LoanAmount) + $E1391))), 0), 2)</f>
        <v>0</v>
      </c>
      <c r="G1391" s="5">
        <f t="shared" si="86"/>
        <v>0</v>
      </c>
      <c r="H1391" s="5">
        <f t="shared" si="87"/>
        <v>0</v>
      </c>
    </row>
    <row r="1392" spans="1:8" x14ac:dyDescent="0.2">
      <c r="A1392" s="2">
        <v>1391</v>
      </c>
      <c r="B1392" s="5">
        <f t="shared" si="84"/>
        <v>0</v>
      </c>
      <c r="C1392" s="5">
        <f t="shared" si="85"/>
        <v>0</v>
      </c>
      <c r="D1392" s="5"/>
      <c r="E1392" s="5">
        <f>IF($B1392 &lt;= 0, 0, -ROUND($B1392 * (InterestRate / PaymentsPerYear), 2))</f>
        <v>0</v>
      </c>
      <c r="F1392" s="5">
        <f>ROUND(IFERROR(IF($B1392&lt;=0,0,
MAX(-$B1392, -(-PMT(InterestRate/PaymentsPerYear,LoanTerm*PaymentsPerYear,LoanAmount) + $E1392))), 0), 2)</f>
        <v>0</v>
      </c>
      <c r="G1392" s="5">
        <f t="shared" si="86"/>
        <v>0</v>
      </c>
      <c r="H1392" s="5">
        <f t="shared" si="87"/>
        <v>0</v>
      </c>
    </row>
    <row r="1393" spans="1:8" x14ac:dyDescent="0.2">
      <c r="A1393" s="2">
        <v>1392</v>
      </c>
      <c r="B1393" s="5">
        <f t="shared" si="84"/>
        <v>0</v>
      </c>
      <c r="C1393" s="5">
        <f t="shared" si="85"/>
        <v>0</v>
      </c>
      <c r="D1393" s="5"/>
      <c r="E1393" s="5">
        <f>IF($B1393 &lt;= 0, 0, -ROUND($B1393 * (InterestRate / PaymentsPerYear), 2))</f>
        <v>0</v>
      </c>
      <c r="F1393" s="5">
        <f>ROUND(IFERROR(IF($B1393&lt;=0,0,
MAX(-$B1393, -(-PMT(InterestRate/PaymentsPerYear,LoanTerm*PaymentsPerYear,LoanAmount) + $E1393))), 0), 2)</f>
        <v>0</v>
      </c>
      <c r="G1393" s="5">
        <f t="shared" si="86"/>
        <v>0</v>
      </c>
      <c r="H1393" s="5">
        <f t="shared" si="87"/>
        <v>0</v>
      </c>
    </row>
    <row r="1394" spans="1:8" x14ac:dyDescent="0.2">
      <c r="A1394" s="2">
        <v>1393</v>
      </c>
      <c r="B1394" s="5">
        <f t="shared" si="84"/>
        <v>0</v>
      </c>
      <c r="C1394" s="5">
        <f t="shared" si="85"/>
        <v>0</v>
      </c>
      <c r="D1394" s="5"/>
      <c r="E1394" s="5">
        <f>IF($B1394 &lt;= 0, 0, -ROUND($B1394 * (InterestRate / PaymentsPerYear), 2))</f>
        <v>0</v>
      </c>
      <c r="F1394" s="5">
        <f>ROUND(IFERROR(IF($B1394&lt;=0,0,
MAX(-$B1394, -(-PMT(InterestRate/PaymentsPerYear,LoanTerm*PaymentsPerYear,LoanAmount) + $E1394))), 0), 2)</f>
        <v>0</v>
      </c>
      <c r="G1394" s="5">
        <f t="shared" si="86"/>
        <v>0</v>
      </c>
      <c r="H1394" s="5">
        <f t="shared" si="87"/>
        <v>0</v>
      </c>
    </row>
    <row r="1395" spans="1:8" x14ac:dyDescent="0.2">
      <c r="A1395" s="2">
        <v>1394</v>
      </c>
      <c r="B1395" s="5">
        <f t="shared" si="84"/>
        <v>0</v>
      </c>
      <c r="C1395" s="5">
        <f t="shared" si="85"/>
        <v>0</v>
      </c>
      <c r="D1395" s="5"/>
      <c r="E1395" s="5">
        <f>IF($B1395 &lt;= 0, 0, -ROUND($B1395 * (InterestRate / PaymentsPerYear), 2))</f>
        <v>0</v>
      </c>
      <c r="F1395" s="5">
        <f>ROUND(IFERROR(IF($B1395&lt;=0,0,
MAX(-$B1395, -(-PMT(InterestRate/PaymentsPerYear,LoanTerm*PaymentsPerYear,LoanAmount) + $E1395))), 0), 2)</f>
        <v>0</v>
      </c>
      <c r="G1395" s="5">
        <f t="shared" si="86"/>
        <v>0</v>
      </c>
      <c r="H1395" s="5">
        <f t="shared" si="87"/>
        <v>0</v>
      </c>
    </row>
    <row r="1396" spans="1:8" x14ac:dyDescent="0.2">
      <c r="A1396" s="2">
        <v>1395</v>
      </c>
      <c r="B1396" s="5">
        <f t="shared" si="84"/>
        <v>0</v>
      </c>
      <c r="C1396" s="5">
        <f t="shared" si="85"/>
        <v>0</v>
      </c>
      <c r="D1396" s="5"/>
      <c r="E1396" s="5">
        <f>IF($B1396 &lt;= 0, 0, -ROUND($B1396 * (InterestRate / PaymentsPerYear), 2))</f>
        <v>0</v>
      </c>
      <c r="F1396" s="5">
        <f>ROUND(IFERROR(IF($B1396&lt;=0,0,
MAX(-$B1396, -(-PMT(InterestRate/PaymentsPerYear,LoanTerm*PaymentsPerYear,LoanAmount) + $E1396))), 0), 2)</f>
        <v>0</v>
      </c>
      <c r="G1396" s="5">
        <f t="shared" si="86"/>
        <v>0</v>
      </c>
      <c r="H1396" s="5">
        <f t="shared" si="87"/>
        <v>0</v>
      </c>
    </row>
    <row r="1397" spans="1:8" x14ac:dyDescent="0.2">
      <c r="A1397" s="2">
        <v>1396</v>
      </c>
      <c r="B1397" s="5">
        <f t="shared" si="84"/>
        <v>0</v>
      </c>
      <c r="C1397" s="5">
        <f t="shared" si="85"/>
        <v>0</v>
      </c>
      <c r="D1397" s="5"/>
      <c r="E1397" s="5">
        <f>IF($B1397 &lt;= 0, 0, -ROUND($B1397 * (InterestRate / PaymentsPerYear), 2))</f>
        <v>0</v>
      </c>
      <c r="F1397" s="5">
        <f>ROUND(IFERROR(IF($B1397&lt;=0,0,
MAX(-$B1397, -(-PMT(InterestRate/PaymentsPerYear,LoanTerm*PaymentsPerYear,LoanAmount) + $E1397))), 0), 2)</f>
        <v>0</v>
      </c>
      <c r="G1397" s="5">
        <f t="shared" si="86"/>
        <v>0</v>
      </c>
      <c r="H1397" s="5">
        <f t="shared" si="87"/>
        <v>0</v>
      </c>
    </row>
    <row r="1398" spans="1:8" x14ac:dyDescent="0.2">
      <c r="A1398" s="2">
        <v>1397</v>
      </c>
      <c r="B1398" s="5">
        <f t="shared" si="84"/>
        <v>0</v>
      </c>
      <c r="C1398" s="5">
        <f t="shared" si="85"/>
        <v>0</v>
      </c>
      <c r="D1398" s="5"/>
      <c r="E1398" s="5">
        <f>IF($B1398 &lt;= 0, 0, -ROUND($B1398 * (InterestRate / PaymentsPerYear), 2))</f>
        <v>0</v>
      </c>
      <c r="F1398" s="5">
        <f>ROUND(IFERROR(IF($B1398&lt;=0,0,
MAX(-$B1398, -(-PMT(InterestRate/PaymentsPerYear,LoanTerm*PaymentsPerYear,LoanAmount) + $E1398))), 0), 2)</f>
        <v>0</v>
      </c>
      <c r="G1398" s="5">
        <f t="shared" si="86"/>
        <v>0</v>
      </c>
      <c r="H1398" s="5">
        <f t="shared" si="87"/>
        <v>0</v>
      </c>
    </row>
    <row r="1399" spans="1:8" x14ac:dyDescent="0.2">
      <c r="A1399" s="2">
        <v>1398</v>
      </c>
      <c r="B1399" s="5">
        <f t="shared" si="84"/>
        <v>0</v>
      </c>
      <c r="C1399" s="5">
        <f t="shared" si="85"/>
        <v>0</v>
      </c>
      <c r="D1399" s="5"/>
      <c r="E1399" s="5">
        <f>IF($B1399 &lt;= 0, 0, -ROUND($B1399 * (InterestRate / PaymentsPerYear), 2))</f>
        <v>0</v>
      </c>
      <c r="F1399" s="5">
        <f>ROUND(IFERROR(IF($B1399&lt;=0,0,
MAX(-$B1399, -(-PMT(InterestRate/PaymentsPerYear,LoanTerm*PaymentsPerYear,LoanAmount) + $E1399))), 0), 2)</f>
        <v>0</v>
      </c>
      <c r="G1399" s="5">
        <f t="shared" si="86"/>
        <v>0</v>
      </c>
      <c r="H1399" s="5">
        <f t="shared" si="87"/>
        <v>0</v>
      </c>
    </row>
    <row r="1400" spans="1:8" x14ac:dyDescent="0.2">
      <c r="A1400" s="2">
        <v>1399</v>
      </c>
      <c r="B1400" s="5">
        <f t="shared" si="84"/>
        <v>0</v>
      </c>
      <c r="C1400" s="5">
        <f t="shared" si="85"/>
        <v>0</v>
      </c>
      <c r="D1400" s="5"/>
      <c r="E1400" s="5">
        <f>IF($B1400 &lt;= 0, 0, -ROUND($B1400 * (InterestRate / PaymentsPerYear), 2))</f>
        <v>0</v>
      </c>
      <c r="F1400" s="5">
        <f>ROUND(IFERROR(IF($B1400&lt;=0,0,
MAX(-$B1400, -(-PMT(InterestRate/PaymentsPerYear,LoanTerm*PaymentsPerYear,LoanAmount) + $E1400))), 0), 2)</f>
        <v>0</v>
      </c>
      <c r="G1400" s="5">
        <f t="shared" si="86"/>
        <v>0</v>
      </c>
      <c r="H1400" s="5">
        <f t="shared" si="87"/>
        <v>0</v>
      </c>
    </row>
    <row r="1401" spans="1:8" x14ac:dyDescent="0.2">
      <c r="A1401" s="2">
        <v>1400</v>
      </c>
      <c r="B1401" s="5">
        <f t="shared" si="84"/>
        <v>0</v>
      </c>
      <c r="C1401" s="5">
        <f t="shared" si="85"/>
        <v>0</v>
      </c>
      <c r="D1401" s="5"/>
      <c r="E1401" s="5">
        <f>IF($B1401 &lt;= 0, 0, -ROUND($B1401 * (InterestRate / PaymentsPerYear), 2))</f>
        <v>0</v>
      </c>
      <c r="F1401" s="5">
        <f>ROUND(IFERROR(IF($B1401&lt;=0,0,
MAX(-$B1401, -(-PMT(InterestRate/PaymentsPerYear,LoanTerm*PaymentsPerYear,LoanAmount) + $E1401))), 0), 2)</f>
        <v>0</v>
      </c>
      <c r="G1401" s="5">
        <f t="shared" si="86"/>
        <v>0</v>
      </c>
      <c r="H1401" s="5">
        <f t="shared" si="87"/>
        <v>0</v>
      </c>
    </row>
    <row r="1402" spans="1:8" x14ac:dyDescent="0.2">
      <c r="A1402" s="2">
        <v>1401</v>
      </c>
      <c r="B1402" s="5">
        <f t="shared" si="84"/>
        <v>0</v>
      </c>
      <c r="C1402" s="5">
        <f t="shared" si="85"/>
        <v>0</v>
      </c>
      <c r="D1402" s="5"/>
      <c r="E1402" s="5">
        <f>IF($B1402 &lt;= 0, 0, -ROUND($B1402 * (InterestRate / PaymentsPerYear), 2))</f>
        <v>0</v>
      </c>
      <c r="F1402" s="5">
        <f>ROUND(IFERROR(IF($B1402&lt;=0,0,
MAX(-$B1402, -(-PMT(InterestRate/PaymentsPerYear,LoanTerm*PaymentsPerYear,LoanAmount) + $E1402))), 0), 2)</f>
        <v>0</v>
      </c>
      <c r="G1402" s="5">
        <f t="shared" si="86"/>
        <v>0</v>
      </c>
      <c r="H1402" s="5">
        <f t="shared" si="87"/>
        <v>0</v>
      </c>
    </row>
    <row r="1403" spans="1:8" x14ac:dyDescent="0.2">
      <c r="A1403" s="2">
        <v>1402</v>
      </c>
      <c r="B1403" s="5">
        <f t="shared" si="84"/>
        <v>0</v>
      </c>
      <c r="C1403" s="5">
        <f t="shared" si="85"/>
        <v>0</v>
      </c>
      <c r="D1403" s="5"/>
      <c r="E1403" s="5">
        <f>IF($B1403 &lt;= 0, 0, -ROUND($B1403 * (InterestRate / PaymentsPerYear), 2))</f>
        <v>0</v>
      </c>
      <c r="F1403" s="5">
        <f>ROUND(IFERROR(IF($B1403&lt;=0,0,
MAX(-$B1403, -(-PMT(InterestRate/PaymentsPerYear,LoanTerm*PaymentsPerYear,LoanAmount) + $E1403))), 0), 2)</f>
        <v>0</v>
      </c>
      <c r="G1403" s="5">
        <f t="shared" si="86"/>
        <v>0</v>
      </c>
      <c r="H1403" s="5">
        <f t="shared" si="87"/>
        <v>0</v>
      </c>
    </row>
    <row r="1404" spans="1:8" x14ac:dyDescent="0.2">
      <c r="A1404" s="2">
        <v>1403</v>
      </c>
      <c r="B1404" s="5">
        <f t="shared" si="84"/>
        <v>0</v>
      </c>
      <c r="C1404" s="5">
        <f t="shared" si="85"/>
        <v>0</v>
      </c>
      <c r="D1404" s="5"/>
      <c r="E1404" s="5">
        <f>IF($B1404 &lt;= 0, 0, -ROUND($B1404 * (InterestRate / PaymentsPerYear), 2))</f>
        <v>0</v>
      </c>
      <c r="F1404" s="5">
        <f>ROUND(IFERROR(IF($B1404&lt;=0,0,
MAX(-$B1404, -(-PMT(InterestRate/PaymentsPerYear,LoanTerm*PaymentsPerYear,LoanAmount) + $E1404))), 0), 2)</f>
        <v>0</v>
      </c>
      <c r="G1404" s="5">
        <f t="shared" si="86"/>
        <v>0</v>
      </c>
      <c r="H1404" s="5">
        <f t="shared" si="87"/>
        <v>0</v>
      </c>
    </row>
    <row r="1405" spans="1:8" x14ac:dyDescent="0.2">
      <c r="A1405" s="2">
        <v>1404</v>
      </c>
      <c r="B1405" s="5">
        <f t="shared" si="84"/>
        <v>0</v>
      </c>
      <c r="C1405" s="5">
        <f t="shared" si="85"/>
        <v>0</v>
      </c>
      <c r="D1405" s="5"/>
      <c r="E1405" s="5">
        <f>IF($B1405 &lt;= 0, 0, -ROUND($B1405 * (InterestRate / PaymentsPerYear), 2))</f>
        <v>0</v>
      </c>
      <c r="F1405" s="5">
        <f>ROUND(IFERROR(IF($B1405&lt;=0,0,
MAX(-$B1405, -(-PMT(InterestRate/PaymentsPerYear,LoanTerm*PaymentsPerYear,LoanAmount) + $E1405))), 0), 2)</f>
        <v>0</v>
      </c>
      <c r="G1405" s="5">
        <f t="shared" si="86"/>
        <v>0</v>
      </c>
      <c r="H1405" s="5">
        <f t="shared" si="87"/>
        <v>0</v>
      </c>
    </row>
    <row r="1406" spans="1:8" x14ac:dyDescent="0.2">
      <c r="A1406" s="2">
        <v>1405</v>
      </c>
      <c r="B1406" s="5">
        <f t="shared" si="84"/>
        <v>0</v>
      </c>
      <c r="C1406" s="5">
        <f t="shared" si="85"/>
        <v>0</v>
      </c>
      <c r="D1406" s="5"/>
      <c r="E1406" s="5">
        <f>IF($B1406 &lt;= 0, 0, -ROUND($B1406 * (InterestRate / PaymentsPerYear), 2))</f>
        <v>0</v>
      </c>
      <c r="F1406" s="5">
        <f>ROUND(IFERROR(IF($B1406&lt;=0,0,
MAX(-$B1406, -(-PMT(InterestRate/PaymentsPerYear,LoanTerm*PaymentsPerYear,LoanAmount) + $E1406))), 0), 2)</f>
        <v>0</v>
      </c>
      <c r="G1406" s="5">
        <f t="shared" si="86"/>
        <v>0</v>
      </c>
      <c r="H1406" s="5">
        <f t="shared" si="87"/>
        <v>0</v>
      </c>
    </row>
    <row r="1407" spans="1:8" x14ac:dyDescent="0.2">
      <c r="A1407" s="2">
        <v>1406</v>
      </c>
      <c r="B1407" s="5">
        <f t="shared" si="84"/>
        <v>0</v>
      </c>
      <c r="C1407" s="5">
        <f t="shared" si="85"/>
        <v>0</v>
      </c>
      <c r="D1407" s="5"/>
      <c r="E1407" s="5">
        <f>IF($B1407 &lt;= 0, 0, -ROUND($B1407 * (InterestRate / PaymentsPerYear), 2))</f>
        <v>0</v>
      </c>
      <c r="F1407" s="5">
        <f>ROUND(IFERROR(IF($B1407&lt;=0,0,
MAX(-$B1407, -(-PMT(InterestRate/PaymentsPerYear,LoanTerm*PaymentsPerYear,LoanAmount) + $E1407))), 0), 2)</f>
        <v>0</v>
      </c>
      <c r="G1407" s="5">
        <f t="shared" si="86"/>
        <v>0</v>
      </c>
      <c r="H1407" s="5">
        <f t="shared" si="87"/>
        <v>0</v>
      </c>
    </row>
    <row r="1408" spans="1:8" x14ac:dyDescent="0.2">
      <c r="A1408" s="2">
        <v>1407</v>
      </c>
      <c r="B1408" s="5">
        <f t="shared" si="84"/>
        <v>0</v>
      </c>
      <c r="C1408" s="5">
        <f t="shared" si="85"/>
        <v>0</v>
      </c>
      <c r="D1408" s="5"/>
      <c r="E1408" s="5">
        <f>IF($B1408 &lt;= 0, 0, -ROUND($B1408 * (InterestRate / PaymentsPerYear), 2))</f>
        <v>0</v>
      </c>
      <c r="F1408" s="5">
        <f>ROUND(IFERROR(IF($B1408&lt;=0,0,
MAX(-$B1408, -(-PMT(InterestRate/PaymentsPerYear,LoanTerm*PaymentsPerYear,LoanAmount) + $E1408))), 0), 2)</f>
        <v>0</v>
      </c>
      <c r="G1408" s="5">
        <f t="shared" si="86"/>
        <v>0</v>
      </c>
      <c r="H1408" s="5">
        <f t="shared" si="87"/>
        <v>0</v>
      </c>
    </row>
    <row r="1409" spans="1:8" x14ac:dyDescent="0.2">
      <c r="A1409" s="2">
        <v>1408</v>
      </c>
      <c r="B1409" s="5">
        <f t="shared" si="84"/>
        <v>0</v>
      </c>
      <c r="C1409" s="5">
        <f t="shared" si="85"/>
        <v>0</v>
      </c>
      <c r="D1409" s="5"/>
      <c r="E1409" s="5">
        <f>IF($B1409 &lt;= 0, 0, -ROUND($B1409 * (InterestRate / PaymentsPerYear), 2))</f>
        <v>0</v>
      </c>
      <c r="F1409" s="5">
        <f>ROUND(IFERROR(IF($B1409&lt;=0,0,
MAX(-$B1409, -(-PMT(InterestRate/PaymentsPerYear,LoanTerm*PaymentsPerYear,LoanAmount) + $E1409))), 0), 2)</f>
        <v>0</v>
      </c>
      <c r="G1409" s="5">
        <f t="shared" si="86"/>
        <v>0</v>
      </c>
      <c r="H1409" s="5">
        <f t="shared" si="87"/>
        <v>0</v>
      </c>
    </row>
    <row r="1410" spans="1:8" x14ac:dyDescent="0.2">
      <c r="A1410" s="2">
        <v>1409</v>
      </c>
      <c r="B1410" s="5">
        <f t="shared" si="84"/>
        <v>0</v>
      </c>
      <c r="C1410" s="5">
        <f t="shared" si="85"/>
        <v>0</v>
      </c>
      <c r="D1410" s="5"/>
      <c r="E1410" s="5">
        <f>IF($B1410 &lt;= 0, 0, -ROUND($B1410 * (InterestRate / PaymentsPerYear), 2))</f>
        <v>0</v>
      </c>
      <c r="F1410" s="5">
        <f>ROUND(IFERROR(IF($B1410&lt;=0,0,
MAX(-$B1410, -(-PMT(InterestRate/PaymentsPerYear,LoanTerm*PaymentsPerYear,LoanAmount) + $E1410))), 0), 2)</f>
        <v>0</v>
      </c>
      <c r="G1410" s="5">
        <f t="shared" si="86"/>
        <v>0</v>
      </c>
      <c r="H1410" s="5">
        <f t="shared" si="87"/>
        <v>0</v>
      </c>
    </row>
    <row r="1411" spans="1:8" x14ac:dyDescent="0.2">
      <c r="A1411" s="2">
        <v>1410</v>
      </c>
      <c r="B1411" s="5">
        <f t="shared" si="84"/>
        <v>0</v>
      </c>
      <c r="C1411" s="5">
        <f t="shared" si="85"/>
        <v>0</v>
      </c>
      <c r="D1411" s="5"/>
      <c r="E1411" s="5">
        <f>IF($B1411 &lt;= 0, 0, -ROUND($B1411 * (InterestRate / PaymentsPerYear), 2))</f>
        <v>0</v>
      </c>
      <c r="F1411" s="5">
        <f>ROUND(IFERROR(IF($B1411&lt;=0,0,
MAX(-$B1411, -(-PMT(InterestRate/PaymentsPerYear,LoanTerm*PaymentsPerYear,LoanAmount) + $E1411))), 0), 2)</f>
        <v>0</v>
      </c>
      <c r="G1411" s="5">
        <f t="shared" si="86"/>
        <v>0</v>
      </c>
      <c r="H1411" s="5">
        <f t="shared" si="87"/>
        <v>0</v>
      </c>
    </row>
    <row r="1412" spans="1:8" x14ac:dyDescent="0.2">
      <c r="A1412" s="2">
        <v>1411</v>
      </c>
      <c r="B1412" s="5">
        <f t="shared" ref="B1412:B1475" si="88">ROUND(IF($H1411 &gt;= 0, MAX($H1411, $F1411), 0), 2)</f>
        <v>0</v>
      </c>
      <c r="C1412" s="5">
        <f t="shared" ref="C1412:C1475" si="89">IF($B1412 &lt;= 0, 0, $E1412+$F1412)</f>
        <v>0</v>
      </c>
      <c r="D1412" s="5"/>
      <c r="E1412" s="5">
        <f>IF($B1412 &lt;= 0, 0, -ROUND($B1412 * (InterestRate / PaymentsPerYear), 2))</f>
        <v>0</v>
      </c>
      <c r="F1412" s="5">
        <f>ROUND(IFERROR(IF($B1412&lt;=0,0,
MAX(-$B1412, -(-PMT(InterestRate/PaymentsPerYear,LoanTerm*PaymentsPerYear,LoanAmount) + $E1412))), 0), 2)</f>
        <v>0</v>
      </c>
      <c r="G1412" s="5">
        <f t="shared" ref="G1412:G1475" si="90">$F1412</f>
        <v>0</v>
      </c>
      <c r="H1412" s="5">
        <f t="shared" ref="H1412:H1475" si="91">ROUND(IF($B1412 &lt;= 0, 0,MAX(0, $B1412 + $G1412)), 2)</f>
        <v>0</v>
      </c>
    </row>
    <row r="1413" spans="1:8" x14ac:dyDescent="0.2">
      <c r="A1413" s="2">
        <v>1412</v>
      </c>
      <c r="B1413" s="5">
        <f t="shared" si="88"/>
        <v>0</v>
      </c>
      <c r="C1413" s="5">
        <f t="shared" si="89"/>
        <v>0</v>
      </c>
      <c r="D1413" s="5"/>
      <c r="E1413" s="5">
        <f>IF($B1413 &lt;= 0, 0, -ROUND($B1413 * (InterestRate / PaymentsPerYear), 2))</f>
        <v>0</v>
      </c>
      <c r="F1413" s="5">
        <f>ROUND(IFERROR(IF($B1413&lt;=0,0,
MAX(-$B1413, -(-PMT(InterestRate/PaymentsPerYear,LoanTerm*PaymentsPerYear,LoanAmount) + $E1413))), 0), 2)</f>
        <v>0</v>
      </c>
      <c r="G1413" s="5">
        <f t="shared" si="90"/>
        <v>0</v>
      </c>
      <c r="H1413" s="5">
        <f t="shared" si="91"/>
        <v>0</v>
      </c>
    </row>
    <row r="1414" spans="1:8" x14ac:dyDescent="0.2">
      <c r="A1414" s="2">
        <v>1413</v>
      </c>
      <c r="B1414" s="5">
        <f t="shared" si="88"/>
        <v>0</v>
      </c>
      <c r="C1414" s="5">
        <f t="shared" si="89"/>
        <v>0</v>
      </c>
      <c r="D1414" s="5"/>
      <c r="E1414" s="5">
        <f>IF($B1414 &lt;= 0, 0, -ROUND($B1414 * (InterestRate / PaymentsPerYear), 2))</f>
        <v>0</v>
      </c>
      <c r="F1414" s="5">
        <f>ROUND(IFERROR(IF($B1414&lt;=0,0,
MAX(-$B1414, -(-PMT(InterestRate/PaymentsPerYear,LoanTerm*PaymentsPerYear,LoanAmount) + $E1414))), 0), 2)</f>
        <v>0</v>
      </c>
      <c r="G1414" s="5">
        <f t="shared" si="90"/>
        <v>0</v>
      </c>
      <c r="H1414" s="5">
        <f t="shared" si="91"/>
        <v>0</v>
      </c>
    </row>
    <row r="1415" spans="1:8" x14ac:dyDescent="0.2">
      <c r="A1415" s="2">
        <v>1414</v>
      </c>
      <c r="B1415" s="5">
        <f t="shared" si="88"/>
        <v>0</v>
      </c>
      <c r="C1415" s="5">
        <f t="shared" si="89"/>
        <v>0</v>
      </c>
      <c r="D1415" s="5"/>
      <c r="E1415" s="5">
        <f>IF($B1415 &lt;= 0, 0, -ROUND($B1415 * (InterestRate / PaymentsPerYear), 2))</f>
        <v>0</v>
      </c>
      <c r="F1415" s="5">
        <f>ROUND(IFERROR(IF($B1415&lt;=0,0,
MAX(-$B1415, -(-PMT(InterestRate/PaymentsPerYear,LoanTerm*PaymentsPerYear,LoanAmount) + $E1415))), 0), 2)</f>
        <v>0</v>
      </c>
      <c r="G1415" s="5">
        <f t="shared" si="90"/>
        <v>0</v>
      </c>
      <c r="H1415" s="5">
        <f t="shared" si="91"/>
        <v>0</v>
      </c>
    </row>
    <row r="1416" spans="1:8" x14ac:dyDescent="0.2">
      <c r="A1416" s="2">
        <v>1415</v>
      </c>
      <c r="B1416" s="5">
        <f t="shared" si="88"/>
        <v>0</v>
      </c>
      <c r="C1416" s="5">
        <f t="shared" si="89"/>
        <v>0</v>
      </c>
      <c r="D1416" s="5"/>
      <c r="E1416" s="5">
        <f>IF($B1416 &lt;= 0, 0, -ROUND($B1416 * (InterestRate / PaymentsPerYear), 2))</f>
        <v>0</v>
      </c>
      <c r="F1416" s="5">
        <f>ROUND(IFERROR(IF($B1416&lt;=0,0,
MAX(-$B1416, -(-PMT(InterestRate/PaymentsPerYear,LoanTerm*PaymentsPerYear,LoanAmount) + $E1416))), 0), 2)</f>
        <v>0</v>
      </c>
      <c r="G1416" s="5">
        <f t="shared" si="90"/>
        <v>0</v>
      </c>
      <c r="H1416" s="5">
        <f t="shared" si="91"/>
        <v>0</v>
      </c>
    </row>
    <row r="1417" spans="1:8" x14ac:dyDescent="0.2">
      <c r="A1417" s="2">
        <v>1416</v>
      </c>
      <c r="B1417" s="5">
        <f t="shared" si="88"/>
        <v>0</v>
      </c>
      <c r="C1417" s="5">
        <f t="shared" si="89"/>
        <v>0</v>
      </c>
      <c r="D1417" s="5"/>
      <c r="E1417" s="5">
        <f>IF($B1417 &lt;= 0, 0, -ROUND($B1417 * (InterestRate / PaymentsPerYear), 2))</f>
        <v>0</v>
      </c>
      <c r="F1417" s="5">
        <f>ROUND(IFERROR(IF($B1417&lt;=0,0,
MAX(-$B1417, -(-PMT(InterestRate/PaymentsPerYear,LoanTerm*PaymentsPerYear,LoanAmount) + $E1417))), 0), 2)</f>
        <v>0</v>
      </c>
      <c r="G1417" s="5">
        <f t="shared" si="90"/>
        <v>0</v>
      </c>
      <c r="H1417" s="5">
        <f t="shared" si="91"/>
        <v>0</v>
      </c>
    </row>
    <row r="1418" spans="1:8" x14ac:dyDescent="0.2">
      <c r="A1418" s="2">
        <v>1417</v>
      </c>
      <c r="B1418" s="5">
        <f t="shared" si="88"/>
        <v>0</v>
      </c>
      <c r="C1418" s="5">
        <f t="shared" si="89"/>
        <v>0</v>
      </c>
      <c r="D1418" s="5"/>
      <c r="E1418" s="5">
        <f>IF($B1418 &lt;= 0, 0, -ROUND($B1418 * (InterestRate / PaymentsPerYear), 2))</f>
        <v>0</v>
      </c>
      <c r="F1418" s="5">
        <f>ROUND(IFERROR(IF($B1418&lt;=0,0,
MAX(-$B1418, -(-PMT(InterestRate/PaymentsPerYear,LoanTerm*PaymentsPerYear,LoanAmount) + $E1418))), 0), 2)</f>
        <v>0</v>
      </c>
      <c r="G1418" s="5">
        <f t="shared" si="90"/>
        <v>0</v>
      </c>
      <c r="H1418" s="5">
        <f t="shared" si="91"/>
        <v>0</v>
      </c>
    </row>
    <row r="1419" spans="1:8" x14ac:dyDescent="0.2">
      <c r="A1419" s="2">
        <v>1418</v>
      </c>
      <c r="B1419" s="5">
        <f t="shared" si="88"/>
        <v>0</v>
      </c>
      <c r="C1419" s="5">
        <f t="shared" si="89"/>
        <v>0</v>
      </c>
      <c r="D1419" s="5"/>
      <c r="E1419" s="5">
        <f>IF($B1419 &lt;= 0, 0, -ROUND($B1419 * (InterestRate / PaymentsPerYear), 2))</f>
        <v>0</v>
      </c>
      <c r="F1419" s="5">
        <f>ROUND(IFERROR(IF($B1419&lt;=0,0,
MAX(-$B1419, -(-PMT(InterestRate/PaymentsPerYear,LoanTerm*PaymentsPerYear,LoanAmount) + $E1419))), 0), 2)</f>
        <v>0</v>
      </c>
      <c r="G1419" s="5">
        <f t="shared" si="90"/>
        <v>0</v>
      </c>
      <c r="H1419" s="5">
        <f t="shared" si="91"/>
        <v>0</v>
      </c>
    </row>
    <row r="1420" spans="1:8" x14ac:dyDescent="0.2">
      <c r="A1420" s="2">
        <v>1419</v>
      </c>
      <c r="B1420" s="5">
        <f t="shared" si="88"/>
        <v>0</v>
      </c>
      <c r="C1420" s="5">
        <f t="shared" si="89"/>
        <v>0</v>
      </c>
      <c r="D1420" s="5"/>
      <c r="E1420" s="5">
        <f>IF($B1420 &lt;= 0, 0, -ROUND($B1420 * (InterestRate / PaymentsPerYear), 2))</f>
        <v>0</v>
      </c>
      <c r="F1420" s="5">
        <f>ROUND(IFERROR(IF($B1420&lt;=0,0,
MAX(-$B1420, -(-PMT(InterestRate/PaymentsPerYear,LoanTerm*PaymentsPerYear,LoanAmount) + $E1420))), 0), 2)</f>
        <v>0</v>
      </c>
      <c r="G1420" s="5">
        <f t="shared" si="90"/>
        <v>0</v>
      </c>
      <c r="H1420" s="5">
        <f t="shared" si="91"/>
        <v>0</v>
      </c>
    </row>
    <row r="1421" spans="1:8" x14ac:dyDescent="0.2">
      <c r="A1421" s="2">
        <v>1420</v>
      </c>
      <c r="B1421" s="5">
        <f t="shared" si="88"/>
        <v>0</v>
      </c>
      <c r="C1421" s="5">
        <f t="shared" si="89"/>
        <v>0</v>
      </c>
      <c r="D1421" s="5"/>
      <c r="E1421" s="5">
        <f>IF($B1421 &lt;= 0, 0, -ROUND($B1421 * (InterestRate / PaymentsPerYear), 2))</f>
        <v>0</v>
      </c>
      <c r="F1421" s="5">
        <f>ROUND(IFERROR(IF($B1421&lt;=0,0,
MAX(-$B1421, -(-PMT(InterestRate/PaymentsPerYear,LoanTerm*PaymentsPerYear,LoanAmount) + $E1421))), 0), 2)</f>
        <v>0</v>
      </c>
      <c r="G1421" s="5">
        <f t="shared" si="90"/>
        <v>0</v>
      </c>
      <c r="H1421" s="5">
        <f t="shared" si="91"/>
        <v>0</v>
      </c>
    </row>
    <row r="1422" spans="1:8" x14ac:dyDescent="0.2">
      <c r="A1422" s="2">
        <v>1421</v>
      </c>
      <c r="B1422" s="5">
        <f t="shared" si="88"/>
        <v>0</v>
      </c>
      <c r="C1422" s="5">
        <f t="shared" si="89"/>
        <v>0</v>
      </c>
      <c r="D1422" s="5"/>
      <c r="E1422" s="5">
        <f>IF($B1422 &lt;= 0, 0, -ROUND($B1422 * (InterestRate / PaymentsPerYear), 2))</f>
        <v>0</v>
      </c>
      <c r="F1422" s="5">
        <f>ROUND(IFERROR(IF($B1422&lt;=0,0,
MAX(-$B1422, -(-PMT(InterestRate/PaymentsPerYear,LoanTerm*PaymentsPerYear,LoanAmount) + $E1422))), 0), 2)</f>
        <v>0</v>
      </c>
      <c r="G1422" s="5">
        <f t="shared" si="90"/>
        <v>0</v>
      </c>
      <c r="H1422" s="5">
        <f t="shared" si="91"/>
        <v>0</v>
      </c>
    </row>
    <row r="1423" spans="1:8" x14ac:dyDescent="0.2">
      <c r="A1423" s="2">
        <v>1422</v>
      </c>
      <c r="B1423" s="5">
        <f t="shared" si="88"/>
        <v>0</v>
      </c>
      <c r="C1423" s="5">
        <f t="shared" si="89"/>
        <v>0</v>
      </c>
      <c r="D1423" s="5"/>
      <c r="E1423" s="5">
        <f>IF($B1423 &lt;= 0, 0, -ROUND($B1423 * (InterestRate / PaymentsPerYear), 2))</f>
        <v>0</v>
      </c>
      <c r="F1423" s="5">
        <f>ROUND(IFERROR(IF($B1423&lt;=0,0,
MAX(-$B1423, -(-PMT(InterestRate/PaymentsPerYear,LoanTerm*PaymentsPerYear,LoanAmount) + $E1423))), 0), 2)</f>
        <v>0</v>
      </c>
      <c r="G1423" s="5">
        <f t="shared" si="90"/>
        <v>0</v>
      </c>
      <c r="H1423" s="5">
        <f t="shared" si="91"/>
        <v>0</v>
      </c>
    </row>
    <row r="1424" spans="1:8" x14ac:dyDescent="0.2">
      <c r="A1424" s="2">
        <v>1423</v>
      </c>
      <c r="B1424" s="5">
        <f t="shared" si="88"/>
        <v>0</v>
      </c>
      <c r="C1424" s="5">
        <f t="shared" si="89"/>
        <v>0</v>
      </c>
      <c r="D1424" s="5"/>
      <c r="E1424" s="5">
        <f>IF($B1424 &lt;= 0, 0, -ROUND($B1424 * (InterestRate / PaymentsPerYear), 2))</f>
        <v>0</v>
      </c>
      <c r="F1424" s="5">
        <f>ROUND(IFERROR(IF($B1424&lt;=0,0,
MAX(-$B1424, -(-PMT(InterestRate/PaymentsPerYear,LoanTerm*PaymentsPerYear,LoanAmount) + $E1424))), 0), 2)</f>
        <v>0</v>
      </c>
      <c r="G1424" s="5">
        <f t="shared" si="90"/>
        <v>0</v>
      </c>
      <c r="H1424" s="5">
        <f t="shared" si="91"/>
        <v>0</v>
      </c>
    </row>
    <row r="1425" spans="1:8" x14ac:dyDescent="0.2">
      <c r="A1425" s="2">
        <v>1424</v>
      </c>
      <c r="B1425" s="5">
        <f t="shared" si="88"/>
        <v>0</v>
      </c>
      <c r="C1425" s="5">
        <f t="shared" si="89"/>
        <v>0</v>
      </c>
      <c r="D1425" s="5"/>
      <c r="E1425" s="5">
        <f>IF($B1425 &lt;= 0, 0, -ROUND($B1425 * (InterestRate / PaymentsPerYear), 2))</f>
        <v>0</v>
      </c>
      <c r="F1425" s="5">
        <f>ROUND(IFERROR(IF($B1425&lt;=0,0,
MAX(-$B1425, -(-PMT(InterestRate/PaymentsPerYear,LoanTerm*PaymentsPerYear,LoanAmount) + $E1425))), 0), 2)</f>
        <v>0</v>
      </c>
      <c r="G1425" s="5">
        <f t="shared" si="90"/>
        <v>0</v>
      </c>
      <c r="H1425" s="5">
        <f t="shared" si="91"/>
        <v>0</v>
      </c>
    </row>
    <row r="1426" spans="1:8" x14ac:dyDescent="0.2">
      <c r="A1426" s="2">
        <v>1425</v>
      </c>
      <c r="B1426" s="5">
        <f t="shared" si="88"/>
        <v>0</v>
      </c>
      <c r="C1426" s="5">
        <f t="shared" si="89"/>
        <v>0</v>
      </c>
      <c r="D1426" s="5"/>
      <c r="E1426" s="5">
        <f>IF($B1426 &lt;= 0, 0, -ROUND($B1426 * (InterestRate / PaymentsPerYear), 2))</f>
        <v>0</v>
      </c>
      <c r="F1426" s="5">
        <f>ROUND(IFERROR(IF($B1426&lt;=0,0,
MAX(-$B1426, -(-PMT(InterestRate/PaymentsPerYear,LoanTerm*PaymentsPerYear,LoanAmount) + $E1426))), 0), 2)</f>
        <v>0</v>
      </c>
      <c r="G1426" s="5">
        <f t="shared" si="90"/>
        <v>0</v>
      </c>
      <c r="H1426" s="5">
        <f t="shared" si="91"/>
        <v>0</v>
      </c>
    </row>
    <row r="1427" spans="1:8" x14ac:dyDescent="0.2">
      <c r="A1427" s="2">
        <v>1426</v>
      </c>
      <c r="B1427" s="5">
        <f t="shared" si="88"/>
        <v>0</v>
      </c>
      <c r="C1427" s="5">
        <f t="shared" si="89"/>
        <v>0</v>
      </c>
      <c r="D1427" s="5"/>
      <c r="E1427" s="5">
        <f>IF($B1427 &lt;= 0, 0, -ROUND($B1427 * (InterestRate / PaymentsPerYear), 2))</f>
        <v>0</v>
      </c>
      <c r="F1427" s="5">
        <f>ROUND(IFERROR(IF($B1427&lt;=0,0,
MAX(-$B1427, -(-PMT(InterestRate/PaymentsPerYear,LoanTerm*PaymentsPerYear,LoanAmount) + $E1427))), 0), 2)</f>
        <v>0</v>
      </c>
      <c r="G1427" s="5">
        <f t="shared" si="90"/>
        <v>0</v>
      </c>
      <c r="H1427" s="5">
        <f t="shared" si="91"/>
        <v>0</v>
      </c>
    </row>
    <row r="1428" spans="1:8" x14ac:dyDescent="0.2">
      <c r="A1428" s="2">
        <v>1427</v>
      </c>
      <c r="B1428" s="5">
        <f t="shared" si="88"/>
        <v>0</v>
      </c>
      <c r="C1428" s="5">
        <f t="shared" si="89"/>
        <v>0</v>
      </c>
      <c r="D1428" s="5"/>
      <c r="E1428" s="5">
        <f>IF($B1428 &lt;= 0, 0, -ROUND($B1428 * (InterestRate / PaymentsPerYear), 2))</f>
        <v>0</v>
      </c>
      <c r="F1428" s="5">
        <f>ROUND(IFERROR(IF($B1428&lt;=0,0,
MAX(-$B1428, -(-PMT(InterestRate/PaymentsPerYear,LoanTerm*PaymentsPerYear,LoanAmount) + $E1428))), 0), 2)</f>
        <v>0</v>
      </c>
      <c r="G1428" s="5">
        <f t="shared" si="90"/>
        <v>0</v>
      </c>
      <c r="H1428" s="5">
        <f t="shared" si="91"/>
        <v>0</v>
      </c>
    </row>
    <row r="1429" spans="1:8" x14ac:dyDescent="0.2">
      <c r="A1429" s="2">
        <v>1428</v>
      </c>
      <c r="B1429" s="5">
        <f t="shared" si="88"/>
        <v>0</v>
      </c>
      <c r="C1429" s="5">
        <f t="shared" si="89"/>
        <v>0</v>
      </c>
      <c r="D1429" s="5"/>
      <c r="E1429" s="5">
        <f>IF($B1429 &lt;= 0, 0, -ROUND($B1429 * (InterestRate / PaymentsPerYear), 2))</f>
        <v>0</v>
      </c>
      <c r="F1429" s="5">
        <f>ROUND(IFERROR(IF($B1429&lt;=0,0,
MAX(-$B1429, -(-PMT(InterestRate/PaymentsPerYear,LoanTerm*PaymentsPerYear,LoanAmount) + $E1429))), 0), 2)</f>
        <v>0</v>
      </c>
      <c r="G1429" s="5">
        <f t="shared" si="90"/>
        <v>0</v>
      </c>
      <c r="H1429" s="5">
        <f t="shared" si="91"/>
        <v>0</v>
      </c>
    </row>
    <row r="1430" spans="1:8" x14ac:dyDescent="0.2">
      <c r="A1430" s="2">
        <v>1429</v>
      </c>
      <c r="B1430" s="5">
        <f t="shared" si="88"/>
        <v>0</v>
      </c>
      <c r="C1430" s="5">
        <f t="shared" si="89"/>
        <v>0</v>
      </c>
      <c r="D1430" s="5"/>
      <c r="E1430" s="5">
        <f>IF($B1430 &lt;= 0, 0, -ROUND($B1430 * (InterestRate / PaymentsPerYear), 2))</f>
        <v>0</v>
      </c>
      <c r="F1430" s="5">
        <f>ROUND(IFERROR(IF($B1430&lt;=0,0,
MAX(-$B1430, -(-PMT(InterestRate/PaymentsPerYear,LoanTerm*PaymentsPerYear,LoanAmount) + $E1430))), 0), 2)</f>
        <v>0</v>
      </c>
      <c r="G1430" s="5">
        <f t="shared" si="90"/>
        <v>0</v>
      </c>
      <c r="H1430" s="5">
        <f t="shared" si="91"/>
        <v>0</v>
      </c>
    </row>
    <row r="1431" spans="1:8" x14ac:dyDescent="0.2">
      <c r="A1431" s="2">
        <v>1430</v>
      </c>
      <c r="B1431" s="5">
        <f t="shared" si="88"/>
        <v>0</v>
      </c>
      <c r="C1431" s="5">
        <f t="shared" si="89"/>
        <v>0</v>
      </c>
      <c r="D1431" s="5"/>
      <c r="E1431" s="5">
        <f>IF($B1431 &lt;= 0, 0, -ROUND($B1431 * (InterestRate / PaymentsPerYear), 2))</f>
        <v>0</v>
      </c>
      <c r="F1431" s="5">
        <f>ROUND(IFERROR(IF($B1431&lt;=0,0,
MAX(-$B1431, -(-PMT(InterestRate/PaymentsPerYear,LoanTerm*PaymentsPerYear,LoanAmount) + $E1431))), 0), 2)</f>
        <v>0</v>
      </c>
      <c r="G1431" s="5">
        <f t="shared" si="90"/>
        <v>0</v>
      </c>
      <c r="H1431" s="5">
        <f t="shared" si="91"/>
        <v>0</v>
      </c>
    </row>
    <row r="1432" spans="1:8" x14ac:dyDescent="0.2">
      <c r="A1432" s="2">
        <v>1431</v>
      </c>
      <c r="B1432" s="5">
        <f t="shared" si="88"/>
        <v>0</v>
      </c>
      <c r="C1432" s="5">
        <f t="shared" si="89"/>
        <v>0</v>
      </c>
      <c r="D1432" s="5"/>
      <c r="E1432" s="5">
        <f>IF($B1432 &lt;= 0, 0, -ROUND($B1432 * (InterestRate / PaymentsPerYear), 2))</f>
        <v>0</v>
      </c>
      <c r="F1432" s="5">
        <f>ROUND(IFERROR(IF($B1432&lt;=0,0,
MAX(-$B1432, -(-PMT(InterestRate/PaymentsPerYear,LoanTerm*PaymentsPerYear,LoanAmount) + $E1432))), 0), 2)</f>
        <v>0</v>
      </c>
      <c r="G1432" s="5">
        <f t="shared" si="90"/>
        <v>0</v>
      </c>
      <c r="H1432" s="5">
        <f t="shared" si="91"/>
        <v>0</v>
      </c>
    </row>
    <row r="1433" spans="1:8" x14ac:dyDescent="0.2">
      <c r="A1433" s="2">
        <v>1432</v>
      </c>
      <c r="B1433" s="5">
        <f t="shared" si="88"/>
        <v>0</v>
      </c>
      <c r="C1433" s="5">
        <f t="shared" si="89"/>
        <v>0</v>
      </c>
      <c r="D1433" s="5"/>
      <c r="E1433" s="5">
        <f>IF($B1433 &lt;= 0, 0, -ROUND($B1433 * (InterestRate / PaymentsPerYear), 2))</f>
        <v>0</v>
      </c>
      <c r="F1433" s="5">
        <f>ROUND(IFERROR(IF($B1433&lt;=0,0,
MAX(-$B1433, -(-PMT(InterestRate/PaymentsPerYear,LoanTerm*PaymentsPerYear,LoanAmount) + $E1433))), 0), 2)</f>
        <v>0</v>
      </c>
      <c r="G1433" s="5">
        <f t="shared" si="90"/>
        <v>0</v>
      </c>
      <c r="H1433" s="5">
        <f t="shared" si="91"/>
        <v>0</v>
      </c>
    </row>
    <row r="1434" spans="1:8" x14ac:dyDescent="0.2">
      <c r="A1434" s="2">
        <v>1433</v>
      </c>
      <c r="B1434" s="5">
        <f t="shared" si="88"/>
        <v>0</v>
      </c>
      <c r="C1434" s="5">
        <f t="shared" si="89"/>
        <v>0</v>
      </c>
      <c r="D1434" s="5"/>
      <c r="E1434" s="5">
        <f>IF($B1434 &lt;= 0, 0, -ROUND($B1434 * (InterestRate / PaymentsPerYear), 2))</f>
        <v>0</v>
      </c>
      <c r="F1434" s="5">
        <f>ROUND(IFERROR(IF($B1434&lt;=0,0,
MAX(-$B1434, -(-PMT(InterestRate/PaymentsPerYear,LoanTerm*PaymentsPerYear,LoanAmount) + $E1434))), 0), 2)</f>
        <v>0</v>
      </c>
      <c r="G1434" s="5">
        <f t="shared" si="90"/>
        <v>0</v>
      </c>
      <c r="H1434" s="5">
        <f t="shared" si="91"/>
        <v>0</v>
      </c>
    </row>
    <row r="1435" spans="1:8" x14ac:dyDescent="0.2">
      <c r="A1435" s="2">
        <v>1434</v>
      </c>
      <c r="B1435" s="5">
        <f t="shared" si="88"/>
        <v>0</v>
      </c>
      <c r="C1435" s="5">
        <f t="shared" si="89"/>
        <v>0</v>
      </c>
      <c r="D1435" s="5"/>
      <c r="E1435" s="5">
        <f>IF($B1435 &lt;= 0, 0, -ROUND($B1435 * (InterestRate / PaymentsPerYear), 2))</f>
        <v>0</v>
      </c>
      <c r="F1435" s="5">
        <f>ROUND(IFERROR(IF($B1435&lt;=0,0,
MAX(-$B1435, -(-PMT(InterestRate/PaymentsPerYear,LoanTerm*PaymentsPerYear,LoanAmount) + $E1435))), 0), 2)</f>
        <v>0</v>
      </c>
      <c r="G1435" s="5">
        <f t="shared" si="90"/>
        <v>0</v>
      </c>
      <c r="H1435" s="5">
        <f t="shared" si="91"/>
        <v>0</v>
      </c>
    </row>
    <row r="1436" spans="1:8" x14ac:dyDescent="0.2">
      <c r="A1436" s="2">
        <v>1435</v>
      </c>
      <c r="B1436" s="5">
        <f t="shared" si="88"/>
        <v>0</v>
      </c>
      <c r="C1436" s="5">
        <f t="shared" si="89"/>
        <v>0</v>
      </c>
      <c r="D1436" s="5"/>
      <c r="E1436" s="5">
        <f>IF($B1436 &lt;= 0, 0, -ROUND($B1436 * (InterestRate / PaymentsPerYear), 2))</f>
        <v>0</v>
      </c>
      <c r="F1436" s="5">
        <f>ROUND(IFERROR(IF($B1436&lt;=0,0,
MAX(-$B1436, -(-PMT(InterestRate/PaymentsPerYear,LoanTerm*PaymentsPerYear,LoanAmount) + $E1436))), 0), 2)</f>
        <v>0</v>
      </c>
      <c r="G1436" s="5">
        <f t="shared" si="90"/>
        <v>0</v>
      </c>
      <c r="H1436" s="5">
        <f t="shared" si="91"/>
        <v>0</v>
      </c>
    </row>
    <row r="1437" spans="1:8" x14ac:dyDescent="0.2">
      <c r="A1437" s="2">
        <v>1436</v>
      </c>
      <c r="B1437" s="5">
        <f t="shared" si="88"/>
        <v>0</v>
      </c>
      <c r="C1437" s="5">
        <f t="shared" si="89"/>
        <v>0</v>
      </c>
      <c r="D1437" s="5"/>
      <c r="E1437" s="5">
        <f>IF($B1437 &lt;= 0, 0, -ROUND($B1437 * (InterestRate / PaymentsPerYear), 2))</f>
        <v>0</v>
      </c>
      <c r="F1437" s="5">
        <f>ROUND(IFERROR(IF($B1437&lt;=0,0,
MAX(-$B1437, -(-PMT(InterestRate/PaymentsPerYear,LoanTerm*PaymentsPerYear,LoanAmount) + $E1437))), 0), 2)</f>
        <v>0</v>
      </c>
      <c r="G1437" s="5">
        <f t="shared" si="90"/>
        <v>0</v>
      </c>
      <c r="H1437" s="5">
        <f t="shared" si="91"/>
        <v>0</v>
      </c>
    </row>
    <row r="1438" spans="1:8" x14ac:dyDescent="0.2">
      <c r="A1438" s="2">
        <v>1437</v>
      </c>
      <c r="B1438" s="5">
        <f t="shared" si="88"/>
        <v>0</v>
      </c>
      <c r="C1438" s="5">
        <f t="shared" si="89"/>
        <v>0</v>
      </c>
      <c r="D1438" s="5"/>
      <c r="E1438" s="5">
        <f>IF($B1438 &lt;= 0, 0, -ROUND($B1438 * (InterestRate / PaymentsPerYear), 2))</f>
        <v>0</v>
      </c>
      <c r="F1438" s="5">
        <f>ROUND(IFERROR(IF($B1438&lt;=0,0,
MAX(-$B1438, -(-PMT(InterestRate/PaymentsPerYear,LoanTerm*PaymentsPerYear,LoanAmount) + $E1438))), 0), 2)</f>
        <v>0</v>
      </c>
      <c r="G1438" s="5">
        <f t="shared" si="90"/>
        <v>0</v>
      </c>
      <c r="H1438" s="5">
        <f t="shared" si="91"/>
        <v>0</v>
      </c>
    </row>
    <row r="1439" spans="1:8" x14ac:dyDescent="0.2">
      <c r="A1439" s="2">
        <v>1438</v>
      </c>
      <c r="B1439" s="5">
        <f t="shared" si="88"/>
        <v>0</v>
      </c>
      <c r="C1439" s="5">
        <f t="shared" si="89"/>
        <v>0</v>
      </c>
      <c r="D1439" s="5"/>
      <c r="E1439" s="5">
        <f>IF($B1439 &lt;= 0, 0, -ROUND($B1439 * (InterestRate / PaymentsPerYear), 2))</f>
        <v>0</v>
      </c>
      <c r="F1439" s="5">
        <f>ROUND(IFERROR(IF($B1439&lt;=0,0,
MAX(-$B1439, -(-PMT(InterestRate/PaymentsPerYear,LoanTerm*PaymentsPerYear,LoanAmount) + $E1439))), 0), 2)</f>
        <v>0</v>
      </c>
      <c r="G1439" s="5">
        <f t="shared" si="90"/>
        <v>0</v>
      </c>
      <c r="H1439" s="5">
        <f t="shared" si="91"/>
        <v>0</v>
      </c>
    </row>
    <row r="1440" spans="1:8" x14ac:dyDescent="0.2">
      <c r="A1440" s="2">
        <v>1439</v>
      </c>
      <c r="B1440" s="5">
        <f t="shared" si="88"/>
        <v>0</v>
      </c>
      <c r="C1440" s="5">
        <f t="shared" si="89"/>
        <v>0</v>
      </c>
      <c r="D1440" s="5"/>
      <c r="E1440" s="5">
        <f>IF($B1440 &lt;= 0, 0, -ROUND($B1440 * (InterestRate / PaymentsPerYear), 2))</f>
        <v>0</v>
      </c>
      <c r="F1440" s="5">
        <f>ROUND(IFERROR(IF($B1440&lt;=0,0,
MAX(-$B1440, -(-PMT(InterestRate/PaymentsPerYear,LoanTerm*PaymentsPerYear,LoanAmount) + $E1440))), 0), 2)</f>
        <v>0</v>
      </c>
      <c r="G1440" s="5">
        <f t="shared" si="90"/>
        <v>0</v>
      </c>
      <c r="H1440" s="5">
        <f t="shared" si="91"/>
        <v>0</v>
      </c>
    </row>
    <row r="1441" spans="1:8" x14ac:dyDescent="0.2">
      <c r="A1441" s="2">
        <v>1440</v>
      </c>
      <c r="B1441" s="5">
        <f t="shared" si="88"/>
        <v>0</v>
      </c>
      <c r="C1441" s="5">
        <f t="shared" si="89"/>
        <v>0</v>
      </c>
      <c r="D1441" s="5"/>
      <c r="E1441" s="5">
        <f>IF($B1441 &lt;= 0, 0, -ROUND($B1441 * (InterestRate / PaymentsPerYear), 2))</f>
        <v>0</v>
      </c>
      <c r="F1441" s="5">
        <f>ROUND(IFERROR(IF($B1441&lt;=0,0,
MAX(-$B1441, -(-PMT(InterestRate/PaymentsPerYear,LoanTerm*PaymentsPerYear,LoanAmount) + $E1441))), 0), 2)</f>
        <v>0</v>
      </c>
      <c r="G1441" s="5">
        <f t="shared" si="90"/>
        <v>0</v>
      </c>
      <c r="H1441" s="5">
        <f t="shared" si="91"/>
        <v>0</v>
      </c>
    </row>
    <row r="1442" spans="1:8" x14ac:dyDescent="0.2">
      <c r="A1442" s="2">
        <v>1441</v>
      </c>
      <c r="B1442" s="5">
        <f t="shared" si="88"/>
        <v>0</v>
      </c>
      <c r="C1442" s="5">
        <f t="shared" si="89"/>
        <v>0</v>
      </c>
      <c r="D1442" s="5"/>
      <c r="E1442" s="5">
        <f>IF($B1442 &lt;= 0, 0, -ROUND($B1442 * (InterestRate / PaymentsPerYear), 2))</f>
        <v>0</v>
      </c>
      <c r="F1442" s="5">
        <f>ROUND(IFERROR(IF($B1442&lt;=0,0,
MAX(-$B1442, -(-PMT(InterestRate/PaymentsPerYear,LoanTerm*PaymentsPerYear,LoanAmount) + $E1442))), 0), 2)</f>
        <v>0</v>
      </c>
      <c r="G1442" s="5">
        <f t="shared" si="90"/>
        <v>0</v>
      </c>
      <c r="H1442" s="5">
        <f t="shared" si="91"/>
        <v>0</v>
      </c>
    </row>
    <row r="1443" spans="1:8" x14ac:dyDescent="0.2">
      <c r="A1443" s="2">
        <v>1442</v>
      </c>
      <c r="B1443" s="5">
        <f t="shared" si="88"/>
        <v>0</v>
      </c>
      <c r="C1443" s="5">
        <f t="shared" si="89"/>
        <v>0</v>
      </c>
      <c r="D1443" s="5"/>
      <c r="E1443" s="5">
        <f>IF($B1443 &lt;= 0, 0, -ROUND($B1443 * (InterestRate / PaymentsPerYear), 2))</f>
        <v>0</v>
      </c>
      <c r="F1443" s="5">
        <f>ROUND(IFERROR(IF($B1443&lt;=0,0,
MAX(-$B1443, -(-PMT(InterestRate/PaymentsPerYear,LoanTerm*PaymentsPerYear,LoanAmount) + $E1443))), 0), 2)</f>
        <v>0</v>
      </c>
      <c r="G1443" s="5">
        <f t="shared" si="90"/>
        <v>0</v>
      </c>
      <c r="H1443" s="5">
        <f t="shared" si="91"/>
        <v>0</v>
      </c>
    </row>
    <row r="1444" spans="1:8" x14ac:dyDescent="0.2">
      <c r="A1444" s="2">
        <v>1443</v>
      </c>
      <c r="B1444" s="5">
        <f t="shared" si="88"/>
        <v>0</v>
      </c>
      <c r="C1444" s="5">
        <f t="shared" si="89"/>
        <v>0</v>
      </c>
      <c r="D1444" s="5"/>
      <c r="E1444" s="5">
        <f>IF($B1444 &lt;= 0, 0, -ROUND($B1444 * (InterestRate / PaymentsPerYear), 2))</f>
        <v>0</v>
      </c>
      <c r="F1444" s="5">
        <f>ROUND(IFERROR(IF($B1444&lt;=0,0,
MAX(-$B1444, -(-PMT(InterestRate/PaymentsPerYear,LoanTerm*PaymentsPerYear,LoanAmount) + $E1444))), 0), 2)</f>
        <v>0</v>
      </c>
      <c r="G1444" s="5">
        <f t="shared" si="90"/>
        <v>0</v>
      </c>
      <c r="H1444" s="5">
        <f t="shared" si="91"/>
        <v>0</v>
      </c>
    </row>
    <row r="1445" spans="1:8" x14ac:dyDescent="0.2">
      <c r="A1445" s="2">
        <v>1444</v>
      </c>
      <c r="B1445" s="5">
        <f t="shared" si="88"/>
        <v>0</v>
      </c>
      <c r="C1445" s="5">
        <f t="shared" si="89"/>
        <v>0</v>
      </c>
      <c r="D1445" s="5"/>
      <c r="E1445" s="5">
        <f>IF($B1445 &lt;= 0, 0, -ROUND($B1445 * (InterestRate / PaymentsPerYear), 2))</f>
        <v>0</v>
      </c>
      <c r="F1445" s="5">
        <f>ROUND(IFERROR(IF($B1445&lt;=0,0,
MAX(-$B1445, -(-PMT(InterestRate/PaymentsPerYear,LoanTerm*PaymentsPerYear,LoanAmount) + $E1445))), 0), 2)</f>
        <v>0</v>
      </c>
      <c r="G1445" s="5">
        <f t="shared" si="90"/>
        <v>0</v>
      </c>
      <c r="H1445" s="5">
        <f t="shared" si="91"/>
        <v>0</v>
      </c>
    </row>
    <row r="1446" spans="1:8" x14ac:dyDescent="0.2">
      <c r="A1446" s="2">
        <v>1445</v>
      </c>
      <c r="B1446" s="5">
        <f t="shared" si="88"/>
        <v>0</v>
      </c>
      <c r="C1446" s="5">
        <f t="shared" si="89"/>
        <v>0</v>
      </c>
      <c r="D1446" s="5"/>
      <c r="E1446" s="5">
        <f>IF($B1446 &lt;= 0, 0, -ROUND($B1446 * (InterestRate / PaymentsPerYear), 2))</f>
        <v>0</v>
      </c>
      <c r="F1446" s="5">
        <f>ROUND(IFERROR(IF($B1446&lt;=0,0,
MAX(-$B1446, -(-PMT(InterestRate/PaymentsPerYear,LoanTerm*PaymentsPerYear,LoanAmount) + $E1446))), 0), 2)</f>
        <v>0</v>
      </c>
      <c r="G1446" s="5">
        <f t="shared" si="90"/>
        <v>0</v>
      </c>
      <c r="H1446" s="5">
        <f t="shared" si="91"/>
        <v>0</v>
      </c>
    </row>
    <row r="1447" spans="1:8" x14ac:dyDescent="0.2">
      <c r="A1447" s="2">
        <v>1446</v>
      </c>
      <c r="B1447" s="5">
        <f t="shared" si="88"/>
        <v>0</v>
      </c>
      <c r="C1447" s="5">
        <f t="shared" si="89"/>
        <v>0</v>
      </c>
      <c r="D1447" s="5"/>
      <c r="E1447" s="5">
        <f>IF($B1447 &lt;= 0, 0, -ROUND($B1447 * (InterestRate / PaymentsPerYear), 2))</f>
        <v>0</v>
      </c>
      <c r="F1447" s="5">
        <f>ROUND(IFERROR(IF($B1447&lt;=0,0,
MAX(-$B1447, -(-PMT(InterestRate/PaymentsPerYear,LoanTerm*PaymentsPerYear,LoanAmount) + $E1447))), 0), 2)</f>
        <v>0</v>
      </c>
      <c r="G1447" s="5">
        <f t="shared" si="90"/>
        <v>0</v>
      </c>
      <c r="H1447" s="5">
        <f t="shared" si="91"/>
        <v>0</v>
      </c>
    </row>
    <row r="1448" spans="1:8" x14ac:dyDescent="0.2">
      <c r="A1448" s="2">
        <v>1447</v>
      </c>
      <c r="B1448" s="5">
        <f t="shared" si="88"/>
        <v>0</v>
      </c>
      <c r="C1448" s="5">
        <f t="shared" si="89"/>
        <v>0</v>
      </c>
      <c r="D1448" s="5"/>
      <c r="E1448" s="5">
        <f>IF($B1448 &lt;= 0, 0, -ROUND($B1448 * (InterestRate / PaymentsPerYear), 2))</f>
        <v>0</v>
      </c>
      <c r="F1448" s="5">
        <f>ROUND(IFERROR(IF($B1448&lt;=0,0,
MAX(-$B1448, -(-PMT(InterestRate/PaymentsPerYear,LoanTerm*PaymentsPerYear,LoanAmount) + $E1448))), 0), 2)</f>
        <v>0</v>
      </c>
      <c r="G1448" s="5">
        <f t="shared" si="90"/>
        <v>0</v>
      </c>
      <c r="H1448" s="5">
        <f t="shared" si="91"/>
        <v>0</v>
      </c>
    </row>
    <row r="1449" spans="1:8" x14ac:dyDescent="0.2">
      <c r="A1449" s="2">
        <v>1448</v>
      </c>
      <c r="B1449" s="5">
        <f t="shared" si="88"/>
        <v>0</v>
      </c>
      <c r="C1449" s="5">
        <f t="shared" si="89"/>
        <v>0</v>
      </c>
      <c r="D1449" s="5"/>
      <c r="E1449" s="5">
        <f>IF($B1449 &lt;= 0, 0, -ROUND($B1449 * (InterestRate / PaymentsPerYear), 2))</f>
        <v>0</v>
      </c>
      <c r="F1449" s="5">
        <f>ROUND(IFERROR(IF($B1449&lt;=0,0,
MAX(-$B1449, -(-PMT(InterestRate/PaymentsPerYear,LoanTerm*PaymentsPerYear,LoanAmount) + $E1449))), 0), 2)</f>
        <v>0</v>
      </c>
      <c r="G1449" s="5">
        <f t="shared" si="90"/>
        <v>0</v>
      </c>
      <c r="H1449" s="5">
        <f t="shared" si="91"/>
        <v>0</v>
      </c>
    </row>
    <row r="1450" spans="1:8" x14ac:dyDescent="0.2">
      <c r="A1450" s="2">
        <v>1449</v>
      </c>
      <c r="B1450" s="5">
        <f t="shared" si="88"/>
        <v>0</v>
      </c>
      <c r="C1450" s="5">
        <f t="shared" si="89"/>
        <v>0</v>
      </c>
      <c r="D1450" s="5"/>
      <c r="E1450" s="5">
        <f>IF($B1450 &lt;= 0, 0, -ROUND($B1450 * (InterestRate / PaymentsPerYear), 2))</f>
        <v>0</v>
      </c>
      <c r="F1450" s="5">
        <f>ROUND(IFERROR(IF($B1450&lt;=0,0,
MAX(-$B1450, -(-PMT(InterestRate/PaymentsPerYear,LoanTerm*PaymentsPerYear,LoanAmount) + $E1450))), 0), 2)</f>
        <v>0</v>
      </c>
      <c r="G1450" s="5">
        <f t="shared" si="90"/>
        <v>0</v>
      </c>
      <c r="H1450" s="5">
        <f t="shared" si="91"/>
        <v>0</v>
      </c>
    </row>
    <row r="1451" spans="1:8" x14ac:dyDescent="0.2">
      <c r="A1451" s="2">
        <v>1450</v>
      </c>
      <c r="B1451" s="5">
        <f t="shared" si="88"/>
        <v>0</v>
      </c>
      <c r="C1451" s="5">
        <f t="shared" si="89"/>
        <v>0</v>
      </c>
      <c r="D1451" s="5"/>
      <c r="E1451" s="5">
        <f>IF($B1451 &lt;= 0, 0, -ROUND($B1451 * (InterestRate / PaymentsPerYear), 2))</f>
        <v>0</v>
      </c>
      <c r="F1451" s="5">
        <f>ROUND(IFERROR(IF($B1451&lt;=0,0,
MAX(-$B1451, -(-PMT(InterestRate/PaymentsPerYear,LoanTerm*PaymentsPerYear,LoanAmount) + $E1451))), 0), 2)</f>
        <v>0</v>
      </c>
      <c r="G1451" s="5">
        <f t="shared" si="90"/>
        <v>0</v>
      </c>
      <c r="H1451" s="5">
        <f t="shared" si="91"/>
        <v>0</v>
      </c>
    </row>
    <row r="1452" spans="1:8" x14ac:dyDescent="0.2">
      <c r="A1452" s="2">
        <v>1451</v>
      </c>
      <c r="B1452" s="5">
        <f t="shared" si="88"/>
        <v>0</v>
      </c>
      <c r="C1452" s="5">
        <f t="shared" si="89"/>
        <v>0</v>
      </c>
      <c r="D1452" s="5"/>
      <c r="E1452" s="5">
        <f>IF($B1452 &lt;= 0, 0, -ROUND($B1452 * (InterestRate / PaymentsPerYear), 2))</f>
        <v>0</v>
      </c>
      <c r="F1452" s="5">
        <f>ROUND(IFERROR(IF($B1452&lt;=0,0,
MAX(-$B1452, -(-PMT(InterestRate/PaymentsPerYear,LoanTerm*PaymentsPerYear,LoanAmount) + $E1452))), 0), 2)</f>
        <v>0</v>
      </c>
      <c r="G1452" s="5">
        <f t="shared" si="90"/>
        <v>0</v>
      </c>
      <c r="H1452" s="5">
        <f t="shared" si="91"/>
        <v>0</v>
      </c>
    </row>
    <row r="1453" spans="1:8" x14ac:dyDescent="0.2">
      <c r="A1453" s="2">
        <v>1452</v>
      </c>
      <c r="B1453" s="5">
        <f t="shared" si="88"/>
        <v>0</v>
      </c>
      <c r="C1453" s="5">
        <f t="shared" si="89"/>
        <v>0</v>
      </c>
      <c r="D1453" s="5"/>
      <c r="E1453" s="5">
        <f>IF($B1453 &lt;= 0, 0, -ROUND($B1453 * (InterestRate / PaymentsPerYear), 2))</f>
        <v>0</v>
      </c>
      <c r="F1453" s="5">
        <f>ROUND(IFERROR(IF($B1453&lt;=0,0,
MAX(-$B1453, -(-PMT(InterestRate/PaymentsPerYear,LoanTerm*PaymentsPerYear,LoanAmount) + $E1453))), 0), 2)</f>
        <v>0</v>
      </c>
      <c r="G1453" s="5">
        <f t="shared" si="90"/>
        <v>0</v>
      </c>
      <c r="H1453" s="5">
        <f t="shared" si="91"/>
        <v>0</v>
      </c>
    </row>
    <row r="1454" spans="1:8" x14ac:dyDescent="0.2">
      <c r="A1454" s="2">
        <v>1453</v>
      </c>
      <c r="B1454" s="5">
        <f t="shared" si="88"/>
        <v>0</v>
      </c>
      <c r="C1454" s="5">
        <f t="shared" si="89"/>
        <v>0</v>
      </c>
      <c r="D1454" s="5"/>
      <c r="E1454" s="5">
        <f>IF($B1454 &lt;= 0, 0, -ROUND($B1454 * (InterestRate / PaymentsPerYear), 2))</f>
        <v>0</v>
      </c>
      <c r="F1454" s="5">
        <f>ROUND(IFERROR(IF($B1454&lt;=0,0,
MAX(-$B1454, -(-PMT(InterestRate/PaymentsPerYear,LoanTerm*PaymentsPerYear,LoanAmount) + $E1454))), 0), 2)</f>
        <v>0</v>
      </c>
      <c r="G1454" s="5">
        <f t="shared" si="90"/>
        <v>0</v>
      </c>
      <c r="H1454" s="5">
        <f t="shared" si="91"/>
        <v>0</v>
      </c>
    </row>
    <row r="1455" spans="1:8" x14ac:dyDescent="0.2">
      <c r="A1455" s="2">
        <v>1454</v>
      </c>
      <c r="B1455" s="5">
        <f t="shared" si="88"/>
        <v>0</v>
      </c>
      <c r="C1455" s="5">
        <f t="shared" si="89"/>
        <v>0</v>
      </c>
      <c r="D1455" s="5"/>
      <c r="E1455" s="5">
        <f>IF($B1455 &lt;= 0, 0, -ROUND($B1455 * (InterestRate / PaymentsPerYear), 2))</f>
        <v>0</v>
      </c>
      <c r="F1455" s="5">
        <f>ROUND(IFERROR(IF($B1455&lt;=0,0,
MAX(-$B1455, -(-PMT(InterestRate/PaymentsPerYear,LoanTerm*PaymentsPerYear,LoanAmount) + $E1455))), 0), 2)</f>
        <v>0</v>
      </c>
      <c r="G1455" s="5">
        <f t="shared" si="90"/>
        <v>0</v>
      </c>
      <c r="H1455" s="5">
        <f t="shared" si="91"/>
        <v>0</v>
      </c>
    </row>
    <row r="1456" spans="1:8" x14ac:dyDescent="0.2">
      <c r="A1456" s="2">
        <v>1455</v>
      </c>
      <c r="B1456" s="5">
        <f t="shared" si="88"/>
        <v>0</v>
      </c>
      <c r="C1456" s="5">
        <f t="shared" si="89"/>
        <v>0</v>
      </c>
      <c r="D1456" s="5"/>
      <c r="E1456" s="5">
        <f>IF($B1456 &lt;= 0, 0, -ROUND($B1456 * (InterestRate / PaymentsPerYear), 2))</f>
        <v>0</v>
      </c>
      <c r="F1456" s="5">
        <f>ROUND(IFERROR(IF($B1456&lt;=0,0,
MAX(-$B1456, -(-PMT(InterestRate/PaymentsPerYear,LoanTerm*PaymentsPerYear,LoanAmount) + $E1456))), 0), 2)</f>
        <v>0</v>
      </c>
      <c r="G1456" s="5">
        <f t="shared" si="90"/>
        <v>0</v>
      </c>
      <c r="H1456" s="5">
        <f t="shared" si="91"/>
        <v>0</v>
      </c>
    </row>
    <row r="1457" spans="1:8" x14ac:dyDescent="0.2">
      <c r="A1457" s="2">
        <v>1456</v>
      </c>
      <c r="B1457" s="5">
        <f t="shared" si="88"/>
        <v>0</v>
      </c>
      <c r="C1457" s="5">
        <f t="shared" si="89"/>
        <v>0</v>
      </c>
      <c r="D1457" s="5"/>
      <c r="E1457" s="5">
        <f>IF($B1457 &lt;= 0, 0, -ROUND($B1457 * (InterestRate / PaymentsPerYear), 2))</f>
        <v>0</v>
      </c>
      <c r="F1457" s="5">
        <f>ROUND(IFERROR(IF($B1457&lt;=0,0,
MAX(-$B1457, -(-PMT(InterestRate/PaymentsPerYear,LoanTerm*PaymentsPerYear,LoanAmount) + $E1457))), 0), 2)</f>
        <v>0</v>
      </c>
      <c r="G1457" s="5">
        <f t="shared" si="90"/>
        <v>0</v>
      </c>
      <c r="H1457" s="5">
        <f t="shared" si="91"/>
        <v>0</v>
      </c>
    </row>
    <row r="1458" spans="1:8" x14ac:dyDescent="0.2">
      <c r="A1458" s="2">
        <v>1457</v>
      </c>
      <c r="B1458" s="5">
        <f t="shared" si="88"/>
        <v>0</v>
      </c>
      <c r="C1458" s="5">
        <f t="shared" si="89"/>
        <v>0</v>
      </c>
      <c r="D1458" s="5"/>
      <c r="E1458" s="5">
        <f>IF($B1458 &lt;= 0, 0, -ROUND($B1458 * (InterestRate / PaymentsPerYear), 2))</f>
        <v>0</v>
      </c>
      <c r="F1458" s="5">
        <f>ROUND(IFERROR(IF($B1458&lt;=0,0,
MAX(-$B1458, -(-PMT(InterestRate/PaymentsPerYear,LoanTerm*PaymentsPerYear,LoanAmount) + $E1458))), 0), 2)</f>
        <v>0</v>
      </c>
      <c r="G1458" s="5">
        <f t="shared" si="90"/>
        <v>0</v>
      </c>
      <c r="H1458" s="5">
        <f t="shared" si="91"/>
        <v>0</v>
      </c>
    </row>
    <row r="1459" spans="1:8" x14ac:dyDescent="0.2">
      <c r="A1459" s="2">
        <v>1458</v>
      </c>
      <c r="B1459" s="5">
        <f t="shared" si="88"/>
        <v>0</v>
      </c>
      <c r="C1459" s="5">
        <f t="shared" si="89"/>
        <v>0</v>
      </c>
      <c r="D1459" s="5"/>
      <c r="E1459" s="5">
        <f>IF($B1459 &lt;= 0, 0, -ROUND($B1459 * (InterestRate / PaymentsPerYear), 2))</f>
        <v>0</v>
      </c>
      <c r="F1459" s="5">
        <f>ROUND(IFERROR(IF($B1459&lt;=0,0,
MAX(-$B1459, -(-PMT(InterestRate/PaymentsPerYear,LoanTerm*PaymentsPerYear,LoanAmount) + $E1459))), 0), 2)</f>
        <v>0</v>
      </c>
      <c r="G1459" s="5">
        <f t="shared" si="90"/>
        <v>0</v>
      </c>
      <c r="H1459" s="5">
        <f t="shared" si="91"/>
        <v>0</v>
      </c>
    </row>
    <row r="1460" spans="1:8" x14ac:dyDescent="0.2">
      <c r="A1460" s="2">
        <v>1459</v>
      </c>
      <c r="B1460" s="5">
        <f t="shared" si="88"/>
        <v>0</v>
      </c>
      <c r="C1460" s="5">
        <f t="shared" si="89"/>
        <v>0</v>
      </c>
      <c r="D1460" s="5"/>
      <c r="E1460" s="5">
        <f>IF($B1460 &lt;= 0, 0, -ROUND($B1460 * (InterestRate / PaymentsPerYear), 2))</f>
        <v>0</v>
      </c>
      <c r="F1460" s="5">
        <f>ROUND(IFERROR(IF($B1460&lt;=0,0,
MAX(-$B1460, -(-PMT(InterestRate/PaymentsPerYear,LoanTerm*PaymentsPerYear,LoanAmount) + $E1460))), 0), 2)</f>
        <v>0</v>
      </c>
      <c r="G1460" s="5">
        <f t="shared" si="90"/>
        <v>0</v>
      </c>
      <c r="H1460" s="5">
        <f t="shared" si="91"/>
        <v>0</v>
      </c>
    </row>
    <row r="1461" spans="1:8" x14ac:dyDescent="0.2">
      <c r="A1461" s="2">
        <v>1460</v>
      </c>
      <c r="B1461" s="5">
        <f t="shared" si="88"/>
        <v>0</v>
      </c>
      <c r="C1461" s="5">
        <f t="shared" si="89"/>
        <v>0</v>
      </c>
      <c r="D1461" s="5"/>
      <c r="E1461" s="5">
        <f>IF($B1461 &lt;= 0, 0, -ROUND($B1461 * (InterestRate / PaymentsPerYear), 2))</f>
        <v>0</v>
      </c>
      <c r="F1461" s="5">
        <f>ROUND(IFERROR(IF($B1461&lt;=0,0,
MAX(-$B1461, -(-PMT(InterestRate/PaymentsPerYear,LoanTerm*PaymentsPerYear,LoanAmount) + $E1461))), 0), 2)</f>
        <v>0</v>
      </c>
      <c r="G1461" s="5">
        <f t="shared" si="90"/>
        <v>0</v>
      </c>
      <c r="H1461" s="5">
        <f t="shared" si="91"/>
        <v>0</v>
      </c>
    </row>
    <row r="1462" spans="1:8" x14ac:dyDescent="0.2">
      <c r="A1462" s="2">
        <v>1461</v>
      </c>
      <c r="B1462" s="5">
        <f t="shared" si="88"/>
        <v>0</v>
      </c>
      <c r="C1462" s="5">
        <f t="shared" si="89"/>
        <v>0</v>
      </c>
      <c r="D1462" s="5"/>
      <c r="E1462" s="5">
        <f>IF($B1462 &lt;= 0, 0, -ROUND($B1462 * (InterestRate / PaymentsPerYear), 2))</f>
        <v>0</v>
      </c>
      <c r="F1462" s="5">
        <f>ROUND(IFERROR(IF($B1462&lt;=0,0,
MAX(-$B1462, -(-PMT(InterestRate/PaymentsPerYear,LoanTerm*PaymentsPerYear,LoanAmount) + $E1462))), 0), 2)</f>
        <v>0</v>
      </c>
      <c r="G1462" s="5">
        <f t="shared" si="90"/>
        <v>0</v>
      </c>
      <c r="H1462" s="5">
        <f t="shared" si="91"/>
        <v>0</v>
      </c>
    </row>
    <row r="1463" spans="1:8" x14ac:dyDescent="0.2">
      <c r="A1463" s="2">
        <v>1462</v>
      </c>
      <c r="B1463" s="5">
        <f t="shared" si="88"/>
        <v>0</v>
      </c>
      <c r="C1463" s="5">
        <f t="shared" si="89"/>
        <v>0</v>
      </c>
      <c r="D1463" s="5"/>
      <c r="E1463" s="5">
        <f>IF($B1463 &lt;= 0, 0, -ROUND($B1463 * (InterestRate / PaymentsPerYear), 2))</f>
        <v>0</v>
      </c>
      <c r="F1463" s="5">
        <f>ROUND(IFERROR(IF($B1463&lt;=0,0,
MAX(-$B1463, -(-PMT(InterestRate/PaymentsPerYear,LoanTerm*PaymentsPerYear,LoanAmount) + $E1463))), 0), 2)</f>
        <v>0</v>
      </c>
      <c r="G1463" s="5">
        <f t="shared" si="90"/>
        <v>0</v>
      </c>
      <c r="H1463" s="5">
        <f t="shared" si="91"/>
        <v>0</v>
      </c>
    </row>
    <row r="1464" spans="1:8" x14ac:dyDescent="0.2">
      <c r="A1464" s="2">
        <v>1463</v>
      </c>
      <c r="B1464" s="5">
        <f t="shared" si="88"/>
        <v>0</v>
      </c>
      <c r="C1464" s="5">
        <f t="shared" si="89"/>
        <v>0</v>
      </c>
      <c r="D1464" s="5"/>
      <c r="E1464" s="5">
        <f>IF($B1464 &lt;= 0, 0, -ROUND($B1464 * (InterestRate / PaymentsPerYear), 2))</f>
        <v>0</v>
      </c>
      <c r="F1464" s="5">
        <f>ROUND(IFERROR(IF($B1464&lt;=0,0,
MAX(-$B1464, -(-PMT(InterestRate/PaymentsPerYear,LoanTerm*PaymentsPerYear,LoanAmount) + $E1464))), 0), 2)</f>
        <v>0</v>
      </c>
      <c r="G1464" s="5">
        <f t="shared" si="90"/>
        <v>0</v>
      </c>
      <c r="H1464" s="5">
        <f t="shared" si="91"/>
        <v>0</v>
      </c>
    </row>
    <row r="1465" spans="1:8" x14ac:dyDescent="0.2">
      <c r="A1465" s="2">
        <v>1464</v>
      </c>
      <c r="B1465" s="5">
        <f t="shared" si="88"/>
        <v>0</v>
      </c>
      <c r="C1465" s="5">
        <f t="shared" si="89"/>
        <v>0</v>
      </c>
      <c r="D1465" s="5"/>
      <c r="E1465" s="5">
        <f>IF($B1465 &lt;= 0, 0, -ROUND($B1465 * (InterestRate / PaymentsPerYear), 2))</f>
        <v>0</v>
      </c>
      <c r="F1465" s="5">
        <f>ROUND(IFERROR(IF($B1465&lt;=0,0,
MAX(-$B1465, -(-PMT(InterestRate/PaymentsPerYear,LoanTerm*PaymentsPerYear,LoanAmount) + $E1465))), 0), 2)</f>
        <v>0</v>
      </c>
      <c r="G1465" s="5">
        <f t="shared" si="90"/>
        <v>0</v>
      </c>
      <c r="H1465" s="5">
        <f t="shared" si="91"/>
        <v>0</v>
      </c>
    </row>
    <row r="1466" spans="1:8" x14ac:dyDescent="0.2">
      <c r="A1466" s="2">
        <v>1465</v>
      </c>
      <c r="B1466" s="5">
        <f t="shared" si="88"/>
        <v>0</v>
      </c>
      <c r="C1466" s="5">
        <f t="shared" si="89"/>
        <v>0</v>
      </c>
      <c r="D1466" s="5"/>
      <c r="E1466" s="5">
        <f>IF($B1466 &lt;= 0, 0, -ROUND($B1466 * (InterestRate / PaymentsPerYear), 2))</f>
        <v>0</v>
      </c>
      <c r="F1466" s="5">
        <f>ROUND(IFERROR(IF($B1466&lt;=0,0,
MAX(-$B1466, -(-PMT(InterestRate/PaymentsPerYear,LoanTerm*PaymentsPerYear,LoanAmount) + $E1466))), 0), 2)</f>
        <v>0</v>
      </c>
      <c r="G1466" s="5">
        <f t="shared" si="90"/>
        <v>0</v>
      </c>
      <c r="H1466" s="5">
        <f t="shared" si="91"/>
        <v>0</v>
      </c>
    </row>
    <row r="1467" spans="1:8" x14ac:dyDescent="0.2">
      <c r="A1467" s="2">
        <v>1466</v>
      </c>
      <c r="B1467" s="5">
        <f t="shared" si="88"/>
        <v>0</v>
      </c>
      <c r="C1467" s="5">
        <f t="shared" si="89"/>
        <v>0</v>
      </c>
      <c r="D1467" s="5"/>
      <c r="E1467" s="5">
        <f>IF($B1467 &lt;= 0, 0, -ROUND($B1467 * (InterestRate / PaymentsPerYear), 2))</f>
        <v>0</v>
      </c>
      <c r="F1467" s="5">
        <f>ROUND(IFERROR(IF($B1467&lt;=0,0,
MAX(-$B1467, -(-PMT(InterestRate/PaymentsPerYear,LoanTerm*PaymentsPerYear,LoanAmount) + $E1467))), 0), 2)</f>
        <v>0</v>
      </c>
      <c r="G1467" s="5">
        <f t="shared" si="90"/>
        <v>0</v>
      </c>
      <c r="H1467" s="5">
        <f t="shared" si="91"/>
        <v>0</v>
      </c>
    </row>
    <row r="1468" spans="1:8" x14ac:dyDescent="0.2">
      <c r="A1468" s="2">
        <v>1467</v>
      </c>
      <c r="B1468" s="5">
        <f t="shared" si="88"/>
        <v>0</v>
      </c>
      <c r="C1468" s="5">
        <f t="shared" si="89"/>
        <v>0</v>
      </c>
      <c r="D1468" s="5"/>
      <c r="E1468" s="5">
        <f>IF($B1468 &lt;= 0, 0, -ROUND($B1468 * (InterestRate / PaymentsPerYear), 2))</f>
        <v>0</v>
      </c>
      <c r="F1468" s="5">
        <f>ROUND(IFERROR(IF($B1468&lt;=0,0,
MAX(-$B1468, -(-PMT(InterestRate/PaymentsPerYear,LoanTerm*PaymentsPerYear,LoanAmount) + $E1468))), 0), 2)</f>
        <v>0</v>
      </c>
      <c r="G1468" s="5">
        <f t="shared" si="90"/>
        <v>0</v>
      </c>
      <c r="H1468" s="5">
        <f t="shared" si="91"/>
        <v>0</v>
      </c>
    </row>
    <row r="1469" spans="1:8" x14ac:dyDescent="0.2">
      <c r="A1469" s="2">
        <v>1468</v>
      </c>
      <c r="B1469" s="5">
        <f t="shared" si="88"/>
        <v>0</v>
      </c>
      <c r="C1469" s="5">
        <f t="shared" si="89"/>
        <v>0</v>
      </c>
      <c r="D1469" s="5"/>
      <c r="E1469" s="5">
        <f>IF($B1469 &lt;= 0, 0, -ROUND($B1469 * (InterestRate / PaymentsPerYear), 2))</f>
        <v>0</v>
      </c>
      <c r="F1469" s="5">
        <f>ROUND(IFERROR(IF($B1469&lt;=0,0,
MAX(-$B1469, -(-PMT(InterestRate/PaymentsPerYear,LoanTerm*PaymentsPerYear,LoanAmount) + $E1469))), 0), 2)</f>
        <v>0</v>
      </c>
      <c r="G1469" s="5">
        <f t="shared" si="90"/>
        <v>0</v>
      </c>
      <c r="H1469" s="5">
        <f t="shared" si="91"/>
        <v>0</v>
      </c>
    </row>
    <row r="1470" spans="1:8" x14ac:dyDescent="0.2">
      <c r="A1470" s="2">
        <v>1469</v>
      </c>
      <c r="B1470" s="5">
        <f t="shared" si="88"/>
        <v>0</v>
      </c>
      <c r="C1470" s="5">
        <f t="shared" si="89"/>
        <v>0</v>
      </c>
      <c r="D1470" s="5"/>
      <c r="E1470" s="5">
        <f>IF($B1470 &lt;= 0, 0, -ROUND($B1470 * (InterestRate / PaymentsPerYear), 2))</f>
        <v>0</v>
      </c>
      <c r="F1470" s="5">
        <f>ROUND(IFERROR(IF($B1470&lt;=0,0,
MAX(-$B1470, -(-PMT(InterestRate/PaymentsPerYear,LoanTerm*PaymentsPerYear,LoanAmount) + $E1470))), 0), 2)</f>
        <v>0</v>
      </c>
      <c r="G1470" s="5">
        <f t="shared" si="90"/>
        <v>0</v>
      </c>
      <c r="H1470" s="5">
        <f t="shared" si="91"/>
        <v>0</v>
      </c>
    </row>
    <row r="1471" spans="1:8" x14ac:dyDescent="0.2">
      <c r="A1471" s="2">
        <v>1470</v>
      </c>
      <c r="B1471" s="5">
        <f t="shared" si="88"/>
        <v>0</v>
      </c>
      <c r="C1471" s="5">
        <f t="shared" si="89"/>
        <v>0</v>
      </c>
      <c r="D1471" s="5"/>
      <c r="E1471" s="5">
        <f>IF($B1471 &lt;= 0, 0, -ROUND($B1471 * (InterestRate / PaymentsPerYear), 2))</f>
        <v>0</v>
      </c>
      <c r="F1471" s="5">
        <f>ROUND(IFERROR(IF($B1471&lt;=0,0,
MAX(-$B1471, -(-PMT(InterestRate/PaymentsPerYear,LoanTerm*PaymentsPerYear,LoanAmount) + $E1471))), 0), 2)</f>
        <v>0</v>
      </c>
      <c r="G1471" s="5">
        <f t="shared" si="90"/>
        <v>0</v>
      </c>
      <c r="H1471" s="5">
        <f t="shared" si="91"/>
        <v>0</v>
      </c>
    </row>
    <row r="1472" spans="1:8" x14ac:dyDescent="0.2">
      <c r="A1472" s="2">
        <v>1471</v>
      </c>
      <c r="B1472" s="5">
        <f t="shared" si="88"/>
        <v>0</v>
      </c>
      <c r="C1472" s="5">
        <f t="shared" si="89"/>
        <v>0</v>
      </c>
      <c r="D1472" s="5"/>
      <c r="E1472" s="5">
        <f>IF($B1472 &lt;= 0, 0, -ROUND($B1472 * (InterestRate / PaymentsPerYear), 2))</f>
        <v>0</v>
      </c>
      <c r="F1472" s="5">
        <f>ROUND(IFERROR(IF($B1472&lt;=0,0,
MAX(-$B1472, -(-PMT(InterestRate/PaymentsPerYear,LoanTerm*PaymentsPerYear,LoanAmount) + $E1472))), 0), 2)</f>
        <v>0</v>
      </c>
      <c r="G1472" s="5">
        <f t="shared" si="90"/>
        <v>0</v>
      </c>
      <c r="H1472" s="5">
        <f t="shared" si="91"/>
        <v>0</v>
      </c>
    </row>
    <row r="1473" spans="1:8" x14ac:dyDescent="0.2">
      <c r="A1473" s="2">
        <v>1472</v>
      </c>
      <c r="B1473" s="5">
        <f t="shared" si="88"/>
        <v>0</v>
      </c>
      <c r="C1473" s="5">
        <f t="shared" si="89"/>
        <v>0</v>
      </c>
      <c r="D1473" s="5"/>
      <c r="E1473" s="5">
        <f>IF($B1473 &lt;= 0, 0, -ROUND($B1473 * (InterestRate / PaymentsPerYear), 2))</f>
        <v>0</v>
      </c>
      <c r="F1473" s="5">
        <f>ROUND(IFERROR(IF($B1473&lt;=0,0,
MAX(-$B1473, -(-PMT(InterestRate/PaymentsPerYear,LoanTerm*PaymentsPerYear,LoanAmount) + $E1473))), 0), 2)</f>
        <v>0</v>
      </c>
      <c r="G1473" s="5">
        <f t="shared" si="90"/>
        <v>0</v>
      </c>
      <c r="H1473" s="5">
        <f t="shared" si="91"/>
        <v>0</v>
      </c>
    </row>
    <row r="1474" spans="1:8" x14ac:dyDescent="0.2">
      <c r="A1474" s="2">
        <v>1473</v>
      </c>
      <c r="B1474" s="5">
        <f t="shared" si="88"/>
        <v>0</v>
      </c>
      <c r="C1474" s="5">
        <f t="shared" si="89"/>
        <v>0</v>
      </c>
      <c r="D1474" s="5"/>
      <c r="E1474" s="5">
        <f>IF($B1474 &lt;= 0, 0, -ROUND($B1474 * (InterestRate / PaymentsPerYear), 2))</f>
        <v>0</v>
      </c>
      <c r="F1474" s="5">
        <f>ROUND(IFERROR(IF($B1474&lt;=0,0,
MAX(-$B1474, -(-PMT(InterestRate/PaymentsPerYear,LoanTerm*PaymentsPerYear,LoanAmount) + $E1474))), 0), 2)</f>
        <v>0</v>
      </c>
      <c r="G1474" s="5">
        <f t="shared" si="90"/>
        <v>0</v>
      </c>
      <c r="H1474" s="5">
        <f t="shared" si="91"/>
        <v>0</v>
      </c>
    </row>
    <row r="1475" spans="1:8" x14ac:dyDescent="0.2">
      <c r="A1475" s="2">
        <v>1474</v>
      </c>
      <c r="B1475" s="5">
        <f t="shared" si="88"/>
        <v>0</v>
      </c>
      <c r="C1475" s="5">
        <f t="shared" si="89"/>
        <v>0</v>
      </c>
      <c r="D1475" s="5"/>
      <c r="E1475" s="5">
        <f>IF($B1475 &lt;= 0, 0, -ROUND($B1475 * (InterestRate / PaymentsPerYear), 2))</f>
        <v>0</v>
      </c>
      <c r="F1475" s="5">
        <f>ROUND(IFERROR(IF($B1475&lt;=0,0,
MAX(-$B1475, -(-PMT(InterestRate/PaymentsPerYear,LoanTerm*PaymentsPerYear,LoanAmount) + $E1475))), 0), 2)</f>
        <v>0</v>
      </c>
      <c r="G1475" s="5">
        <f t="shared" si="90"/>
        <v>0</v>
      </c>
      <c r="H1475" s="5">
        <f t="shared" si="91"/>
        <v>0</v>
      </c>
    </row>
    <row r="1476" spans="1:8" x14ac:dyDescent="0.2">
      <c r="A1476" s="2">
        <v>1475</v>
      </c>
      <c r="B1476" s="5">
        <f t="shared" ref="B1476:B1539" si="92">ROUND(IF($H1475 &gt;= 0, MAX($H1475, $F1475), 0), 2)</f>
        <v>0</v>
      </c>
      <c r="C1476" s="5">
        <f t="shared" ref="C1476:C1539" si="93">IF($B1476 &lt;= 0, 0, $E1476+$F1476)</f>
        <v>0</v>
      </c>
      <c r="D1476" s="5"/>
      <c r="E1476" s="5">
        <f>IF($B1476 &lt;= 0, 0, -ROUND($B1476 * (InterestRate / PaymentsPerYear), 2))</f>
        <v>0</v>
      </c>
      <c r="F1476" s="5">
        <f>ROUND(IFERROR(IF($B1476&lt;=0,0,
MAX(-$B1476, -(-PMT(InterestRate/PaymentsPerYear,LoanTerm*PaymentsPerYear,LoanAmount) + $E1476))), 0), 2)</f>
        <v>0</v>
      </c>
      <c r="G1476" s="5">
        <f t="shared" ref="G1476:G1539" si="94">$F1476</f>
        <v>0</v>
      </c>
      <c r="H1476" s="5">
        <f t="shared" ref="H1476:H1539" si="95">ROUND(IF($B1476 &lt;= 0, 0,MAX(0, $B1476 + $G1476)), 2)</f>
        <v>0</v>
      </c>
    </row>
    <row r="1477" spans="1:8" x14ac:dyDescent="0.2">
      <c r="A1477" s="2">
        <v>1476</v>
      </c>
      <c r="B1477" s="5">
        <f t="shared" si="92"/>
        <v>0</v>
      </c>
      <c r="C1477" s="5">
        <f t="shared" si="93"/>
        <v>0</v>
      </c>
      <c r="D1477" s="5"/>
      <c r="E1477" s="5">
        <f>IF($B1477 &lt;= 0, 0, -ROUND($B1477 * (InterestRate / PaymentsPerYear), 2))</f>
        <v>0</v>
      </c>
      <c r="F1477" s="5">
        <f>ROUND(IFERROR(IF($B1477&lt;=0,0,
MAX(-$B1477, -(-PMT(InterestRate/PaymentsPerYear,LoanTerm*PaymentsPerYear,LoanAmount) + $E1477))), 0), 2)</f>
        <v>0</v>
      </c>
      <c r="G1477" s="5">
        <f t="shared" si="94"/>
        <v>0</v>
      </c>
      <c r="H1477" s="5">
        <f t="shared" si="95"/>
        <v>0</v>
      </c>
    </row>
    <row r="1478" spans="1:8" x14ac:dyDescent="0.2">
      <c r="A1478" s="2">
        <v>1477</v>
      </c>
      <c r="B1478" s="5">
        <f t="shared" si="92"/>
        <v>0</v>
      </c>
      <c r="C1478" s="5">
        <f t="shared" si="93"/>
        <v>0</v>
      </c>
      <c r="D1478" s="5"/>
      <c r="E1478" s="5">
        <f>IF($B1478 &lt;= 0, 0, -ROUND($B1478 * (InterestRate / PaymentsPerYear), 2))</f>
        <v>0</v>
      </c>
      <c r="F1478" s="5">
        <f>ROUND(IFERROR(IF($B1478&lt;=0,0,
MAX(-$B1478, -(-PMT(InterestRate/PaymentsPerYear,LoanTerm*PaymentsPerYear,LoanAmount) + $E1478))), 0), 2)</f>
        <v>0</v>
      </c>
      <c r="G1478" s="5">
        <f t="shared" si="94"/>
        <v>0</v>
      </c>
      <c r="H1478" s="5">
        <f t="shared" si="95"/>
        <v>0</v>
      </c>
    </row>
    <row r="1479" spans="1:8" x14ac:dyDescent="0.2">
      <c r="A1479" s="2">
        <v>1478</v>
      </c>
      <c r="B1479" s="5">
        <f t="shared" si="92"/>
        <v>0</v>
      </c>
      <c r="C1479" s="5">
        <f t="shared" si="93"/>
        <v>0</v>
      </c>
      <c r="D1479" s="5"/>
      <c r="E1479" s="5">
        <f>IF($B1479 &lt;= 0, 0, -ROUND($B1479 * (InterestRate / PaymentsPerYear), 2))</f>
        <v>0</v>
      </c>
      <c r="F1479" s="5">
        <f>ROUND(IFERROR(IF($B1479&lt;=0,0,
MAX(-$B1479, -(-PMT(InterestRate/PaymentsPerYear,LoanTerm*PaymentsPerYear,LoanAmount) + $E1479))), 0), 2)</f>
        <v>0</v>
      </c>
      <c r="G1479" s="5">
        <f t="shared" si="94"/>
        <v>0</v>
      </c>
      <c r="H1479" s="5">
        <f t="shared" si="95"/>
        <v>0</v>
      </c>
    </row>
    <row r="1480" spans="1:8" x14ac:dyDescent="0.2">
      <c r="A1480" s="2">
        <v>1479</v>
      </c>
      <c r="B1480" s="5">
        <f t="shared" si="92"/>
        <v>0</v>
      </c>
      <c r="C1480" s="5">
        <f t="shared" si="93"/>
        <v>0</v>
      </c>
      <c r="D1480" s="5"/>
      <c r="E1480" s="5">
        <f>IF($B1480 &lt;= 0, 0, -ROUND($B1480 * (InterestRate / PaymentsPerYear), 2))</f>
        <v>0</v>
      </c>
      <c r="F1480" s="5">
        <f>ROUND(IFERROR(IF($B1480&lt;=0,0,
MAX(-$B1480, -(-PMT(InterestRate/PaymentsPerYear,LoanTerm*PaymentsPerYear,LoanAmount) + $E1480))), 0), 2)</f>
        <v>0</v>
      </c>
      <c r="G1480" s="5">
        <f t="shared" si="94"/>
        <v>0</v>
      </c>
      <c r="H1480" s="5">
        <f t="shared" si="95"/>
        <v>0</v>
      </c>
    </row>
    <row r="1481" spans="1:8" x14ac:dyDescent="0.2">
      <c r="A1481" s="2">
        <v>1480</v>
      </c>
      <c r="B1481" s="5">
        <f t="shared" si="92"/>
        <v>0</v>
      </c>
      <c r="C1481" s="5">
        <f t="shared" si="93"/>
        <v>0</v>
      </c>
      <c r="D1481" s="5"/>
      <c r="E1481" s="5">
        <f>IF($B1481 &lt;= 0, 0, -ROUND($B1481 * (InterestRate / PaymentsPerYear), 2))</f>
        <v>0</v>
      </c>
      <c r="F1481" s="5">
        <f>ROUND(IFERROR(IF($B1481&lt;=0,0,
MAX(-$B1481, -(-PMT(InterestRate/PaymentsPerYear,LoanTerm*PaymentsPerYear,LoanAmount) + $E1481))), 0), 2)</f>
        <v>0</v>
      </c>
      <c r="G1481" s="5">
        <f t="shared" si="94"/>
        <v>0</v>
      </c>
      <c r="H1481" s="5">
        <f t="shared" si="95"/>
        <v>0</v>
      </c>
    </row>
    <row r="1482" spans="1:8" x14ac:dyDescent="0.2">
      <c r="A1482" s="2">
        <v>1481</v>
      </c>
      <c r="B1482" s="5">
        <f t="shared" si="92"/>
        <v>0</v>
      </c>
      <c r="C1482" s="5">
        <f t="shared" si="93"/>
        <v>0</v>
      </c>
      <c r="D1482" s="5"/>
      <c r="E1482" s="5">
        <f>IF($B1482 &lt;= 0, 0, -ROUND($B1482 * (InterestRate / PaymentsPerYear), 2))</f>
        <v>0</v>
      </c>
      <c r="F1482" s="5">
        <f>ROUND(IFERROR(IF($B1482&lt;=0,0,
MAX(-$B1482, -(-PMT(InterestRate/PaymentsPerYear,LoanTerm*PaymentsPerYear,LoanAmount) + $E1482))), 0), 2)</f>
        <v>0</v>
      </c>
      <c r="G1482" s="5">
        <f t="shared" si="94"/>
        <v>0</v>
      </c>
      <c r="H1482" s="5">
        <f t="shared" si="95"/>
        <v>0</v>
      </c>
    </row>
    <row r="1483" spans="1:8" x14ac:dyDescent="0.2">
      <c r="A1483" s="2">
        <v>1482</v>
      </c>
      <c r="B1483" s="5">
        <f t="shared" si="92"/>
        <v>0</v>
      </c>
      <c r="C1483" s="5">
        <f t="shared" si="93"/>
        <v>0</v>
      </c>
      <c r="D1483" s="5"/>
      <c r="E1483" s="5">
        <f>IF($B1483 &lt;= 0, 0, -ROUND($B1483 * (InterestRate / PaymentsPerYear), 2))</f>
        <v>0</v>
      </c>
      <c r="F1483" s="5">
        <f>ROUND(IFERROR(IF($B1483&lt;=0,0,
MAX(-$B1483, -(-PMT(InterestRate/PaymentsPerYear,LoanTerm*PaymentsPerYear,LoanAmount) + $E1483))), 0), 2)</f>
        <v>0</v>
      </c>
      <c r="G1483" s="5">
        <f t="shared" si="94"/>
        <v>0</v>
      </c>
      <c r="H1483" s="5">
        <f t="shared" si="95"/>
        <v>0</v>
      </c>
    </row>
    <row r="1484" spans="1:8" x14ac:dyDescent="0.2">
      <c r="A1484" s="2">
        <v>1483</v>
      </c>
      <c r="B1484" s="5">
        <f t="shared" si="92"/>
        <v>0</v>
      </c>
      <c r="C1484" s="5">
        <f t="shared" si="93"/>
        <v>0</v>
      </c>
      <c r="D1484" s="5"/>
      <c r="E1484" s="5">
        <f>IF($B1484 &lt;= 0, 0, -ROUND($B1484 * (InterestRate / PaymentsPerYear), 2))</f>
        <v>0</v>
      </c>
      <c r="F1484" s="5">
        <f>ROUND(IFERROR(IF($B1484&lt;=0,0,
MAX(-$B1484, -(-PMT(InterestRate/PaymentsPerYear,LoanTerm*PaymentsPerYear,LoanAmount) + $E1484))), 0), 2)</f>
        <v>0</v>
      </c>
      <c r="G1484" s="5">
        <f t="shared" si="94"/>
        <v>0</v>
      </c>
      <c r="H1484" s="5">
        <f t="shared" si="95"/>
        <v>0</v>
      </c>
    </row>
    <row r="1485" spans="1:8" x14ac:dyDescent="0.2">
      <c r="A1485" s="2">
        <v>1484</v>
      </c>
      <c r="B1485" s="5">
        <f t="shared" si="92"/>
        <v>0</v>
      </c>
      <c r="C1485" s="5">
        <f t="shared" si="93"/>
        <v>0</v>
      </c>
      <c r="D1485" s="5"/>
      <c r="E1485" s="5">
        <f>IF($B1485 &lt;= 0, 0, -ROUND($B1485 * (InterestRate / PaymentsPerYear), 2))</f>
        <v>0</v>
      </c>
      <c r="F1485" s="5">
        <f>ROUND(IFERROR(IF($B1485&lt;=0,0,
MAX(-$B1485, -(-PMT(InterestRate/PaymentsPerYear,LoanTerm*PaymentsPerYear,LoanAmount) + $E1485))), 0), 2)</f>
        <v>0</v>
      </c>
      <c r="G1485" s="5">
        <f t="shared" si="94"/>
        <v>0</v>
      </c>
      <c r="H1485" s="5">
        <f t="shared" si="95"/>
        <v>0</v>
      </c>
    </row>
    <row r="1486" spans="1:8" x14ac:dyDescent="0.2">
      <c r="A1486" s="2">
        <v>1485</v>
      </c>
      <c r="B1486" s="5">
        <f t="shared" si="92"/>
        <v>0</v>
      </c>
      <c r="C1486" s="5">
        <f t="shared" si="93"/>
        <v>0</v>
      </c>
      <c r="D1486" s="5"/>
      <c r="E1486" s="5">
        <f>IF($B1486 &lt;= 0, 0, -ROUND($B1486 * (InterestRate / PaymentsPerYear), 2))</f>
        <v>0</v>
      </c>
      <c r="F1486" s="5">
        <f>ROUND(IFERROR(IF($B1486&lt;=0,0,
MAX(-$B1486, -(-PMT(InterestRate/PaymentsPerYear,LoanTerm*PaymentsPerYear,LoanAmount) + $E1486))), 0), 2)</f>
        <v>0</v>
      </c>
      <c r="G1486" s="5">
        <f t="shared" si="94"/>
        <v>0</v>
      </c>
      <c r="H1486" s="5">
        <f t="shared" si="95"/>
        <v>0</v>
      </c>
    </row>
    <row r="1487" spans="1:8" x14ac:dyDescent="0.2">
      <c r="A1487" s="2">
        <v>1486</v>
      </c>
      <c r="B1487" s="5">
        <f t="shared" si="92"/>
        <v>0</v>
      </c>
      <c r="C1487" s="5">
        <f t="shared" si="93"/>
        <v>0</v>
      </c>
      <c r="D1487" s="5"/>
      <c r="E1487" s="5">
        <f>IF($B1487 &lt;= 0, 0, -ROUND($B1487 * (InterestRate / PaymentsPerYear), 2))</f>
        <v>0</v>
      </c>
      <c r="F1487" s="5">
        <f>ROUND(IFERROR(IF($B1487&lt;=0,0,
MAX(-$B1487, -(-PMT(InterestRate/PaymentsPerYear,LoanTerm*PaymentsPerYear,LoanAmount) + $E1487))), 0), 2)</f>
        <v>0</v>
      </c>
      <c r="G1487" s="5">
        <f t="shared" si="94"/>
        <v>0</v>
      </c>
      <c r="H1487" s="5">
        <f t="shared" si="95"/>
        <v>0</v>
      </c>
    </row>
    <row r="1488" spans="1:8" x14ac:dyDescent="0.2">
      <c r="A1488" s="2">
        <v>1487</v>
      </c>
      <c r="B1488" s="5">
        <f t="shared" si="92"/>
        <v>0</v>
      </c>
      <c r="C1488" s="5">
        <f t="shared" si="93"/>
        <v>0</v>
      </c>
      <c r="D1488" s="5"/>
      <c r="E1488" s="5">
        <f>IF($B1488 &lt;= 0, 0, -ROUND($B1488 * (InterestRate / PaymentsPerYear), 2))</f>
        <v>0</v>
      </c>
      <c r="F1488" s="5">
        <f>ROUND(IFERROR(IF($B1488&lt;=0,0,
MAX(-$B1488, -(-PMT(InterestRate/PaymentsPerYear,LoanTerm*PaymentsPerYear,LoanAmount) + $E1488))), 0), 2)</f>
        <v>0</v>
      </c>
      <c r="G1488" s="5">
        <f t="shared" si="94"/>
        <v>0</v>
      </c>
      <c r="H1488" s="5">
        <f t="shared" si="95"/>
        <v>0</v>
      </c>
    </row>
    <row r="1489" spans="1:8" x14ac:dyDescent="0.2">
      <c r="A1489" s="2">
        <v>1488</v>
      </c>
      <c r="B1489" s="5">
        <f t="shared" si="92"/>
        <v>0</v>
      </c>
      <c r="C1489" s="5">
        <f t="shared" si="93"/>
        <v>0</v>
      </c>
      <c r="D1489" s="5"/>
      <c r="E1489" s="5">
        <f>IF($B1489 &lt;= 0, 0, -ROUND($B1489 * (InterestRate / PaymentsPerYear), 2))</f>
        <v>0</v>
      </c>
      <c r="F1489" s="5">
        <f>ROUND(IFERROR(IF($B1489&lt;=0,0,
MAX(-$B1489, -(-PMT(InterestRate/PaymentsPerYear,LoanTerm*PaymentsPerYear,LoanAmount) + $E1489))), 0), 2)</f>
        <v>0</v>
      </c>
      <c r="G1489" s="5">
        <f t="shared" si="94"/>
        <v>0</v>
      </c>
      <c r="H1489" s="5">
        <f t="shared" si="95"/>
        <v>0</v>
      </c>
    </row>
    <row r="1490" spans="1:8" x14ac:dyDescent="0.2">
      <c r="A1490" s="2">
        <v>1489</v>
      </c>
      <c r="B1490" s="5">
        <f t="shared" si="92"/>
        <v>0</v>
      </c>
      <c r="C1490" s="5">
        <f t="shared" si="93"/>
        <v>0</v>
      </c>
      <c r="D1490" s="5"/>
      <c r="E1490" s="5">
        <f>IF($B1490 &lt;= 0, 0, -ROUND($B1490 * (InterestRate / PaymentsPerYear), 2))</f>
        <v>0</v>
      </c>
      <c r="F1490" s="5">
        <f>ROUND(IFERROR(IF($B1490&lt;=0,0,
MAX(-$B1490, -(-PMT(InterestRate/PaymentsPerYear,LoanTerm*PaymentsPerYear,LoanAmount) + $E1490))), 0), 2)</f>
        <v>0</v>
      </c>
      <c r="G1490" s="5">
        <f t="shared" si="94"/>
        <v>0</v>
      </c>
      <c r="H1490" s="5">
        <f t="shared" si="95"/>
        <v>0</v>
      </c>
    </row>
    <row r="1491" spans="1:8" x14ac:dyDescent="0.2">
      <c r="A1491" s="2">
        <v>1490</v>
      </c>
      <c r="B1491" s="5">
        <f t="shared" si="92"/>
        <v>0</v>
      </c>
      <c r="C1491" s="5">
        <f t="shared" si="93"/>
        <v>0</v>
      </c>
      <c r="D1491" s="5"/>
      <c r="E1491" s="5">
        <f>IF($B1491 &lt;= 0, 0, -ROUND($B1491 * (InterestRate / PaymentsPerYear), 2))</f>
        <v>0</v>
      </c>
      <c r="F1491" s="5">
        <f>ROUND(IFERROR(IF($B1491&lt;=0,0,
MAX(-$B1491, -(-PMT(InterestRate/PaymentsPerYear,LoanTerm*PaymentsPerYear,LoanAmount) + $E1491))), 0), 2)</f>
        <v>0</v>
      </c>
      <c r="G1491" s="5">
        <f t="shared" si="94"/>
        <v>0</v>
      </c>
      <c r="H1491" s="5">
        <f t="shared" si="95"/>
        <v>0</v>
      </c>
    </row>
    <row r="1492" spans="1:8" x14ac:dyDescent="0.2">
      <c r="A1492" s="2">
        <v>1491</v>
      </c>
      <c r="B1492" s="5">
        <f t="shared" si="92"/>
        <v>0</v>
      </c>
      <c r="C1492" s="5">
        <f t="shared" si="93"/>
        <v>0</v>
      </c>
      <c r="D1492" s="5"/>
      <c r="E1492" s="5">
        <f>IF($B1492 &lt;= 0, 0, -ROUND($B1492 * (InterestRate / PaymentsPerYear), 2))</f>
        <v>0</v>
      </c>
      <c r="F1492" s="5">
        <f>ROUND(IFERROR(IF($B1492&lt;=0,0,
MAX(-$B1492, -(-PMT(InterestRate/PaymentsPerYear,LoanTerm*PaymentsPerYear,LoanAmount) + $E1492))), 0), 2)</f>
        <v>0</v>
      </c>
      <c r="G1492" s="5">
        <f t="shared" si="94"/>
        <v>0</v>
      </c>
      <c r="H1492" s="5">
        <f t="shared" si="95"/>
        <v>0</v>
      </c>
    </row>
    <row r="1493" spans="1:8" x14ac:dyDescent="0.2">
      <c r="A1493" s="2">
        <v>1492</v>
      </c>
      <c r="B1493" s="5">
        <f t="shared" si="92"/>
        <v>0</v>
      </c>
      <c r="C1493" s="5">
        <f t="shared" si="93"/>
        <v>0</v>
      </c>
      <c r="D1493" s="5"/>
      <c r="E1493" s="5">
        <f>IF($B1493 &lt;= 0, 0, -ROUND($B1493 * (InterestRate / PaymentsPerYear), 2))</f>
        <v>0</v>
      </c>
      <c r="F1493" s="5">
        <f>ROUND(IFERROR(IF($B1493&lt;=0,0,
MAX(-$B1493, -(-PMT(InterestRate/PaymentsPerYear,LoanTerm*PaymentsPerYear,LoanAmount) + $E1493))), 0), 2)</f>
        <v>0</v>
      </c>
      <c r="G1493" s="5">
        <f t="shared" si="94"/>
        <v>0</v>
      </c>
      <c r="H1493" s="5">
        <f t="shared" si="95"/>
        <v>0</v>
      </c>
    </row>
    <row r="1494" spans="1:8" x14ac:dyDescent="0.2">
      <c r="A1494" s="2">
        <v>1493</v>
      </c>
      <c r="B1494" s="5">
        <f t="shared" si="92"/>
        <v>0</v>
      </c>
      <c r="C1494" s="5">
        <f t="shared" si="93"/>
        <v>0</v>
      </c>
      <c r="D1494" s="5"/>
      <c r="E1494" s="5">
        <f>IF($B1494 &lt;= 0, 0, -ROUND($B1494 * (InterestRate / PaymentsPerYear), 2))</f>
        <v>0</v>
      </c>
      <c r="F1494" s="5">
        <f>ROUND(IFERROR(IF($B1494&lt;=0,0,
MAX(-$B1494, -(-PMT(InterestRate/PaymentsPerYear,LoanTerm*PaymentsPerYear,LoanAmount) + $E1494))), 0), 2)</f>
        <v>0</v>
      </c>
      <c r="G1494" s="5">
        <f t="shared" si="94"/>
        <v>0</v>
      </c>
      <c r="H1494" s="5">
        <f t="shared" si="95"/>
        <v>0</v>
      </c>
    </row>
    <row r="1495" spans="1:8" x14ac:dyDescent="0.2">
      <c r="A1495" s="2">
        <v>1494</v>
      </c>
      <c r="B1495" s="5">
        <f t="shared" si="92"/>
        <v>0</v>
      </c>
      <c r="C1495" s="5">
        <f t="shared" si="93"/>
        <v>0</v>
      </c>
      <c r="D1495" s="5"/>
      <c r="E1495" s="5">
        <f>IF($B1495 &lt;= 0, 0, -ROUND($B1495 * (InterestRate / PaymentsPerYear), 2))</f>
        <v>0</v>
      </c>
      <c r="F1495" s="5">
        <f>ROUND(IFERROR(IF($B1495&lt;=0,0,
MAX(-$B1495, -(-PMT(InterestRate/PaymentsPerYear,LoanTerm*PaymentsPerYear,LoanAmount) + $E1495))), 0), 2)</f>
        <v>0</v>
      </c>
      <c r="G1495" s="5">
        <f t="shared" si="94"/>
        <v>0</v>
      </c>
      <c r="H1495" s="5">
        <f t="shared" si="95"/>
        <v>0</v>
      </c>
    </row>
    <row r="1496" spans="1:8" x14ac:dyDescent="0.2">
      <c r="A1496" s="2">
        <v>1495</v>
      </c>
      <c r="B1496" s="5">
        <f t="shared" si="92"/>
        <v>0</v>
      </c>
      <c r="C1496" s="5">
        <f t="shared" si="93"/>
        <v>0</v>
      </c>
      <c r="D1496" s="5"/>
      <c r="E1496" s="5">
        <f>IF($B1496 &lt;= 0, 0, -ROUND($B1496 * (InterestRate / PaymentsPerYear), 2))</f>
        <v>0</v>
      </c>
      <c r="F1496" s="5">
        <f>ROUND(IFERROR(IF($B1496&lt;=0,0,
MAX(-$B1496, -(-PMT(InterestRate/PaymentsPerYear,LoanTerm*PaymentsPerYear,LoanAmount) + $E1496))), 0), 2)</f>
        <v>0</v>
      </c>
      <c r="G1496" s="5">
        <f t="shared" si="94"/>
        <v>0</v>
      </c>
      <c r="H1496" s="5">
        <f t="shared" si="95"/>
        <v>0</v>
      </c>
    </row>
    <row r="1497" spans="1:8" x14ac:dyDescent="0.2">
      <c r="A1497" s="2">
        <v>1496</v>
      </c>
      <c r="B1497" s="5">
        <f t="shared" si="92"/>
        <v>0</v>
      </c>
      <c r="C1497" s="5">
        <f t="shared" si="93"/>
        <v>0</v>
      </c>
      <c r="D1497" s="5"/>
      <c r="E1497" s="5">
        <f>IF($B1497 &lt;= 0, 0, -ROUND($B1497 * (InterestRate / PaymentsPerYear), 2))</f>
        <v>0</v>
      </c>
      <c r="F1497" s="5">
        <f>ROUND(IFERROR(IF($B1497&lt;=0,0,
MAX(-$B1497, -(-PMT(InterestRate/PaymentsPerYear,LoanTerm*PaymentsPerYear,LoanAmount) + $E1497))), 0), 2)</f>
        <v>0</v>
      </c>
      <c r="G1497" s="5">
        <f t="shared" si="94"/>
        <v>0</v>
      </c>
      <c r="H1497" s="5">
        <f t="shared" si="95"/>
        <v>0</v>
      </c>
    </row>
    <row r="1498" spans="1:8" x14ac:dyDescent="0.2">
      <c r="A1498" s="2">
        <v>1497</v>
      </c>
      <c r="B1498" s="5">
        <f t="shared" si="92"/>
        <v>0</v>
      </c>
      <c r="C1498" s="5">
        <f t="shared" si="93"/>
        <v>0</v>
      </c>
      <c r="D1498" s="5"/>
      <c r="E1498" s="5">
        <f>IF($B1498 &lt;= 0, 0, -ROUND($B1498 * (InterestRate / PaymentsPerYear), 2))</f>
        <v>0</v>
      </c>
      <c r="F1498" s="5">
        <f>ROUND(IFERROR(IF($B1498&lt;=0,0,
MAX(-$B1498, -(-PMT(InterestRate/PaymentsPerYear,LoanTerm*PaymentsPerYear,LoanAmount) + $E1498))), 0), 2)</f>
        <v>0</v>
      </c>
      <c r="G1498" s="5">
        <f t="shared" si="94"/>
        <v>0</v>
      </c>
      <c r="H1498" s="5">
        <f t="shared" si="95"/>
        <v>0</v>
      </c>
    </row>
    <row r="1499" spans="1:8" x14ac:dyDescent="0.2">
      <c r="A1499" s="2">
        <v>1498</v>
      </c>
      <c r="B1499" s="5">
        <f t="shared" si="92"/>
        <v>0</v>
      </c>
      <c r="C1499" s="5">
        <f t="shared" si="93"/>
        <v>0</v>
      </c>
      <c r="D1499" s="5"/>
      <c r="E1499" s="5">
        <f>IF($B1499 &lt;= 0, 0, -ROUND($B1499 * (InterestRate / PaymentsPerYear), 2))</f>
        <v>0</v>
      </c>
      <c r="F1499" s="5">
        <f>ROUND(IFERROR(IF($B1499&lt;=0,0,
MAX(-$B1499, -(-PMT(InterestRate/PaymentsPerYear,LoanTerm*PaymentsPerYear,LoanAmount) + $E1499))), 0), 2)</f>
        <v>0</v>
      </c>
      <c r="G1499" s="5">
        <f t="shared" si="94"/>
        <v>0</v>
      </c>
      <c r="H1499" s="5">
        <f t="shared" si="95"/>
        <v>0</v>
      </c>
    </row>
    <row r="1500" spans="1:8" x14ac:dyDescent="0.2">
      <c r="A1500" s="2">
        <v>1499</v>
      </c>
      <c r="B1500" s="5">
        <f t="shared" si="92"/>
        <v>0</v>
      </c>
      <c r="C1500" s="5">
        <f t="shared" si="93"/>
        <v>0</v>
      </c>
      <c r="D1500" s="5"/>
      <c r="E1500" s="5">
        <f>IF($B1500 &lt;= 0, 0, -ROUND($B1500 * (InterestRate / PaymentsPerYear), 2))</f>
        <v>0</v>
      </c>
      <c r="F1500" s="5">
        <f>ROUND(IFERROR(IF($B1500&lt;=0,0,
MAX(-$B1500, -(-PMT(InterestRate/PaymentsPerYear,LoanTerm*PaymentsPerYear,LoanAmount) + $E1500))), 0), 2)</f>
        <v>0</v>
      </c>
      <c r="G1500" s="5">
        <f t="shared" si="94"/>
        <v>0</v>
      </c>
      <c r="H1500" s="5">
        <f t="shared" si="95"/>
        <v>0</v>
      </c>
    </row>
    <row r="1501" spans="1:8" x14ac:dyDescent="0.2">
      <c r="A1501" s="2">
        <v>1500</v>
      </c>
      <c r="B1501" s="5">
        <f t="shared" si="92"/>
        <v>0</v>
      </c>
      <c r="C1501" s="5">
        <f t="shared" si="93"/>
        <v>0</v>
      </c>
      <c r="D1501" s="5"/>
      <c r="E1501" s="5">
        <f>IF($B1501 &lt;= 0, 0, -ROUND($B1501 * (InterestRate / PaymentsPerYear), 2))</f>
        <v>0</v>
      </c>
      <c r="F1501" s="5">
        <f>ROUND(IFERROR(IF($B1501&lt;=0,0,
MAX(-$B1501, -(-PMT(InterestRate/PaymentsPerYear,LoanTerm*PaymentsPerYear,LoanAmount) + $E1501))), 0), 2)</f>
        <v>0</v>
      </c>
      <c r="G1501" s="5">
        <f t="shared" si="94"/>
        <v>0</v>
      </c>
      <c r="H1501" s="5">
        <f t="shared" si="95"/>
        <v>0</v>
      </c>
    </row>
    <row r="1502" spans="1:8" x14ac:dyDescent="0.2">
      <c r="A1502" s="2">
        <v>1501</v>
      </c>
      <c r="B1502" s="5">
        <f t="shared" si="92"/>
        <v>0</v>
      </c>
      <c r="C1502" s="5">
        <f t="shared" si="93"/>
        <v>0</v>
      </c>
      <c r="D1502" s="5"/>
      <c r="E1502" s="5">
        <f>IF($B1502 &lt;= 0, 0, -ROUND($B1502 * (InterestRate / PaymentsPerYear), 2))</f>
        <v>0</v>
      </c>
      <c r="F1502" s="5">
        <f>ROUND(IFERROR(IF($B1502&lt;=0,0,
MAX(-$B1502, -(-PMT(InterestRate/PaymentsPerYear,LoanTerm*PaymentsPerYear,LoanAmount) + $E1502))), 0), 2)</f>
        <v>0</v>
      </c>
      <c r="G1502" s="5">
        <f t="shared" si="94"/>
        <v>0</v>
      </c>
      <c r="H1502" s="5">
        <f t="shared" si="95"/>
        <v>0</v>
      </c>
    </row>
    <row r="1503" spans="1:8" x14ac:dyDescent="0.2">
      <c r="A1503" s="2">
        <v>1502</v>
      </c>
      <c r="B1503" s="5">
        <f t="shared" si="92"/>
        <v>0</v>
      </c>
      <c r="C1503" s="5">
        <f t="shared" si="93"/>
        <v>0</v>
      </c>
      <c r="D1503" s="5"/>
      <c r="E1503" s="5">
        <f>IF($B1503 &lt;= 0, 0, -ROUND($B1503 * (InterestRate / PaymentsPerYear), 2))</f>
        <v>0</v>
      </c>
      <c r="F1503" s="5">
        <f>ROUND(IFERROR(IF($B1503&lt;=0,0,
MAX(-$B1503, -(-PMT(InterestRate/PaymentsPerYear,LoanTerm*PaymentsPerYear,LoanAmount) + $E1503))), 0), 2)</f>
        <v>0</v>
      </c>
      <c r="G1503" s="5">
        <f t="shared" si="94"/>
        <v>0</v>
      </c>
      <c r="H1503" s="5">
        <f t="shared" si="95"/>
        <v>0</v>
      </c>
    </row>
    <row r="1504" spans="1:8" x14ac:dyDescent="0.2">
      <c r="A1504" s="2">
        <v>1503</v>
      </c>
      <c r="B1504" s="5">
        <f t="shared" si="92"/>
        <v>0</v>
      </c>
      <c r="C1504" s="5">
        <f t="shared" si="93"/>
        <v>0</v>
      </c>
      <c r="D1504" s="5"/>
      <c r="E1504" s="5">
        <f>IF($B1504 &lt;= 0, 0, -ROUND($B1504 * (InterestRate / PaymentsPerYear), 2))</f>
        <v>0</v>
      </c>
      <c r="F1504" s="5">
        <f>ROUND(IFERROR(IF($B1504&lt;=0,0,
MAX(-$B1504, -(-PMT(InterestRate/PaymentsPerYear,LoanTerm*PaymentsPerYear,LoanAmount) + $E1504))), 0), 2)</f>
        <v>0</v>
      </c>
      <c r="G1504" s="5">
        <f t="shared" si="94"/>
        <v>0</v>
      </c>
      <c r="H1504" s="5">
        <f t="shared" si="95"/>
        <v>0</v>
      </c>
    </row>
    <row r="1505" spans="1:8" x14ac:dyDescent="0.2">
      <c r="A1505" s="2">
        <v>1504</v>
      </c>
      <c r="B1505" s="5">
        <f t="shared" si="92"/>
        <v>0</v>
      </c>
      <c r="C1505" s="5">
        <f t="shared" si="93"/>
        <v>0</v>
      </c>
      <c r="D1505" s="5"/>
      <c r="E1505" s="5">
        <f>IF($B1505 &lt;= 0, 0, -ROUND($B1505 * (InterestRate / PaymentsPerYear), 2))</f>
        <v>0</v>
      </c>
      <c r="F1505" s="5">
        <f>ROUND(IFERROR(IF($B1505&lt;=0,0,
MAX(-$B1505, -(-PMT(InterestRate/PaymentsPerYear,LoanTerm*PaymentsPerYear,LoanAmount) + $E1505))), 0), 2)</f>
        <v>0</v>
      </c>
      <c r="G1505" s="5">
        <f t="shared" si="94"/>
        <v>0</v>
      </c>
      <c r="H1505" s="5">
        <f t="shared" si="95"/>
        <v>0</v>
      </c>
    </row>
    <row r="1506" spans="1:8" x14ac:dyDescent="0.2">
      <c r="A1506" s="2">
        <v>1505</v>
      </c>
      <c r="B1506" s="5">
        <f t="shared" si="92"/>
        <v>0</v>
      </c>
      <c r="C1506" s="5">
        <f t="shared" si="93"/>
        <v>0</v>
      </c>
      <c r="D1506" s="5"/>
      <c r="E1506" s="5">
        <f>IF($B1506 &lt;= 0, 0, -ROUND($B1506 * (InterestRate / PaymentsPerYear), 2))</f>
        <v>0</v>
      </c>
      <c r="F1506" s="5">
        <f>ROUND(IFERROR(IF($B1506&lt;=0,0,
MAX(-$B1506, -(-PMT(InterestRate/PaymentsPerYear,LoanTerm*PaymentsPerYear,LoanAmount) + $E1506))), 0), 2)</f>
        <v>0</v>
      </c>
      <c r="G1506" s="5">
        <f t="shared" si="94"/>
        <v>0</v>
      </c>
      <c r="H1506" s="5">
        <f t="shared" si="95"/>
        <v>0</v>
      </c>
    </row>
    <row r="1507" spans="1:8" x14ac:dyDescent="0.2">
      <c r="A1507" s="2">
        <v>1506</v>
      </c>
      <c r="B1507" s="5">
        <f t="shared" si="92"/>
        <v>0</v>
      </c>
      <c r="C1507" s="5">
        <f t="shared" si="93"/>
        <v>0</v>
      </c>
      <c r="D1507" s="5"/>
      <c r="E1507" s="5">
        <f>IF($B1507 &lt;= 0, 0, -ROUND($B1507 * (InterestRate / PaymentsPerYear), 2))</f>
        <v>0</v>
      </c>
      <c r="F1507" s="5">
        <f>ROUND(IFERROR(IF($B1507&lt;=0,0,
MAX(-$B1507, -(-PMT(InterestRate/PaymentsPerYear,LoanTerm*PaymentsPerYear,LoanAmount) + $E1507))), 0), 2)</f>
        <v>0</v>
      </c>
      <c r="G1507" s="5">
        <f t="shared" si="94"/>
        <v>0</v>
      </c>
      <c r="H1507" s="5">
        <f t="shared" si="95"/>
        <v>0</v>
      </c>
    </row>
    <row r="1508" spans="1:8" x14ac:dyDescent="0.2">
      <c r="A1508" s="2">
        <v>1507</v>
      </c>
      <c r="B1508" s="5">
        <f t="shared" si="92"/>
        <v>0</v>
      </c>
      <c r="C1508" s="5">
        <f t="shared" si="93"/>
        <v>0</v>
      </c>
      <c r="D1508" s="5"/>
      <c r="E1508" s="5">
        <f>IF($B1508 &lt;= 0, 0, -ROUND($B1508 * (InterestRate / PaymentsPerYear), 2))</f>
        <v>0</v>
      </c>
      <c r="F1508" s="5">
        <f>ROUND(IFERROR(IF($B1508&lt;=0,0,
MAX(-$B1508, -(-PMT(InterestRate/PaymentsPerYear,LoanTerm*PaymentsPerYear,LoanAmount) + $E1508))), 0), 2)</f>
        <v>0</v>
      </c>
      <c r="G1508" s="5">
        <f t="shared" si="94"/>
        <v>0</v>
      </c>
      <c r="H1508" s="5">
        <f t="shared" si="95"/>
        <v>0</v>
      </c>
    </row>
    <row r="1509" spans="1:8" x14ac:dyDescent="0.2">
      <c r="A1509" s="2">
        <v>1508</v>
      </c>
      <c r="B1509" s="5">
        <f t="shared" si="92"/>
        <v>0</v>
      </c>
      <c r="C1509" s="5">
        <f t="shared" si="93"/>
        <v>0</v>
      </c>
      <c r="D1509" s="5"/>
      <c r="E1509" s="5">
        <f>IF($B1509 &lt;= 0, 0, -ROUND($B1509 * (InterestRate / PaymentsPerYear), 2))</f>
        <v>0</v>
      </c>
      <c r="F1509" s="5">
        <f>ROUND(IFERROR(IF($B1509&lt;=0,0,
MAX(-$B1509, -(-PMT(InterestRate/PaymentsPerYear,LoanTerm*PaymentsPerYear,LoanAmount) + $E1509))), 0), 2)</f>
        <v>0</v>
      </c>
      <c r="G1509" s="5">
        <f t="shared" si="94"/>
        <v>0</v>
      </c>
      <c r="H1509" s="5">
        <f t="shared" si="95"/>
        <v>0</v>
      </c>
    </row>
    <row r="1510" spans="1:8" x14ac:dyDescent="0.2">
      <c r="A1510" s="2">
        <v>1509</v>
      </c>
      <c r="B1510" s="5">
        <f t="shared" si="92"/>
        <v>0</v>
      </c>
      <c r="C1510" s="5">
        <f t="shared" si="93"/>
        <v>0</v>
      </c>
      <c r="D1510" s="5"/>
      <c r="E1510" s="5">
        <f>IF($B1510 &lt;= 0, 0, -ROUND($B1510 * (InterestRate / PaymentsPerYear), 2))</f>
        <v>0</v>
      </c>
      <c r="F1510" s="5">
        <f>ROUND(IFERROR(IF($B1510&lt;=0,0,
MAX(-$B1510, -(-PMT(InterestRate/PaymentsPerYear,LoanTerm*PaymentsPerYear,LoanAmount) + $E1510))), 0), 2)</f>
        <v>0</v>
      </c>
      <c r="G1510" s="5">
        <f t="shared" si="94"/>
        <v>0</v>
      </c>
      <c r="H1510" s="5">
        <f t="shared" si="95"/>
        <v>0</v>
      </c>
    </row>
    <row r="1511" spans="1:8" x14ac:dyDescent="0.2">
      <c r="A1511" s="2">
        <v>1510</v>
      </c>
      <c r="B1511" s="5">
        <f t="shared" si="92"/>
        <v>0</v>
      </c>
      <c r="C1511" s="5">
        <f t="shared" si="93"/>
        <v>0</v>
      </c>
      <c r="D1511" s="5"/>
      <c r="E1511" s="5">
        <f>IF($B1511 &lt;= 0, 0, -ROUND($B1511 * (InterestRate / PaymentsPerYear), 2))</f>
        <v>0</v>
      </c>
      <c r="F1511" s="5">
        <f>ROUND(IFERROR(IF($B1511&lt;=0,0,
MAX(-$B1511, -(-PMT(InterestRate/PaymentsPerYear,LoanTerm*PaymentsPerYear,LoanAmount) + $E1511))), 0), 2)</f>
        <v>0</v>
      </c>
      <c r="G1511" s="5">
        <f t="shared" si="94"/>
        <v>0</v>
      </c>
      <c r="H1511" s="5">
        <f t="shared" si="95"/>
        <v>0</v>
      </c>
    </row>
    <row r="1512" spans="1:8" x14ac:dyDescent="0.2">
      <c r="A1512" s="2">
        <v>1511</v>
      </c>
      <c r="B1512" s="5">
        <f t="shared" si="92"/>
        <v>0</v>
      </c>
      <c r="C1512" s="5">
        <f t="shared" si="93"/>
        <v>0</v>
      </c>
      <c r="D1512" s="5"/>
      <c r="E1512" s="5">
        <f>IF($B1512 &lt;= 0, 0, -ROUND($B1512 * (InterestRate / PaymentsPerYear), 2))</f>
        <v>0</v>
      </c>
      <c r="F1512" s="5">
        <f>ROUND(IFERROR(IF($B1512&lt;=0,0,
MAX(-$B1512, -(-PMT(InterestRate/PaymentsPerYear,LoanTerm*PaymentsPerYear,LoanAmount) + $E1512))), 0), 2)</f>
        <v>0</v>
      </c>
      <c r="G1512" s="5">
        <f t="shared" si="94"/>
        <v>0</v>
      </c>
      <c r="H1512" s="5">
        <f t="shared" si="95"/>
        <v>0</v>
      </c>
    </row>
    <row r="1513" spans="1:8" x14ac:dyDescent="0.2">
      <c r="A1513" s="2">
        <v>1512</v>
      </c>
      <c r="B1513" s="5">
        <f t="shared" si="92"/>
        <v>0</v>
      </c>
      <c r="C1513" s="5">
        <f t="shared" si="93"/>
        <v>0</v>
      </c>
      <c r="D1513" s="5"/>
      <c r="E1513" s="5">
        <f>IF($B1513 &lt;= 0, 0, -ROUND($B1513 * (InterestRate / PaymentsPerYear), 2))</f>
        <v>0</v>
      </c>
      <c r="F1513" s="5">
        <f>ROUND(IFERROR(IF($B1513&lt;=0,0,
MAX(-$B1513, -(-PMT(InterestRate/PaymentsPerYear,LoanTerm*PaymentsPerYear,LoanAmount) + $E1513))), 0), 2)</f>
        <v>0</v>
      </c>
      <c r="G1513" s="5">
        <f t="shared" si="94"/>
        <v>0</v>
      </c>
      <c r="H1513" s="5">
        <f t="shared" si="95"/>
        <v>0</v>
      </c>
    </row>
    <row r="1514" spans="1:8" x14ac:dyDescent="0.2">
      <c r="A1514" s="2">
        <v>1513</v>
      </c>
      <c r="B1514" s="5">
        <f t="shared" si="92"/>
        <v>0</v>
      </c>
      <c r="C1514" s="5">
        <f t="shared" si="93"/>
        <v>0</v>
      </c>
      <c r="D1514" s="5"/>
      <c r="E1514" s="5">
        <f>IF($B1514 &lt;= 0, 0, -ROUND($B1514 * (InterestRate / PaymentsPerYear), 2))</f>
        <v>0</v>
      </c>
      <c r="F1514" s="5">
        <f>ROUND(IFERROR(IF($B1514&lt;=0,0,
MAX(-$B1514, -(-PMT(InterestRate/PaymentsPerYear,LoanTerm*PaymentsPerYear,LoanAmount) + $E1514))), 0), 2)</f>
        <v>0</v>
      </c>
      <c r="G1514" s="5">
        <f t="shared" si="94"/>
        <v>0</v>
      </c>
      <c r="H1514" s="5">
        <f t="shared" si="95"/>
        <v>0</v>
      </c>
    </row>
    <row r="1515" spans="1:8" x14ac:dyDescent="0.2">
      <c r="A1515" s="2">
        <v>1514</v>
      </c>
      <c r="B1515" s="5">
        <f t="shared" si="92"/>
        <v>0</v>
      </c>
      <c r="C1515" s="5">
        <f t="shared" si="93"/>
        <v>0</v>
      </c>
      <c r="D1515" s="5"/>
      <c r="E1515" s="5">
        <f>IF($B1515 &lt;= 0, 0, -ROUND($B1515 * (InterestRate / PaymentsPerYear), 2))</f>
        <v>0</v>
      </c>
      <c r="F1515" s="5">
        <f>ROUND(IFERROR(IF($B1515&lt;=0,0,
MAX(-$B1515, -(-PMT(InterestRate/PaymentsPerYear,LoanTerm*PaymentsPerYear,LoanAmount) + $E1515))), 0), 2)</f>
        <v>0</v>
      </c>
      <c r="G1515" s="5">
        <f t="shared" si="94"/>
        <v>0</v>
      </c>
      <c r="H1515" s="5">
        <f t="shared" si="95"/>
        <v>0</v>
      </c>
    </row>
    <row r="1516" spans="1:8" x14ac:dyDescent="0.2">
      <c r="A1516" s="2">
        <v>1515</v>
      </c>
      <c r="B1516" s="5">
        <f t="shared" si="92"/>
        <v>0</v>
      </c>
      <c r="C1516" s="5">
        <f t="shared" si="93"/>
        <v>0</v>
      </c>
      <c r="D1516" s="5"/>
      <c r="E1516" s="5">
        <f>IF($B1516 &lt;= 0, 0, -ROUND($B1516 * (InterestRate / PaymentsPerYear), 2))</f>
        <v>0</v>
      </c>
      <c r="F1516" s="5">
        <f>ROUND(IFERROR(IF($B1516&lt;=0,0,
MAX(-$B1516, -(-PMT(InterestRate/PaymentsPerYear,LoanTerm*PaymentsPerYear,LoanAmount) + $E1516))), 0), 2)</f>
        <v>0</v>
      </c>
      <c r="G1516" s="5">
        <f t="shared" si="94"/>
        <v>0</v>
      </c>
      <c r="H1516" s="5">
        <f t="shared" si="95"/>
        <v>0</v>
      </c>
    </row>
    <row r="1517" spans="1:8" x14ac:dyDescent="0.2">
      <c r="A1517" s="2">
        <v>1516</v>
      </c>
      <c r="B1517" s="5">
        <f t="shared" si="92"/>
        <v>0</v>
      </c>
      <c r="C1517" s="5">
        <f t="shared" si="93"/>
        <v>0</v>
      </c>
      <c r="D1517" s="5"/>
      <c r="E1517" s="5">
        <f>IF($B1517 &lt;= 0, 0, -ROUND($B1517 * (InterestRate / PaymentsPerYear), 2))</f>
        <v>0</v>
      </c>
      <c r="F1517" s="5">
        <f>ROUND(IFERROR(IF($B1517&lt;=0,0,
MAX(-$B1517, -(-PMT(InterestRate/PaymentsPerYear,LoanTerm*PaymentsPerYear,LoanAmount) + $E1517))), 0), 2)</f>
        <v>0</v>
      </c>
      <c r="G1517" s="5">
        <f t="shared" si="94"/>
        <v>0</v>
      </c>
      <c r="H1517" s="5">
        <f t="shared" si="95"/>
        <v>0</v>
      </c>
    </row>
    <row r="1518" spans="1:8" x14ac:dyDescent="0.2">
      <c r="A1518" s="2">
        <v>1517</v>
      </c>
      <c r="B1518" s="5">
        <f t="shared" si="92"/>
        <v>0</v>
      </c>
      <c r="C1518" s="5">
        <f t="shared" si="93"/>
        <v>0</v>
      </c>
      <c r="D1518" s="5"/>
      <c r="E1518" s="5">
        <f>IF($B1518 &lt;= 0, 0, -ROUND($B1518 * (InterestRate / PaymentsPerYear), 2))</f>
        <v>0</v>
      </c>
      <c r="F1518" s="5">
        <f>ROUND(IFERROR(IF($B1518&lt;=0,0,
MAX(-$B1518, -(-PMT(InterestRate/PaymentsPerYear,LoanTerm*PaymentsPerYear,LoanAmount) + $E1518))), 0), 2)</f>
        <v>0</v>
      </c>
      <c r="G1518" s="5">
        <f t="shared" si="94"/>
        <v>0</v>
      </c>
      <c r="H1518" s="5">
        <f t="shared" si="95"/>
        <v>0</v>
      </c>
    </row>
    <row r="1519" spans="1:8" x14ac:dyDescent="0.2">
      <c r="A1519" s="2">
        <v>1518</v>
      </c>
      <c r="B1519" s="5">
        <f t="shared" si="92"/>
        <v>0</v>
      </c>
      <c r="C1519" s="5">
        <f t="shared" si="93"/>
        <v>0</v>
      </c>
      <c r="D1519" s="5"/>
      <c r="E1519" s="5">
        <f>IF($B1519 &lt;= 0, 0, -ROUND($B1519 * (InterestRate / PaymentsPerYear), 2))</f>
        <v>0</v>
      </c>
      <c r="F1519" s="5">
        <f>ROUND(IFERROR(IF($B1519&lt;=0,0,
MAX(-$B1519, -(-PMT(InterestRate/PaymentsPerYear,LoanTerm*PaymentsPerYear,LoanAmount) + $E1519))), 0), 2)</f>
        <v>0</v>
      </c>
      <c r="G1519" s="5">
        <f t="shared" si="94"/>
        <v>0</v>
      </c>
      <c r="H1519" s="5">
        <f t="shared" si="95"/>
        <v>0</v>
      </c>
    </row>
    <row r="1520" spans="1:8" x14ac:dyDescent="0.2">
      <c r="A1520" s="2">
        <v>1519</v>
      </c>
      <c r="B1520" s="5">
        <f t="shared" si="92"/>
        <v>0</v>
      </c>
      <c r="C1520" s="5">
        <f t="shared" si="93"/>
        <v>0</v>
      </c>
      <c r="D1520" s="5"/>
      <c r="E1520" s="5">
        <f>IF($B1520 &lt;= 0, 0, -ROUND($B1520 * (InterestRate / PaymentsPerYear), 2))</f>
        <v>0</v>
      </c>
      <c r="F1520" s="5">
        <f>ROUND(IFERROR(IF($B1520&lt;=0,0,
MAX(-$B1520, -(-PMT(InterestRate/PaymentsPerYear,LoanTerm*PaymentsPerYear,LoanAmount) + $E1520))), 0), 2)</f>
        <v>0</v>
      </c>
      <c r="G1520" s="5">
        <f t="shared" si="94"/>
        <v>0</v>
      </c>
      <c r="H1520" s="5">
        <f t="shared" si="95"/>
        <v>0</v>
      </c>
    </row>
    <row r="1521" spans="1:8" x14ac:dyDescent="0.2">
      <c r="A1521" s="2">
        <v>1520</v>
      </c>
      <c r="B1521" s="5">
        <f t="shared" si="92"/>
        <v>0</v>
      </c>
      <c r="C1521" s="5">
        <f t="shared" si="93"/>
        <v>0</v>
      </c>
      <c r="D1521" s="5"/>
      <c r="E1521" s="5">
        <f>IF($B1521 &lt;= 0, 0, -ROUND($B1521 * (InterestRate / PaymentsPerYear), 2))</f>
        <v>0</v>
      </c>
      <c r="F1521" s="5">
        <f>ROUND(IFERROR(IF($B1521&lt;=0,0,
MAX(-$B1521, -(-PMT(InterestRate/PaymentsPerYear,LoanTerm*PaymentsPerYear,LoanAmount) + $E1521))), 0), 2)</f>
        <v>0</v>
      </c>
      <c r="G1521" s="5">
        <f t="shared" si="94"/>
        <v>0</v>
      </c>
      <c r="H1521" s="5">
        <f t="shared" si="95"/>
        <v>0</v>
      </c>
    </row>
    <row r="1522" spans="1:8" x14ac:dyDescent="0.2">
      <c r="A1522" s="2">
        <v>1521</v>
      </c>
      <c r="B1522" s="5">
        <f t="shared" si="92"/>
        <v>0</v>
      </c>
      <c r="C1522" s="5">
        <f t="shared" si="93"/>
        <v>0</v>
      </c>
      <c r="D1522" s="5"/>
      <c r="E1522" s="5">
        <f>IF($B1522 &lt;= 0, 0, -ROUND($B1522 * (InterestRate / PaymentsPerYear), 2))</f>
        <v>0</v>
      </c>
      <c r="F1522" s="5">
        <f>ROUND(IFERROR(IF($B1522&lt;=0,0,
MAX(-$B1522, -(-PMT(InterestRate/PaymentsPerYear,LoanTerm*PaymentsPerYear,LoanAmount) + $E1522))), 0), 2)</f>
        <v>0</v>
      </c>
      <c r="G1522" s="5">
        <f t="shared" si="94"/>
        <v>0</v>
      </c>
      <c r="H1522" s="5">
        <f t="shared" si="95"/>
        <v>0</v>
      </c>
    </row>
    <row r="1523" spans="1:8" x14ac:dyDescent="0.2">
      <c r="A1523" s="2">
        <v>1522</v>
      </c>
      <c r="B1523" s="5">
        <f t="shared" si="92"/>
        <v>0</v>
      </c>
      <c r="C1523" s="5">
        <f t="shared" si="93"/>
        <v>0</v>
      </c>
      <c r="D1523" s="5"/>
      <c r="E1523" s="5">
        <f>IF($B1523 &lt;= 0, 0, -ROUND($B1523 * (InterestRate / PaymentsPerYear), 2))</f>
        <v>0</v>
      </c>
      <c r="F1523" s="5">
        <f>ROUND(IFERROR(IF($B1523&lt;=0,0,
MAX(-$B1523, -(-PMT(InterestRate/PaymentsPerYear,LoanTerm*PaymentsPerYear,LoanAmount) + $E1523))), 0), 2)</f>
        <v>0</v>
      </c>
      <c r="G1523" s="5">
        <f t="shared" si="94"/>
        <v>0</v>
      </c>
      <c r="H1523" s="5">
        <f t="shared" si="95"/>
        <v>0</v>
      </c>
    </row>
    <row r="1524" spans="1:8" x14ac:dyDescent="0.2">
      <c r="A1524" s="2">
        <v>1523</v>
      </c>
      <c r="B1524" s="5">
        <f t="shared" si="92"/>
        <v>0</v>
      </c>
      <c r="C1524" s="5">
        <f t="shared" si="93"/>
        <v>0</v>
      </c>
      <c r="D1524" s="5"/>
      <c r="E1524" s="5">
        <f>IF($B1524 &lt;= 0, 0, -ROUND($B1524 * (InterestRate / PaymentsPerYear), 2))</f>
        <v>0</v>
      </c>
      <c r="F1524" s="5">
        <f>ROUND(IFERROR(IF($B1524&lt;=0,0,
MAX(-$B1524, -(-PMT(InterestRate/PaymentsPerYear,LoanTerm*PaymentsPerYear,LoanAmount) + $E1524))), 0), 2)</f>
        <v>0</v>
      </c>
      <c r="G1524" s="5">
        <f t="shared" si="94"/>
        <v>0</v>
      </c>
      <c r="H1524" s="5">
        <f t="shared" si="95"/>
        <v>0</v>
      </c>
    </row>
    <row r="1525" spans="1:8" x14ac:dyDescent="0.2">
      <c r="A1525" s="2">
        <v>1524</v>
      </c>
      <c r="B1525" s="5">
        <f t="shared" si="92"/>
        <v>0</v>
      </c>
      <c r="C1525" s="5">
        <f t="shared" si="93"/>
        <v>0</v>
      </c>
      <c r="D1525" s="5"/>
      <c r="E1525" s="5">
        <f>IF($B1525 &lt;= 0, 0, -ROUND($B1525 * (InterestRate / PaymentsPerYear), 2))</f>
        <v>0</v>
      </c>
      <c r="F1525" s="5">
        <f>ROUND(IFERROR(IF($B1525&lt;=0,0,
MAX(-$B1525, -(-PMT(InterestRate/PaymentsPerYear,LoanTerm*PaymentsPerYear,LoanAmount) + $E1525))), 0), 2)</f>
        <v>0</v>
      </c>
      <c r="G1525" s="5">
        <f t="shared" si="94"/>
        <v>0</v>
      </c>
      <c r="H1525" s="5">
        <f t="shared" si="95"/>
        <v>0</v>
      </c>
    </row>
    <row r="1526" spans="1:8" x14ac:dyDescent="0.2">
      <c r="A1526" s="2">
        <v>1525</v>
      </c>
      <c r="B1526" s="5">
        <f t="shared" si="92"/>
        <v>0</v>
      </c>
      <c r="C1526" s="5">
        <f t="shared" si="93"/>
        <v>0</v>
      </c>
      <c r="D1526" s="5"/>
      <c r="E1526" s="5">
        <f>IF($B1526 &lt;= 0, 0, -ROUND($B1526 * (InterestRate / PaymentsPerYear), 2))</f>
        <v>0</v>
      </c>
      <c r="F1526" s="5">
        <f>ROUND(IFERROR(IF($B1526&lt;=0,0,
MAX(-$B1526, -(-PMT(InterestRate/PaymentsPerYear,LoanTerm*PaymentsPerYear,LoanAmount) + $E1526))), 0), 2)</f>
        <v>0</v>
      </c>
      <c r="G1526" s="5">
        <f t="shared" si="94"/>
        <v>0</v>
      </c>
      <c r="H1526" s="5">
        <f t="shared" si="95"/>
        <v>0</v>
      </c>
    </row>
    <row r="1527" spans="1:8" x14ac:dyDescent="0.2">
      <c r="A1527" s="2">
        <v>1526</v>
      </c>
      <c r="B1527" s="5">
        <f t="shared" si="92"/>
        <v>0</v>
      </c>
      <c r="C1527" s="5">
        <f t="shared" si="93"/>
        <v>0</v>
      </c>
      <c r="D1527" s="5"/>
      <c r="E1527" s="5">
        <f>IF($B1527 &lt;= 0, 0, -ROUND($B1527 * (InterestRate / PaymentsPerYear), 2))</f>
        <v>0</v>
      </c>
      <c r="F1527" s="5">
        <f>ROUND(IFERROR(IF($B1527&lt;=0,0,
MAX(-$B1527, -(-PMT(InterestRate/PaymentsPerYear,LoanTerm*PaymentsPerYear,LoanAmount) + $E1527))), 0), 2)</f>
        <v>0</v>
      </c>
      <c r="G1527" s="5">
        <f t="shared" si="94"/>
        <v>0</v>
      </c>
      <c r="H1527" s="5">
        <f t="shared" si="95"/>
        <v>0</v>
      </c>
    </row>
    <row r="1528" spans="1:8" x14ac:dyDescent="0.2">
      <c r="A1528" s="2">
        <v>1527</v>
      </c>
      <c r="B1528" s="5">
        <f t="shared" si="92"/>
        <v>0</v>
      </c>
      <c r="C1528" s="5">
        <f t="shared" si="93"/>
        <v>0</v>
      </c>
      <c r="D1528" s="5"/>
      <c r="E1528" s="5">
        <f>IF($B1528 &lt;= 0, 0, -ROUND($B1528 * (InterestRate / PaymentsPerYear), 2))</f>
        <v>0</v>
      </c>
      <c r="F1528" s="5">
        <f>ROUND(IFERROR(IF($B1528&lt;=0,0,
MAX(-$B1528, -(-PMT(InterestRate/PaymentsPerYear,LoanTerm*PaymentsPerYear,LoanAmount) + $E1528))), 0), 2)</f>
        <v>0</v>
      </c>
      <c r="G1528" s="5">
        <f t="shared" si="94"/>
        <v>0</v>
      </c>
      <c r="H1528" s="5">
        <f t="shared" si="95"/>
        <v>0</v>
      </c>
    </row>
    <row r="1529" spans="1:8" x14ac:dyDescent="0.2">
      <c r="A1529" s="2">
        <v>1528</v>
      </c>
      <c r="B1529" s="5">
        <f t="shared" si="92"/>
        <v>0</v>
      </c>
      <c r="C1529" s="5">
        <f t="shared" si="93"/>
        <v>0</v>
      </c>
      <c r="D1529" s="5"/>
      <c r="E1529" s="5">
        <f>IF($B1529 &lt;= 0, 0, -ROUND($B1529 * (InterestRate / PaymentsPerYear), 2))</f>
        <v>0</v>
      </c>
      <c r="F1529" s="5">
        <f>ROUND(IFERROR(IF($B1529&lt;=0,0,
MAX(-$B1529, -(-PMT(InterestRate/PaymentsPerYear,LoanTerm*PaymentsPerYear,LoanAmount) + $E1529))), 0), 2)</f>
        <v>0</v>
      </c>
      <c r="G1529" s="5">
        <f t="shared" si="94"/>
        <v>0</v>
      </c>
      <c r="H1529" s="5">
        <f t="shared" si="95"/>
        <v>0</v>
      </c>
    </row>
    <row r="1530" spans="1:8" x14ac:dyDescent="0.2">
      <c r="A1530" s="2">
        <v>1529</v>
      </c>
      <c r="B1530" s="5">
        <f t="shared" si="92"/>
        <v>0</v>
      </c>
      <c r="C1530" s="5">
        <f t="shared" si="93"/>
        <v>0</v>
      </c>
      <c r="D1530" s="5"/>
      <c r="E1530" s="5">
        <f>IF($B1530 &lt;= 0, 0, -ROUND($B1530 * (InterestRate / PaymentsPerYear), 2))</f>
        <v>0</v>
      </c>
      <c r="F1530" s="5">
        <f>ROUND(IFERROR(IF($B1530&lt;=0,0,
MAX(-$B1530, -(-PMT(InterestRate/PaymentsPerYear,LoanTerm*PaymentsPerYear,LoanAmount) + $E1530))), 0), 2)</f>
        <v>0</v>
      </c>
      <c r="G1530" s="5">
        <f t="shared" si="94"/>
        <v>0</v>
      </c>
      <c r="H1530" s="5">
        <f t="shared" si="95"/>
        <v>0</v>
      </c>
    </row>
    <row r="1531" spans="1:8" x14ac:dyDescent="0.2">
      <c r="A1531" s="2">
        <v>1530</v>
      </c>
      <c r="B1531" s="5">
        <f t="shared" si="92"/>
        <v>0</v>
      </c>
      <c r="C1531" s="5">
        <f t="shared" si="93"/>
        <v>0</v>
      </c>
      <c r="D1531" s="5"/>
      <c r="E1531" s="5">
        <f>IF($B1531 &lt;= 0, 0, -ROUND($B1531 * (InterestRate / PaymentsPerYear), 2))</f>
        <v>0</v>
      </c>
      <c r="F1531" s="5">
        <f>ROUND(IFERROR(IF($B1531&lt;=0,0,
MAX(-$B1531, -(-PMT(InterestRate/PaymentsPerYear,LoanTerm*PaymentsPerYear,LoanAmount) + $E1531))), 0), 2)</f>
        <v>0</v>
      </c>
      <c r="G1531" s="5">
        <f t="shared" si="94"/>
        <v>0</v>
      </c>
      <c r="H1531" s="5">
        <f t="shared" si="95"/>
        <v>0</v>
      </c>
    </row>
    <row r="1532" spans="1:8" x14ac:dyDescent="0.2">
      <c r="A1532" s="2">
        <v>1531</v>
      </c>
      <c r="B1532" s="5">
        <f t="shared" si="92"/>
        <v>0</v>
      </c>
      <c r="C1532" s="5">
        <f t="shared" si="93"/>
        <v>0</v>
      </c>
      <c r="D1532" s="5"/>
      <c r="E1532" s="5">
        <f>IF($B1532 &lt;= 0, 0, -ROUND($B1532 * (InterestRate / PaymentsPerYear), 2))</f>
        <v>0</v>
      </c>
      <c r="F1532" s="5">
        <f>ROUND(IFERROR(IF($B1532&lt;=0,0,
MAX(-$B1532, -(-PMT(InterestRate/PaymentsPerYear,LoanTerm*PaymentsPerYear,LoanAmount) + $E1532))), 0), 2)</f>
        <v>0</v>
      </c>
      <c r="G1532" s="5">
        <f t="shared" si="94"/>
        <v>0</v>
      </c>
      <c r="H1532" s="5">
        <f t="shared" si="95"/>
        <v>0</v>
      </c>
    </row>
    <row r="1533" spans="1:8" x14ac:dyDescent="0.2">
      <c r="A1533" s="2">
        <v>1532</v>
      </c>
      <c r="B1533" s="5">
        <f t="shared" si="92"/>
        <v>0</v>
      </c>
      <c r="C1533" s="5">
        <f t="shared" si="93"/>
        <v>0</v>
      </c>
      <c r="D1533" s="5"/>
      <c r="E1533" s="5">
        <f>IF($B1533 &lt;= 0, 0, -ROUND($B1533 * (InterestRate / PaymentsPerYear), 2))</f>
        <v>0</v>
      </c>
      <c r="F1533" s="5">
        <f>ROUND(IFERROR(IF($B1533&lt;=0,0,
MAX(-$B1533, -(-PMT(InterestRate/PaymentsPerYear,LoanTerm*PaymentsPerYear,LoanAmount) + $E1533))), 0), 2)</f>
        <v>0</v>
      </c>
      <c r="G1533" s="5">
        <f t="shared" si="94"/>
        <v>0</v>
      </c>
      <c r="H1533" s="5">
        <f t="shared" si="95"/>
        <v>0</v>
      </c>
    </row>
    <row r="1534" spans="1:8" x14ac:dyDescent="0.2">
      <c r="A1534" s="2">
        <v>1533</v>
      </c>
      <c r="B1534" s="5">
        <f t="shared" si="92"/>
        <v>0</v>
      </c>
      <c r="C1534" s="5">
        <f t="shared" si="93"/>
        <v>0</v>
      </c>
      <c r="D1534" s="5"/>
      <c r="E1534" s="5">
        <f>IF($B1534 &lt;= 0, 0, -ROUND($B1534 * (InterestRate / PaymentsPerYear), 2))</f>
        <v>0</v>
      </c>
      <c r="F1534" s="5">
        <f>ROUND(IFERROR(IF($B1534&lt;=0,0,
MAX(-$B1534, -(-PMT(InterestRate/PaymentsPerYear,LoanTerm*PaymentsPerYear,LoanAmount) + $E1534))), 0), 2)</f>
        <v>0</v>
      </c>
      <c r="G1534" s="5">
        <f t="shared" si="94"/>
        <v>0</v>
      </c>
      <c r="H1534" s="5">
        <f t="shared" si="95"/>
        <v>0</v>
      </c>
    </row>
    <row r="1535" spans="1:8" x14ac:dyDescent="0.2">
      <c r="A1535" s="2">
        <v>1534</v>
      </c>
      <c r="B1535" s="5">
        <f t="shared" si="92"/>
        <v>0</v>
      </c>
      <c r="C1535" s="5">
        <f t="shared" si="93"/>
        <v>0</v>
      </c>
      <c r="D1535" s="5"/>
      <c r="E1535" s="5">
        <f>IF($B1535 &lt;= 0, 0, -ROUND($B1535 * (InterestRate / PaymentsPerYear), 2))</f>
        <v>0</v>
      </c>
      <c r="F1535" s="5">
        <f>ROUND(IFERROR(IF($B1535&lt;=0,0,
MAX(-$B1535, -(-PMT(InterestRate/PaymentsPerYear,LoanTerm*PaymentsPerYear,LoanAmount) + $E1535))), 0), 2)</f>
        <v>0</v>
      </c>
      <c r="G1535" s="5">
        <f t="shared" si="94"/>
        <v>0</v>
      </c>
      <c r="H1535" s="5">
        <f t="shared" si="95"/>
        <v>0</v>
      </c>
    </row>
    <row r="1536" spans="1:8" x14ac:dyDescent="0.2">
      <c r="A1536" s="2">
        <v>1535</v>
      </c>
      <c r="B1536" s="5">
        <f t="shared" si="92"/>
        <v>0</v>
      </c>
      <c r="C1536" s="5">
        <f t="shared" si="93"/>
        <v>0</v>
      </c>
      <c r="D1536" s="5"/>
      <c r="E1536" s="5">
        <f>IF($B1536 &lt;= 0, 0, -ROUND($B1536 * (InterestRate / PaymentsPerYear), 2))</f>
        <v>0</v>
      </c>
      <c r="F1536" s="5">
        <f>ROUND(IFERROR(IF($B1536&lt;=0,0,
MAX(-$B1536, -(-PMT(InterestRate/PaymentsPerYear,LoanTerm*PaymentsPerYear,LoanAmount) + $E1536))), 0), 2)</f>
        <v>0</v>
      </c>
      <c r="G1536" s="5">
        <f t="shared" si="94"/>
        <v>0</v>
      </c>
      <c r="H1536" s="5">
        <f t="shared" si="95"/>
        <v>0</v>
      </c>
    </row>
    <row r="1537" spans="1:8" x14ac:dyDescent="0.2">
      <c r="A1537" s="2">
        <v>1536</v>
      </c>
      <c r="B1537" s="5">
        <f t="shared" si="92"/>
        <v>0</v>
      </c>
      <c r="C1537" s="5">
        <f t="shared" si="93"/>
        <v>0</v>
      </c>
      <c r="D1537" s="5"/>
      <c r="E1537" s="5">
        <f>IF($B1537 &lt;= 0, 0, -ROUND($B1537 * (InterestRate / PaymentsPerYear), 2))</f>
        <v>0</v>
      </c>
      <c r="F1537" s="5">
        <f>ROUND(IFERROR(IF($B1537&lt;=0,0,
MAX(-$B1537, -(-PMT(InterestRate/PaymentsPerYear,LoanTerm*PaymentsPerYear,LoanAmount) + $E1537))), 0), 2)</f>
        <v>0</v>
      </c>
      <c r="G1537" s="5">
        <f t="shared" si="94"/>
        <v>0</v>
      </c>
      <c r="H1537" s="5">
        <f t="shared" si="95"/>
        <v>0</v>
      </c>
    </row>
    <row r="1538" spans="1:8" x14ac:dyDescent="0.2">
      <c r="A1538" s="2">
        <v>1537</v>
      </c>
      <c r="B1538" s="5">
        <f t="shared" si="92"/>
        <v>0</v>
      </c>
      <c r="C1538" s="5">
        <f t="shared" si="93"/>
        <v>0</v>
      </c>
      <c r="D1538" s="5"/>
      <c r="E1538" s="5">
        <f>IF($B1538 &lt;= 0, 0, -ROUND($B1538 * (InterestRate / PaymentsPerYear), 2))</f>
        <v>0</v>
      </c>
      <c r="F1538" s="5">
        <f>ROUND(IFERROR(IF($B1538&lt;=0,0,
MAX(-$B1538, -(-PMT(InterestRate/PaymentsPerYear,LoanTerm*PaymentsPerYear,LoanAmount) + $E1538))), 0), 2)</f>
        <v>0</v>
      </c>
      <c r="G1538" s="5">
        <f t="shared" si="94"/>
        <v>0</v>
      </c>
      <c r="H1538" s="5">
        <f t="shared" si="95"/>
        <v>0</v>
      </c>
    </row>
    <row r="1539" spans="1:8" x14ac:dyDescent="0.2">
      <c r="A1539" s="2">
        <v>1538</v>
      </c>
      <c r="B1539" s="5">
        <f t="shared" si="92"/>
        <v>0</v>
      </c>
      <c r="C1539" s="5">
        <f t="shared" si="93"/>
        <v>0</v>
      </c>
      <c r="D1539" s="5"/>
      <c r="E1539" s="5">
        <f>IF($B1539 &lt;= 0, 0, -ROUND($B1539 * (InterestRate / PaymentsPerYear), 2))</f>
        <v>0</v>
      </c>
      <c r="F1539" s="5">
        <f>ROUND(IFERROR(IF($B1539&lt;=0,0,
MAX(-$B1539, -(-PMT(InterestRate/PaymentsPerYear,LoanTerm*PaymentsPerYear,LoanAmount) + $E1539))), 0), 2)</f>
        <v>0</v>
      </c>
      <c r="G1539" s="5">
        <f t="shared" si="94"/>
        <v>0</v>
      </c>
      <c r="H1539" s="5">
        <f t="shared" si="95"/>
        <v>0</v>
      </c>
    </row>
    <row r="1540" spans="1:8" x14ac:dyDescent="0.2">
      <c r="A1540" s="2">
        <v>1539</v>
      </c>
      <c r="B1540" s="5">
        <f t="shared" ref="B1540:B1561" si="96">ROUND(IF($H1539 &gt;= 0, MAX($H1539, $F1539), 0), 2)</f>
        <v>0</v>
      </c>
      <c r="C1540" s="5">
        <f t="shared" ref="C1540:C1561" si="97">IF($B1540 &lt;= 0, 0, $E1540+$F1540)</f>
        <v>0</v>
      </c>
      <c r="D1540" s="5"/>
      <c r="E1540" s="5">
        <f>IF($B1540 &lt;= 0, 0, -ROUND($B1540 * (InterestRate / PaymentsPerYear), 2))</f>
        <v>0</v>
      </c>
      <c r="F1540" s="5">
        <f>ROUND(IFERROR(IF($B1540&lt;=0,0,
MAX(-$B1540, -(-PMT(InterestRate/PaymentsPerYear,LoanTerm*PaymentsPerYear,LoanAmount) + $E1540))), 0), 2)</f>
        <v>0</v>
      </c>
      <c r="G1540" s="5">
        <f t="shared" ref="G1540:G1561" si="98">$F1540</f>
        <v>0</v>
      </c>
      <c r="H1540" s="5">
        <f t="shared" ref="H1540:H1561" si="99">ROUND(IF($B1540 &lt;= 0, 0,MAX(0, $B1540 + $G1540)), 2)</f>
        <v>0</v>
      </c>
    </row>
    <row r="1541" spans="1:8" x14ac:dyDescent="0.2">
      <c r="A1541" s="2">
        <v>1540</v>
      </c>
      <c r="B1541" s="5">
        <f t="shared" si="96"/>
        <v>0</v>
      </c>
      <c r="C1541" s="5">
        <f t="shared" si="97"/>
        <v>0</v>
      </c>
      <c r="D1541" s="5"/>
      <c r="E1541" s="5">
        <f>IF($B1541 &lt;= 0, 0, -ROUND($B1541 * (InterestRate / PaymentsPerYear), 2))</f>
        <v>0</v>
      </c>
      <c r="F1541" s="5">
        <f>ROUND(IFERROR(IF($B1541&lt;=0,0,
MAX(-$B1541, -(-PMT(InterestRate/PaymentsPerYear,LoanTerm*PaymentsPerYear,LoanAmount) + $E1541))), 0), 2)</f>
        <v>0</v>
      </c>
      <c r="G1541" s="5">
        <f t="shared" si="98"/>
        <v>0</v>
      </c>
      <c r="H1541" s="5">
        <f t="shared" si="99"/>
        <v>0</v>
      </c>
    </row>
    <row r="1542" spans="1:8" x14ac:dyDescent="0.2">
      <c r="A1542" s="2">
        <v>1541</v>
      </c>
      <c r="B1542" s="5">
        <f t="shared" si="96"/>
        <v>0</v>
      </c>
      <c r="C1542" s="5">
        <f t="shared" si="97"/>
        <v>0</v>
      </c>
      <c r="D1542" s="5"/>
      <c r="E1542" s="5">
        <f>IF($B1542 &lt;= 0, 0, -ROUND($B1542 * (InterestRate / PaymentsPerYear), 2))</f>
        <v>0</v>
      </c>
      <c r="F1542" s="5">
        <f>ROUND(IFERROR(IF($B1542&lt;=0,0,
MAX(-$B1542, -(-PMT(InterestRate/PaymentsPerYear,LoanTerm*PaymentsPerYear,LoanAmount) + $E1542))), 0), 2)</f>
        <v>0</v>
      </c>
      <c r="G1542" s="5">
        <f t="shared" si="98"/>
        <v>0</v>
      </c>
      <c r="H1542" s="5">
        <f t="shared" si="99"/>
        <v>0</v>
      </c>
    </row>
    <row r="1543" spans="1:8" x14ac:dyDescent="0.2">
      <c r="A1543" s="2">
        <v>1542</v>
      </c>
      <c r="B1543" s="5">
        <f t="shared" si="96"/>
        <v>0</v>
      </c>
      <c r="C1543" s="5">
        <f t="shared" si="97"/>
        <v>0</v>
      </c>
      <c r="D1543" s="5"/>
      <c r="E1543" s="5">
        <f>IF($B1543 &lt;= 0, 0, -ROUND($B1543 * (InterestRate / PaymentsPerYear), 2))</f>
        <v>0</v>
      </c>
      <c r="F1543" s="5">
        <f>ROUND(IFERROR(IF($B1543&lt;=0,0,
MAX(-$B1543, -(-PMT(InterestRate/PaymentsPerYear,LoanTerm*PaymentsPerYear,LoanAmount) + $E1543))), 0), 2)</f>
        <v>0</v>
      </c>
      <c r="G1543" s="5">
        <f t="shared" si="98"/>
        <v>0</v>
      </c>
      <c r="H1543" s="5">
        <f t="shared" si="99"/>
        <v>0</v>
      </c>
    </row>
    <row r="1544" spans="1:8" x14ac:dyDescent="0.2">
      <c r="A1544" s="2">
        <v>1543</v>
      </c>
      <c r="B1544" s="5">
        <f t="shared" si="96"/>
        <v>0</v>
      </c>
      <c r="C1544" s="5">
        <f t="shared" si="97"/>
        <v>0</v>
      </c>
      <c r="D1544" s="5"/>
      <c r="E1544" s="5">
        <f>IF($B1544 &lt;= 0, 0, -ROUND($B1544 * (InterestRate / PaymentsPerYear), 2))</f>
        <v>0</v>
      </c>
      <c r="F1544" s="5">
        <f>ROUND(IFERROR(IF($B1544&lt;=0,0,
MAX(-$B1544, -(-PMT(InterestRate/PaymentsPerYear,LoanTerm*PaymentsPerYear,LoanAmount) + $E1544))), 0), 2)</f>
        <v>0</v>
      </c>
      <c r="G1544" s="5">
        <f t="shared" si="98"/>
        <v>0</v>
      </c>
      <c r="H1544" s="5">
        <f t="shared" si="99"/>
        <v>0</v>
      </c>
    </row>
    <row r="1545" spans="1:8" x14ac:dyDescent="0.2">
      <c r="A1545" s="2">
        <v>1544</v>
      </c>
      <c r="B1545" s="5">
        <f t="shared" si="96"/>
        <v>0</v>
      </c>
      <c r="C1545" s="5">
        <f t="shared" si="97"/>
        <v>0</v>
      </c>
      <c r="D1545" s="5"/>
      <c r="E1545" s="5">
        <f>IF($B1545 &lt;= 0, 0, -ROUND($B1545 * (InterestRate / PaymentsPerYear), 2))</f>
        <v>0</v>
      </c>
      <c r="F1545" s="5">
        <f>ROUND(IFERROR(IF($B1545&lt;=0,0,
MAX(-$B1545, -(-PMT(InterestRate/PaymentsPerYear,LoanTerm*PaymentsPerYear,LoanAmount) + $E1545))), 0), 2)</f>
        <v>0</v>
      </c>
      <c r="G1545" s="5">
        <f t="shared" si="98"/>
        <v>0</v>
      </c>
      <c r="H1545" s="5">
        <f t="shared" si="99"/>
        <v>0</v>
      </c>
    </row>
    <row r="1546" spans="1:8" x14ac:dyDescent="0.2">
      <c r="A1546" s="2">
        <v>1545</v>
      </c>
      <c r="B1546" s="5">
        <f t="shared" si="96"/>
        <v>0</v>
      </c>
      <c r="C1546" s="5">
        <f t="shared" si="97"/>
        <v>0</v>
      </c>
      <c r="D1546" s="5"/>
      <c r="E1546" s="5">
        <f>IF($B1546 &lt;= 0, 0, -ROUND($B1546 * (InterestRate / PaymentsPerYear), 2))</f>
        <v>0</v>
      </c>
      <c r="F1546" s="5">
        <f>ROUND(IFERROR(IF($B1546&lt;=0,0,
MAX(-$B1546, -(-PMT(InterestRate/PaymentsPerYear,LoanTerm*PaymentsPerYear,LoanAmount) + $E1546))), 0), 2)</f>
        <v>0</v>
      </c>
      <c r="G1546" s="5">
        <f t="shared" si="98"/>
        <v>0</v>
      </c>
      <c r="H1546" s="5">
        <f t="shared" si="99"/>
        <v>0</v>
      </c>
    </row>
    <row r="1547" spans="1:8" x14ac:dyDescent="0.2">
      <c r="A1547" s="2">
        <v>1546</v>
      </c>
      <c r="B1547" s="5">
        <f t="shared" si="96"/>
        <v>0</v>
      </c>
      <c r="C1547" s="5">
        <f t="shared" si="97"/>
        <v>0</v>
      </c>
      <c r="D1547" s="5"/>
      <c r="E1547" s="5">
        <f>IF($B1547 &lt;= 0, 0, -ROUND($B1547 * (InterestRate / PaymentsPerYear), 2))</f>
        <v>0</v>
      </c>
      <c r="F1547" s="5">
        <f>ROUND(IFERROR(IF($B1547&lt;=0,0,
MAX(-$B1547, -(-PMT(InterestRate/PaymentsPerYear,LoanTerm*PaymentsPerYear,LoanAmount) + $E1547))), 0), 2)</f>
        <v>0</v>
      </c>
      <c r="G1547" s="5">
        <f t="shared" si="98"/>
        <v>0</v>
      </c>
      <c r="H1547" s="5">
        <f t="shared" si="99"/>
        <v>0</v>
      </c>
    </row>
    <row r="1548" spans="1:8" x14ac:dyDescent="0.2">
      <c r="A1548" s="2">
        <v>1547</v>
      </c>
      <c r="B1548" s="5">
        <f t="shared" si="96"/>
        <v>0</v>
      </c>
      <c r="C1548" s="5">
        <f t="shared" si="97"/>
        <v>0</v>
      </c>
      <c r="D1548" s="5"/>
      <c r="E1548" s="5">
        <f>IF($B1548 &lt;= 0, 0, -ROUND($B1548 * (InterestRate / PaymentsPerYear), 2))</f>
        <v>0</v>
      </c>
      <c r="F1548" s="5">
        <f>ROUND(IFERROR(IF($B1548&lt;=0,0,
MAX(-$B1548, -(-PMT(InterestRate/PaymentsPerYear,LoanTerm*PaymentsPerYear,LoanAmount) + $E1548))), 0), 2)</f>
        <v>0</v>
      </c>
      <c r="G1548" s="5">
        <f t="shared" si="98"/>
        <v>0</v>
      </c>
      <c r="H1548" s="5">
        <f t="shared" si="99"/>
        <v>0</v>
      </c>
    </row>
    <row r="1549" spans="1:8" x14ac:dyDescent="0.2">
      <c r="A1549" s="2">
        <v>1548</v>
      </c>
      <c r="B1549" s="5">
        <f t="shared" si="96"/>
        <v>0</v>
      </c>
      <c r="C1549" s="5">
        <f t="shared" si="97"/>
        <v>0</v>
      </c>
      <c r="D1549" s="5"/>
      <c r="E1549" s="5">
        <f>IF($B1549 &lt;= 0, 0, -ROUND($B1549 * (InterestRate / PaymentsPerYear), 2))</f>
        <v>0</v>
      </c>
      <c r="F1549" s="5">
        <f>ROUND(IFERROR(IF($B1549&lt;=0,0,
MAX(-$B1549, -(-PMT(InterestRate/PaymentsPerYear,LoanTerm*PaymentsPerYear,LoanAmount) + $E1549))), 0), 2)</f>
        <v>0</v>
      </c>
      <c r="G1549" s="5">
        <f t="shared" si="98"/>
        <v>0</v>
      </c>
      <c r="H1549" s="5">
        <f t="shared" si="99"/>
        <v>0</v>
      </c>
    </row>
    <row r="1550" spans="1:8" x14ac:dyDescent="0.2">
      <c r="A1550" s="2">
        <v>1549</v>
      </c>
      <c r="B1550" s="5">
        <f t="shared" si="96"/>
        <v>0</v>
      </c>
      <c r="C1550" s="5">
        <f t="shared" si="97"/>
        <v>0</v>
      </c>
      <c r="D1550" s="5"/>
      <c r="E1550" s="5">
        <f>IF($B1550 &lt;= 0, 0, -ROUND($B1550 * (InterestRate / PaymentsPerYear), 2))</f>
        <v>0</v>
      </c>
      <c r="F1550" s="5">
        <f>ROUND(IFERROR(IF($B1550&lt;=0,0,
MAX(-$B1550, -(-PMT(InterestRate/PaymentsPerYear,LoanTerm*PaymentsPerYear,LoanAmount) + $E1550))), 0), 2)</f>
        <v>0</v>
      </c>
      <c r="G1550" s="5">
        <f t="shared" si="98"/>
        <v>0</v>
      </c>
      <c r="H1550" s="5">
        <f t="shared" si="99"/>
        <v>0</v>
      </c>
    </row>
    <row r="1551" spans="1:8" x14ac:dyDescent="0.2">
      <c r="A1551" s="2">
        <v>1550</v>
      </c>
      <c r="B1551" s="5">
        <f t="shared" si="96"/>
        <v>0</v>
      </c>
      <c r="C1551" s="5">
        <f t="shared" si="97"/>
        <v>0</v>
      </c>
      <c r="D1551" s="5"/>
      <c r="E1551" s="5">
        <f>IF($B1551 &lt;= 0, 0, -ROUND($B1551 * (InterestRate / PaymentsPerYear), 2))</f>
        <v>0</v>
      </c>
      <c r="F1551" s="5">
        <f>ROUND(IFERROR(IF($B1551&lt;=0,0,
MAX(-$B1551, -(-PMT(InterestRate/PaymentsPerYear,LoanTerm*PaymentsPerYear,LoanAmount) + $E1551))), 0), 2)</f>
        <v>0</v>
      </c>
      <c r="G1551" s="5">
        <f t="shared" si="98"/>
        <v>0</v>
      </c>
      <c r="H1551" s="5">
        <f t="shared" si="99"/>
        <v>0</v>
      </c>
    </row>
    <row r="1552" spans="1:8" x14ac:dyDescent="0.2">
      <c r="A1552" s="2">
        <v>1551</v>
      </c>
      <c r="B1552" s="5">
        <f t="shared" si="96"/>
        <v>0</v>
      </c>
      <c r="C1552" s="5">
        <f t="shared" si="97"/>
        <v>0</v>
      </c>
      <c r="D1552" s="5"/>
      <c r="E1552" s="5">
        <f>IF($B1552 &lt;= 0, 0, -ROUND($B1552 * (InterestRate / PaymentsPerYear), 2))</f>
        <v>0</v>
      </c>
      <c r="F1552" s="5">
        <f>ROUND(IFERROR(IF($B1552&lt;=0,0,
MAX(-$B1552, -(-PMT(InterestRate/PaymentsPerYear,LoanTerm*PaymentsPerYear,LoanAmount) + $E1552))), 0), 2)</f>
        <v>0</v>
      </c>
      <c r="G1552" s="5">
        <f t="shared" si="98"/>
        <v>0</v>
      </c>
      <c r="H1552" s="5">
        <f t="shared" si="99"/>
        <v>0</v>
      </c>
    </row>
    <row r="1553" spans="1:8" x14ac:dyDescent="0.2">
      <c r="A1553" s="2">
        <v>1552</v>
      </c>
      <c r="B1553" s="5">
        <f t="shared" si="96"/>
        <v>0</v>
      </c>
      <c r="C1553" s="5">
        <f t="shared" si="97"/>
        <v>0</v>
      </c>
      <c r="D1553" s="5"/>
      <c r="E1553" s="5">
        <f>IF($B1553 &lt;= 0, 0, -ROUND($B1553 * (InterestRate / PaymentsPerYear), 2))</f>
        <v>0</v>
      </c>
      <c r="F1553" s="5">
        <f>ROUND(IFERROR(IF($B1553&lt;=0,0,
MAX(-$B1553, -(-PMT(InterestRate/PaymentsPerYear,LoanTerm*PaymentsPerYear,LoanAmount) + $E1553))), 0), 2)</f>
        <v>0</v>
      </c>
      <c r="G1553" s="5">
        <f t="shared" si="98"/>
        <v>0</v>
      </c>
      <c r="H1553" s="5">
        <f t="shared" si="99"/>
        <v>0</v>
      </c>
    </row>
    <row r="1554" spans="1:8" x14ac:dyDescent="0.2">
      <c r="A1554" s="2">
        <v>1553</v>
      </c>
      <c r="B1554" s="5">
        <f t="shared" si="96"/>
        <v>0</v>
      </c>
      <c r="C1554" s="5">
        <f t="shared" si="97"/>
        <v>0</v>
      </c>
      <c r="D1554" s="5"/>
      <c r="E1554" s="5">
        <f>IF($B1554 &lt;= 0, 0, -ROUND($B1554 * (InterestRate / PaymentsPerYear), 2))</f>
        <v>0</v>
      </c>
      <c r="F1554" s="5">
        <f>ROUND(IFERROR(IF($B1554&lt;=0,0,
MAX(-$B1554, -(-PMT(InterestRate/PaymentsPerYear,LoanTerm*PaymentsPerYear,LoanAmount) + $E1554))), 0), 2)</f>
        <v>0</v>
      </c>
      <c r="G1554" s="5">
        <f t="shared" si="98"/>
        <v>0</v>
      </c>
      <c r="H1554" s="5">
        <f t="shared" si="99"/>
        <v>0</v>
      </c>
    </row>
    <row r="1555" spans="1:8" x14ac:dyDescent="0.2">
      <c r="A1555" s="2">
        <v>1554</v>
      </c>
      <c r="B1555" s="5">
        <f t="shared" si="96"/>
        <v>0</v>
      </c>
      <c r="C1555" s="5">
        <f t="shared" si="97"/>
        <v>0</v>
      </c>
      <c r="D1555" s="5"/>
      <c r="E1555" s="5">
        <f>IF($B1555 &lt;= 0, 0, -ROUND($B1555 * (InterestRate / PaymentsPerYear), 2))</f>
        <v>0</v>
      </c>
      <c r="F1555" s="5">
        <f>ROUND(IFERROR(IF($B1555&lt;=0,0,
MAX(-$B1555, -(-PMT(InterestRate/PaymentsPerYear,LoanTerm*PaymentsPerYear,LoanAmount) + $E1555))), 0), 2)</f>
        <v>0</v>
      </c>
      <c r="G1555" s="5">
        <f t="shared" si="98"/>
        <v>0</v>
      </c>
      <c r="H1555" s="5">
        <f t="shared" si="99"/>
        <v>0</v>
      </c>
    </row>
    <row r="1556" spans="1:8" x14ac:dyDescent="0.2">
      <c r="A1556" s="2">
        <v>1555</v>
      </c>
      <c r="B1556" s="5">
        <f t="shared" si="96"/>
        <v>0</v>
      </c>
      <c r="C1556" s="5">
        <f t="shared" si="97"/>
        <v>0</v>
      </c>
      <c r="D1556" s="5"/>
      <c r="E1556" s="5">
        <f>IF($B1556 &lt;= 0, 0, -ROUND($B1556 * (InterestRate / PaymentsPerYear), 2))</f>
        <v>0</v>
      </c>
      <c r="F1556" s="5">
        <f>ROUND(IFERROR(IF($B1556&lt;=0,0,
MAX(-$B1556, -(-PMT(InterestRate/PaymentsPerYear,LoanTerm*PaymentsPerYear,LoanAmount) + $E1556))), 0), 2)</f>
        <v>0</v>
      </c>
      <c r="G1556" s="5">
        <f t="shared" si="98"/>
        <v>0</v>
      </c>
      <c r="H1556" s="5">
        <f t="shared" si="99"/>
        <v>0</v>
      </c>
    </row>
    <row r="1557" spans="1:8" x14ac:dyDescent="0.2">
      <c r="A1557" s="2">
        <v>1556</v>
      </c>
      <c r="B1557" s="5">
        <f t="shared" si="96"/>
        <v>0</v>
      </c>
      <c r="C1557" s="5">
        <f t="shared" si="97"/>
        <v>0</v>
      </c>
      <c r="D1557" s="5"/>
      <c r="E1557" s="5">
        <f>IF($B1557 &lt;= 0, 0, -ROUND($B1557 * (InterestRate / PaymentsPerYear), 2))</f>
        <v>0</v>
      </c>
      <c r="F1557" s="5">
        <f>ROUND(IFERROR(IF($B1557&lt;=0,0,
MAX(-$B1557, -(-PMT(InterestRate/PaymentsPerYear,LoanTerm*PaymentsPerYear,LoanAmount) + $E1557))), 0), 2)</f>
        <v>0</v>
      </c>
      <c r="G1557" s="5">
        <f t="shared" si="98"/>
        <v>0</v>
      </c>
      <c r="H1557" s="5">
        <f t="shared" si="99"/>
        <v>0</v>
      </c>
    </row>
    <row r="1558" spans="1:8" x14ac:dyDescent="0.2">
      <c r="A1558" s="2">
        <v>1557</v>
      </c>
      <c r="B1558" s="5">
        <f t="shared" si="96"/>
        <v>0</v>
      </c>
      <c r="C1558" s="5">
        <f t="shared" si="97"/>
        <v>0</v>
      </c>
      <c r="D1558" s="5"/>
      <c r="E1558" s="5">
        <f>IF($B1558 &lt;= 0, 0, -ROUND($B1558 * (InterestRate / PaymentsPerYear), 2))</f>
        <v>0</v>
      </c>
      <c r="F1558" s="5">
        <f>ROUND(IFERROR(IF($B1558&lt;=0,0,
MAX(-$B1558, -(-PMT(InterestRate/PaymentsPerYear,LoanTerm*PaymentsPerYear,LoanAmount) + $E1558))), 0), 2)</f>
        <v>0</v>
      </c>
      <c r="G1558" s="5">
        <f t="shared" si="98"/>
        <v>0</v>
      </c>
      <c r="H1558" s="5">
        <f t="shared" si="99"/>
        <v>0</v>
      </c>
    </row>
    <row r="1559" spans="1:8" x14ac:dyDescent="0.2">
      <c r="A1559" s="2">
        <v>1558</v>
      </c>
      <c r="B1559" s="5">
        <f t="shared" si="96"/>
        <v>0</v>
      </c>
      <c r="C1559" s="5">
        <f t="shared" si="97"/>
        <v>0</v>
      </c>
      <c r="D1559" s="5"/>
      <c r="E1559" s="5">
        <f>IF($B1559 &lt;= 0, 0, -ROUND($B1559 * (InterestRate / PaymentsPerYear), 2))</f>
        <v>0</v>
      </c>
      <c r="F1559" s="5">
        <f>ROUND(IFERROR(IF($B1559&lt;=0,0,
MAX(-$B1559, -(-PMT(InterestRate/PaymentsPerYear,LoanTerm*PaymentsPerYear,LoanAmount) + $E1559))), 0), 2)</f>
        <v>0</v>
      </c>
      <c r="G1559" s="5">
        <f t="shared" si="98"/>
        <v>0</v>
      </c>
      <c r="H1559" s="5">
        <f t="shared" si="99"/>
        <v>0</v>
      </c>
    </row>
    <row r="1560" spans="1:8" x14ac:dyDescent="0.2">
      <c r="A1560" s="2">
        <v>1559</v>
      </c>
      <c r="B1560" s="5">
        <f t="shared" si="96"/>
        <v>0</v>
      </c>
      <c r="C1560" s="5">
        <f t="shared" si="97"/>
        <v>0</v>
      </c>
      <c r="D1560" s="5"/>
      <c r="E1560" s="5">
        <f>IF($B1560 &lt;= 0, 0, -ROUND($B1560 * (InterestRate / PaymentsPerYear), 2))</f>
        <v>0</v>
      </c>
      <c r="F1560" s="5">
        <f>ROUND(IFERROR(IF($B1560&lt;=0,0,
MAX(-$B1560, -(-PMT(InterestRate/PaymentsPerYear,LoanTerm*PaymentsPerYear,LoanAmount) + $E1560))), 0), 2)</f>
        <v>0</v>
      </c>
      <c r="G1560" s="5">
        <f t="shared" si="98"/>
        <v>0</v>
      </c>
      <c r="H1560" s="5">
        <f t="shared" si="99"/>
        <v>0</v>
      </c>
    </row>
    <row r="1561" spans="1:8" x14ac:dyDescent="0.2">
      <c r="A1561" s="2">
        <v>1560</v>
      </c>
      <c r="B1561" s="5">
        <f t="shared" si="96"/>
        <v>0</v>
      </c>
      <c r="C1561" s="5">
        <f t="shared" si="97"/>
        <v>0</v>
      </c>
      <c r="D1561" s="5"/>
      <c r="E1561" s="5">
        <f>IF($B1561 &lt;= 0, 0, -ROUND($B1561 * (InterestRate / PaymentsPerYear), 2))</f>
        <v>0</v>
      </c>
      <c r="F1561" s="5">
        <f>ROUND(IFERROR(IF($B1561&lt;=0,0,
MAX(-$B1561, -(-PMT(InterestRate/PaymentsPerYear,LoanTerm*PaymentsPerYear,LoanAmount) + $E1561))), 0), 2)</f>
        <v>0</v>
      </c>
      <c r="G1561" s="5">
        <f t="shared" si="98"/>
        <v>0</v>
      </c>
      <c r="H1561" s="5">
        <f t="shared" si="99"/>
        <v>0</v>
      </c>
    </row>
    <row r="1048576" spans="1:1" x14ac:dyDescent="0.2">
      <c r="A1048576"/>
    </row>
  </sheetData>
  <conditionalFormatting sqref="A2:H1561">
    <cfRule type="expression" dxfId="2" priority="1">
      <formula>AND($A2 &lt;= LoanTerm*PaymentsPerYear, $B2&gt;0,$A2)</formula>
    </cfRule>
  </conditionalFormatting>
  <conditionalFormatting sqref="A27:A1048575">
    <cfRule type="expression" dxfId="1" priority="2">
      <formula>IF(#REF!&gt;0,$A27)</formula>
    </cfRule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21</vt:i4>
      </vt:variant>
    </vt:vector>
  </HeadingPairs>
  <TitlesOfParts>
    <vt:vector size="26" baseType="lpstr">
      <vt:lpstr>DashboardAndAssumptions</vt:lpstr>
      <vt:lpstr>AmortizationSchedule</vt:lpstr>
      <vt:lpstr>AmortizationScheduleRaw</vt:lpstr>
      <vt:lpstr>AmortizationScheduleNoExtra</vt:lpstr>
      <vt:lpstr>AmortizationScheduleNoExtraRaw</vt:lpstr>
      <vt:lpstr>ExtraPayment</vt:lpstr>
      <vt:lpstr>InterestRate</vt:lpstr>
      <vt:lpstr>InterestSaved</vt:lpstr>
      <vt:lpstr>LoanAmount</vt:lpstr>
      <vt:lpstr>LoanTerm</vt:lpstr>
      <vt:lpstr>MonthlyPayment</vt:lpstr>
      <vt:lpstr>NumberOfMonths</vt:lpstr>
      <vt:lpstr>NumberOfMonthsSaved</vt:lpstr>
      <vt:lpstr>NumberOfMonthsSimplified</vt:lpstr>
      <vt:lpstr>NumberOfPeriods</vt:lpstr>
      <vt:lpstr>PaymentFrequency</vt:lpstr>
      <vt:lpstr>PaymentsPerYear</vt:lpstr>
      <vt:lpstr>PaymentTitle</vt:lpstr>
      <vt:lpstr>PayoffDate</vt:lpstr>
      <vt:lpstr>PeriodNumber</vt:lpstr>
      <vt:lpstr>StartDate</vt:lpstr>
      <vt:lpstr>TotalAmountPaid</vt:lpstr>
      <vt:lpstr>TotalExtraPayments</vt:lpstr>
      <vt:lpstr>TotalInterestPaid</vt:lpstr>
      <vt:lpstr>TotalLoan</vt:lpstr>
      <vt:lpstr>TotalPrincipal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Tran</dc:creator>
  <cp:lastModifiedBy>Jenny Tran</cp:lastModifiedBy>
  <cp:lastPrinted>2026-09-21T21:49:07Z</cp:lastPrinted>
  <dcterms:created xsi:type="dcterms:W3CDTF">2026-09-17T20:41:32Z</dcterms:created>
  <dcterms:modified xsi:type="dcterms:W3CDTF">2026-09-21T22:04:36Z</dcterms:modified>
</cp:coreProperties>
</file>